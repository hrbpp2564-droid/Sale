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ยอดขาย\"/>
    </mc:Choice>
  </mc:AlternateContent>
  <xr:revisionPtr revIDLastSave="0" documentId="13_ncr:1_{5A8CCF4F-D3D1-4CB3-8A69-ACA1482FFDE1}" xr6:coauthVersionLast="47" xr6:coauthVersionMax="47" xr10:uidLastSave="{00000000-0000-0000-0000-000000000000}"/>
  <bookViews>
    <workbookView xWindow="-120" yWindow="-120" windowWidth="29040" windowHeight="15840" firstSheet="4" activeTab="12" xr2:uid="{28AB303E-60CE-4622-BE8C-E190343B2AE7}"/>
  </bookViews>
  <sheets>
    <sheet name="ปกรายงาน" sheetId="2" r:id="rId1"/>
    <sheet name="กราฟยอดขาย 69" sheetId="5" r:id="rId2"/>
    <sheet name="มกราคม" sheetId="1" r:id="rId3"/>
    <sheet name="ยอดขายรวม มค." sheetId="4" r:id="rId4"/>
    <sheet name="กุมภาพันธ์" sheetId="6" r:id="rId5"/>
    <sheet name="ยอดขายรวม กพ." sheetId="7" r:id="rId6"/>
    <sheet name="ลำดับ" sheetId="3" r:id="rId7"/>
    <sheet name="มีนาคม" sheetId="8" r:id="rId8"/>
    <sheet name="ยอดขายรวม มีค." sheetId="9" r:id="rId9"/>
    <sheet name="เมษายน" sheetId="10" r:id="rId10"/>
    <sheet name="ยอดขายรวม เมย." sheetId="11" r:id="rId11"/>
    <sheet name="พฤษภาคม" sheetId="12" r:id="rId12"/>
    <sheet name="ยอดขายรวม พค." sheetId="13" r:id="rId13"/>
  </sheets>
  <definedNames>
    <definedName name="_xlnm._FilterDatabase" localSheetId="4" hidden="1">กุมภาพันธ์!$H$1:$H$740</definedName>
    <definedName name="_xlnm._FilterDatabase" localSheetId="11" hidden="1">พฤษภาคม!$I$1:$I$705</definedName>
    <definedName name="_xlnm._FilterDatabase" localSheetId="2" hidden="1">มกราคม!$I$1:$I$713</definedName>
    <definedName name="_xlnm._FilterDatabase" localSheetId="9" hidden="1">เมษายน!$I$1:$I$736</definedName>
    <definedName name="_xlnm._FilterDatabase" localSheetId="6" hidden="1">ลำดับ!$N$2:$O$2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3" l="1"/>
  <c r="U8" i="13"/>
  <c r="U7" i="13"/>
  <c r="U6" i="13"/>
  <c r="U5" i="13"/>
  <c r="U4" i="13"/>
  <c r="U3" i="13"/>
  <c r="X9" i="13"/>
  <c r="O9" i="13"/>
  <c r="AG8" i="13"/>
  <c r="T9" i="13"/>
  <c r="P9" i="13"/>
  <c r="N9" i="13"/>
  <c r="H49" i="13"/>
  <c r="G49" i="13"/>
  <c r="F49" i="13"/>
  <c r="E49" i="13"/>
  <c r="D49" i="13"/>
  <c r="C49" i="13"/>
  <c r="C384" i="12"/>
  <c r="C372" i="12"/>
  <c r="I72" i="5" l="1"/>
  <c r="H72" i="5"/>
  <c r="AE90" i="13"/>
  <c r="O89" i="13"/>
  <c r="F87" i="13"/>
  <c r="D85" i="13"/>
  <c r="AF81" i="13"/>
  <c r="AE71" i="13"/>
  <c r="AD71" i="13"/>
  <c r="Y71" i="13"/>
  <c r="X71" i="13"/>
  <c r="S71" i="13"/>
  <c r="Q71" i="13"/>
  <c r="P71" i="13"/>
  <c r="O71" i="13"/>
  <c r="N71" i="13"/>
  <c r="G71" i="13"/>
  <c r="F71" i="13"/>
  <c r="E71" i="13"/>
  <c r="D71" i="13"/>
  <c r="C71" i="13"/>
  <c r="AF70" i="13"/>
  <c r="Z70" i="13"/>
  <c r="Y89" i="13" s="1"/>
  <c r="T70" i="13"/>
  <c r="N89" i="13" s="1"/>
  <c r="H70" i="13"/>
  <c r="E89" i="13" s="1"/>
  <c r="AF69" i="13"/>
  <c r="AG69" i="13" s="1"/>
  <c r="AD88" i="13" s="1"/>
  <c r="Z69" i="13"/>
  <c r="X88" i="13" s="1"/>
  <c r="T69" i="13"/>
  <c r="P88" i="13" s="1"/>
  <c r="H69" i="13"/>
  <c r="G88" i="13" s="1"/>
  <c r="AF68" i="13"/>
  <c r="AG68" i="13" s="1"/>
  <c r="AD87" i="13" s="1"/>
  <c r="Z68" i="13"/>
  <c r="Y87" i="13" s="1"/>
  <c r="T68" i="13"/>
  <c r="S87" i="13" s="1"/>
  <c r="H68" i="13"/>
  <c r="E87" i="13" s="1"/>
  <c r="AF67" i="13"/>
  <c r="Z67" i="13"/>
  <c r="X86" i="13" s="1"/>
  <c r="T67" i="13"/>
  <c r="O86" i="13" s="1"/>
  <c r="H67" i="13"/>
  <c r="D86" i="13" s="1"/>
  <c r="AF66" i="13"/>
  <c r="Z66" i="13"/>
  <c r="Y85" i="13" s="1"/>
  <c r="T66" i="13"/>
  <c r="O85" i="13" s="1"/>
  <c r="H66" i="13"/>
  <c r="G85" i="13" s="1"/>
  <c r="AG65" i="13"/>
  <c r="AD84" i="13" s="1"/>
  <c r="AF65" i="13"/>
  <c r="Z65" i="13"/>
  <c r="Y84" i="13" s="1"/>
  <c r="T65" i="13"/>
  <c r="O84" i="13" s="1"/>
  <c r="H65" i="13"/>
  <c r="F84" i="13" s="1"/>
  <c r="AF64" i="13"/>
  <c r="AG64" i="13" s="1"/>
  <c r="AD83" i="13" s="1"/>
  <c r="Z64" i="13"/>
  <c r="Y83" i="13" s="1"/>
  <c r="T64" i="13"/>
  <c r="N83" i="13" s="1"/>
  <c r="H64" i="13"/>
  <c r="E83" i="13" s="1"/>
  <c r="Z63" i="13"/>
  <c r="X82" i="13" s="1"/>
  <c r="T63" i="13"/>
  <c r="O82" i="13" s="1"/>
  <c r="H63" i="13"/>
  <c r="D82" i="13" s="1"/>
  <c r="AG62" i="13"/>
  <c r="AD81" i="13" s="1"/>
  <c r="Z62" i="13"/>
  <c r="X81" i="13" s="1"/>
  <c r="T62" i="13"/>
  <c r="O81" i="13" s="1"/>
  <c r="H62" i="13"/>
  <c r="G81" i="13" s="1"/>
  <c r="AG61" i="13"/>
  <c r="AF80" i="13" s="1"/>
  <c r="Z61" i="13"/>
  <c r="Y80" i="13" s="1"/>
  <c r="T61" i="13"/>
  <c r="O80" i="13" s="1"/>
  <c r="H61" i="13"/>
  <c r="F80" i="13" s="1"/>
  <c r="AG60" i="13"/>
  <c r="AF79" i="13" s="1"/>
  <c r="Z60" i="13"/>
  <c r="Y79" i="13" s="1"/>
  <c r="T60" i="13"/>
  <c r="N79" i="13" s="1"/>
  <c r="H60" i="13"/>
  <c r="E79" i="13" s="1"/>
  <c r="AG59" i="13"/>
  <c r="AF78" i="13" s="1"/>
  <c r="AF90" i="13" s="1"/>
  <c r="Z59" i="13"/>
  <c r="X78" i="13" s="1"/>
  <c r="T59" i="13"/>
  <c r="O78" i="13" s="1"/>
  <c r="H59" i="13"/>
  <c r="D78" i="13" s="1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Y9" i="13"/>
  <c r="S9" i="13"/>
  <c r="R9" i="13"/>
  <c r="Q9" i="13"/>
  <c r="H12" i="13"/>
  <c r="H11" i="13"/>
  <c r="H10" i="13"/>
  <c r="AF8" i="13"/>
  <c r="AE8" i="13"/>
  <c r="AD8" i="13"/>
  <c r="H9" i="13"/>
  <c r="Z8" i="13"/>
  <c r="T8" i="13"/>
  <c r="H8" i="13"/>
  <c r="AG7" i="13"/>
  <c r="Z7" i="13"/>
  <c r="T7" i="13"/>
  <c r="H7" i="13"/>
  <c r="AG6" i="13"/>
  <c r="Z6" i="13"/>
  <c r="T6" i="13"/>
  <c r="H6" i="13"/>
  <c r="AG5" i="13"/>
  <c r="Z5" i="13"/>
  <c r="T5" i="13"/>
  <c r="H5" i="13"/>
  <c r="AG4" i="13"/>
  <c r="Z4" i="13"/>
  <c r="T4" i="13"/>
  <c r="H4" i="13"/>
  <c r="AG3" i="13"/>
  <c r="Z3" i="13"/>
  <c r="T3" i="13"/>
  <c r="H3" i="13"/>
  <c r="O43" i="3"/>
  <c r="C51" i="12"/>
  <c r="O4" i="3" s="1"/>
  <c r="C722" i="12"/>
  <c r="E27" i="12"/>
  <c r="C281" i="12"/>
  <c r="O5" i="3" s="1"/>
  <c r="E243" i="12"/>
  <c r="F243" i="12" s="1"/>
  <c r="E148" i="12"/>
  <c r="F148" i="12" s="1"/>
  <c r="G148" i="12" s="1"/>
  <c r="E532" i="12"/>
  <c r="C328" i="12"/>
  <c r="O13" i="3" s="1"/>
  <c r="E78" i="13" l="1"/>
  <c r="T79" i="13"/>
  <c r="N78" i="13"/>
  <c r="G80" i="13"/>
  <c r="E82" i="13"/>
  <c r="X85" i="13"/>
  <c r="Z85" i="13" s="1"/>
  <c r="Q88" i="13"/>
  <c r="AF88" i="13"/>
  <c r="AG88" i="13" s="1"/>
  <c r="F79" i="13"/>
  <c r="AD80" i="13"/>
  <c r="AG80" i="13" s="1"/>
  <c r="N82" i="13"/>
  <c r="T82" i="13" s="1"/>
  <c r="E86" i="13"/>
  <c r="Y88" i="13"/>
  <c r="C80" i="13"/>
  <c r="AG81" i="13"/>
  <c r="AF84" i="13"/>
  <c r="Z88" i="13"/>
  <c r="T89" i="13"/>
  <c r="O79" i="13"/>
  <c r="O90" i="13" s="1"/>
  <c r="D81" i="13"/>
  <c r="F83" i="13"/>
  <c r="N86" i="13"/>
  <c r="T86" i="13" s="1"/>
  <c r="F89" i="13"/>
  <c r="Y11" i="13"/>
  <c r="D51" i="13"/>
  <c r="AG84" i="13"/>
  <c r="E90" i="13"/>
  <c r="N90" i="13"/>
  <c r="Z71" i="13"/>
  <c r="X73" i="13" s="1"/>
  <c r="Y82" i="13"/>
  <c r="Z82" i="13" s="1"/>
  <c r="O83" i="13"/>
  <c r="T83" i="13" s="1"/>
  <c r="O87" i="13"/>
  <c r="D88" i="13"/>
  <c r="AG66" i="13"/>
  <c r="AD85" i="13" s="1"/>
  <c r="AG70" i="13"/>
  <c r="AD89" i="13" s="1"/>
  <c r="T71" i="13"/>
  <c r="Q73" i="13" s="1"/>
  <c r="F78" i="13"/>
  <c r="F90" i="13" s="1"/>
  <c r="C79" i="13"/>
  <c r="G79" i="13"/>
  <c r="AD79" i="13"/>
  <c r="AG79" i="13" s="1"/>
  <c r="D80" i="13"/>
  <c r="X80" i="13"/>
  <c r="Z80" i="13" s="1"/>
  <c r="E81" i="13"/>
  <c r="N81" i="13"/>
  <c r="T81" i="13" s="1"/>
  <c r="Y81" i="13"/>
  <c r="Z81" i="13" s="1"/>
  <c r="F82" i="13"/>
  <c r="C83" i="13"/>
  <c r="G83" i="13"/>
  <c r="D84" i="13"/>
  <c r="X84" i="13"/>
  <c r="Z84" i="13" s="1"/>
  <c r="E85" i="13"/>
  <c r="N85" i="13"/>
  <c r="T85" i="13" s="1"/>
  <c r="F86" i="13"/>
  <c r="C87" i="13"/>
  <c r="G87" i="13"/>
  <c r="P87" i="13"/>
  <c r="X87" i="13"/>
  <c r="Z87" i="13" s="1"/>
  <c r="AF87" i="13"/>
  <c r="AG87" i="13" s="1"/>
  <c r="E88" i="13"/>
  <c r="N88" i="13"/>
  <c r="S88" i="13"/>
  <c r="C89" i="13"/>
  <c r="G89" i="13"/>
  <c r="Y78" i="13"/>
  <c r="Y90" i="13" s="1"/>
  <c r="C84" i="13"/>
  <c r="Y86" i="13"/>
  <c r="Z86" i="13" s="1"/>
  <c r="AG63" i="13"/>
  <c r="AG67" i="13"/>
  <c r="AD86" i="13" s="1"/>
  <c r="C78" i="13"/>
  <c r="G78" i="13"/>
  <c r="T78" i="13"/>
  <c r="T90" i="13" s="1"/>
  <c r="AD78" i="13"/>
  <c r="D79" i="13"/>
  <c r="D90" i="13" s="1"/>
  <c r="X79" i="13"/>
  <c r="Z79" i="13" s="1"/>
  <c r="E80" i="13"/>
  <c r="N80" i="13"/>
  <c r="T80" i="13" s="1"/>
  <c r="F81" i="13"/>
  <c r="C82" i="13"/>
  <c r="G82" i="13"/>
  <c r="D83" i="13"/>
  <c r="X83" i="13"/>
  <c r="Z83" i="13" s="1"/>
  <c r="AF83" i="13"/>
  <c r="AG83" i="13" s="1"/>
  <c r="E84" i="13"/>
  <c r="N84" i="13"/>
  <c r="T84" i="13" s="1"/>
  <c r="F85" i="13"/>
  <c r="C86" i="13"/>
  <c r="G86" i="13"/>
  <c r="D87" i="13"/>
  <c r="Q87" i="13"/>
  <c r="F88" i="13"/>
  <c r="O88" i="13"/>
  <c r="D89" i="13"/>
  <c r="X89" i="13"/>
  <c r="Z89" i="13" s="1"/>
  <c r="G84" i="13"/>
  <c r="H71" i="13"/>
  <c r="F73" i="13" s="1"/>
  <c r="AF71" i="13"/>
  <c r="C81" i="13"/>
  <c r="C85" i="13"/>
  <c r="N87" i="13"/>
  <c r="C88" i="13"/>
  <c r="G243" i="12"/>
  <c r="E721" i="12"/>
  <c r="E720" i="12"/>
  <c r="F720" i="12" s="1"/>
  <c r="G720" i="12" s="1"/>
  <c r="E719" i="12"/>
  <c r="F719" i="12" s="1"/>
  <c r="E718" i="12"/>
  <c r="E717" i="12"/>
  <c r="E716" i="12"/>
  <c r="F716" i="12" s="1"/>
  <c r="G716" i="12" s="1"/>
  <c r="E715" i="12"/>
  <c r="E714" i="12"/>
  <c r="F714" i="12" s="1"/>
  <c r="G714" i="12" s="1"/>
  <c r="E713" i="12"/>
  <c r="F713" i="12" s="1"/>
  <c r="E712" i="12"/>
  <c r="E711" i="12"/>
  <c r="E710" i="12"/>
  <c r="C687" i="12"/>
  <c r="C675" i="12"/>
  <c r="E675" i="12" s="1"/>
  <c r="C674" i="12"/>
  <c r="E674" i="12" s="1"/>
  <c r="E625" i="12"/>
  <c r="C600" i="12"/>
  <c r="O37" i="3" s="1"/>
  <c r="C596" i="12"/>
  <c r="C591" i="12"/>
  <c r="O21" i="3" s="1"/>
  <c r="C491" i="12"/>
  <c r="O25" i="3" s="1"/>
  <c r="C481" i="12"/>
  <c r="E481" i="12" s="1"/>
  <c r="C480" i="12"/>
  <c r="C479" i="12"/>
  <c r="E479" i="12" s="1"/>
  <c r="C482" i="12"/>
  <c r="E482" i="12" s="1"/>
  <c r="C483" i="12"/>
  <c r="E483" i="12" s="1"/>
  <c r="C478" i="12"/>
  <c r="C476" i="12"/>
  <c r="E484" i="12"/>
  <c r="D480" i="12"/>
  <c r="E477" i="12"/>
  <c r="E475" i="12"/>
  <c r="E474" i="12"/>
  <c r="C440" i="12"/>
  <c r="C443" i="12" s="1"/>
  <c r="E443" i="12" s="1"/>
  <c r="E444" i="12"/>
  <c r="E442" i="12"/>
  <c r="C359" i="12"/>
  <c r="C354" i="12"/>
  <c r="C349" i="12"/>
  <c r="C333" i="12"/>
  <c r="O20" i="3" s="1"/>
  <c r="C288" i="12"/>
  <c r="O19" i="3" s="1"/>
  <c r="C218" i="12"/>
  <c r="O7" i="3" s="1"/>
  <c r="C699" i="12"/>
  <c r="C701" i="12" s="1"/>
  <c r="E701" i="12" s="1"/>
  <c r="O33" i="3" s="1"/>
  <c r="C692" i="12"/>
  <c r="C694" i="12" s="1"/>
  <c r="E694" i="12" s="1"/>
  <c r="O46" i="3" s="1"/>
  <c r="C680" i="12"/>
  <c r="C672" i="12"/>
  <c r="C659" i="12"/>
  <c r="O15" i="3" s="1"/>
  <c r="C664" i="12"/>
  <c r="C651" i="12"/>
  <c r="C644" i="12"/>
  <c r="C632" i="12"/>
  <c r="O35" i="3" s="1"/>
  <c r="C637" i="12"/>
  <c r="C623" i="12"/>
  <c r="C615" i="12"/>
  <c r="C617" i="12" s="1"/>
  <c r="E617" i="12" s="1"/>
  <c r="O48" i="3" s="1"/>
  <c r="C610" i="12"/>
  <c r="O31" i="3" s="1"/>
  <c r="C605" i="12"/>
  <c r="O40" i="3" s="1"/>
  <c r="C583" i="12"/>
  <c r="C578" i="12"/>
  <c r="O17" i="3" s="1"/>
  <c r="C566" i="12"/>
  <c r="O24" i="3" s="1"/>
  <c r="C560" i="12"/>
  <c r="O9" i="3" s="1"/>
  <c r="C551" i="12"/>
  <c r="O10" i="3" s="1"/>
  <c r="C526" i="12"/>
  <c r="O27" i="3" s="1"/>
  <c r="C520" i="12"/>
  <c r="O18" i="3" s="1"/>
  <c r="C511" i="12"/>
  <c r="O45" i="3" s="1"/>
  <c r="C497" i="12"/>
  <c r="O29" i="3" s="1"/>
  <c r="C506" i="12"/>
  <c r="O23" i="3" s="1"/>
  <c r="C471" i="12"/>
  <c r="C455" i="12"/>
  <c r="O22" i="3" s="1"/>
  <c r="C434" i="12"/>
  <c r="O44" i="3" s="1"/>
  <c r="C429" i="12"/>
  <c r="C424" i="12"/>
  <c r="C418" i="12"/>
  <c r="C413" i="12"/>
  <c r="O14" i="3" s="1"/>
  <c r="C338" i="12"/>
  <c r="C340" i="12" s="1"/>
  <c r="E340" i="12" s="1"/>
  <c r="O28" i="3" s="1"/>
  <c r="C316" i="12"/>
  <c r="C310" i="12"/>
  <c r="C305" i="12"/>
  <c r="C294" i="12"/>
  <c r="C250" i="12"/>
  <c r="C154" i="12"/>
  <c r="O6" i="3" s="1"/>
  <c r="F129" i="12"/>
  <c r="C129" i="12"/>
  <c r="O16" i="3" s="1"/>
  <c r="C124" i="12"/>
  <c r="C108" i="12"/>
  <c r="C92" i="12"/>
  <c r="E698" i="12"/>
  <c r="E699" i="12" s="1"/>
  <c r="E691" i="12"/>
  <c r="E692" i="12" s="1"/>
  <c r="E686" i="12"/>
  <c r="E687" i="12" s="1"/>
  <c r="E679" i="12"/>
  <c r="E680" i="12" s="1"/>
  <c r="E671" i="12"/>
  <c r="E670" i="12"/>
  <c r="E663" i="12"/>
  <c r="F663" i="12" s="1"/>
  <c r="F664" i="12" s="1"/>
  <c r="E658" i="12"/>
  <c r="E657" i="12"/>
  <c r="E650" i="12"/>
  <c r="E651" i="12" s="1"/>
  <c r="E643" i="12"/>
  <c r="E644" i="12" s="1"/>
  <c r="E636" i="12"/>
  <c r="E637" i="12" s="1"/>
  <c r="E631" i="12"/>
  <c r="F631" i="12" s="1"/>
  <c r="E630" i="12"/>
  <c r="E622" i="12"/>
  <c r="E621" i="12"/>
  <c r="E614" i="12"/>
  <c r="E609" i="12"/>
  <c r="E610" i="12" s="1"/>
  <c r="E604" i="12"/>
  <c r="E605" i="12" s="1"/>
  <c r="E595" i="12"/>
  <c r="E596" i="12" s="1"/>
  <c r="E590" i="12"/>
  <c r="E589" i="12"/>
  <c r="E582" i="12"/>
  <c r="E583" i="12" s="1"/>
  <c r="C572" i="12"/>
  <c r="E571" i="12"/>
  <c r="E570" i="12"/>
  <c r="E565" i="12"/>
  <c r="F565" i="12" s="1"/>
  <c r="E564" i="12"/>
  <c r="E559" i="12"/>
  <c r="F559" i="12" s="1"/>
  <c r="G559" i="12" s="1"/>
  <c r="E558" i="12"/>
  <c r="F558" i="12" s="1"/>
  <c r="G558" i="12" s="1"/>
  <c r="E557" i="12"/>
  <c r="E556" i="12"/>
  <c r="E555" i="12"/>
  <c r="E550" i="12"/>
  <c r="F550" i="12" s="1"/>
  <c r="E549" i="12"/>
  <c r="E548" i="12"/>
  <c r="E547" i="12"/>
  <c r="F547" i="12" s="1"/>
  <c r="G547" i="12" s="1"/>
  <c r="E546" i="12"/>
  <c r="F546" i="12" s="1"/>
  <c r="E545" i="12"/>
  <c r="F545" i="12" s="1"/>
  <c r="E544" i="12"/>
  <c r="E543" i="12"/>
  <c r="E542" i="12"/>
  <c r="F542" i="12" s="1"/>
  <c r="G542" i="12" s="1"/>
  <c r="E541" i="12"/>
  <c r="F541" i="12" s="1"/>
  <c r="E540" i="12"/>
  <c r="E539" i="12"/>
  <c r="F539" i="12" s="1"/>
  <c r="G539" i="12" s="1"/>
  <c r="E538" i="12"/>
  <c r="F538" i="12" s="1"/>
  <c r="G538" i="12" s="1"/>
  <c r="E537" i="12"/>
  <c r="E536" i="12"/>
  <c r="E535" i="12"/>
  <c r="F535" i="12" s="1"/>
  <c r="G535" i="12" s="1"/>
  <c r="E534" i="12"/>
  <c r="F534" i="12" s="1"/>
  <c r="E533" i="12"/>
  <c r="E531" i="12"/>
  <c r="E530" i="12"/>
  <c r="E525" i="12"/>
  <c r="E524" i="12"/>
  <c r="E519" i="12"/>
  <c r="F519" i="12" s="1"/>
  <c r="G519" i="12" s="1"/>
  <c r="E518" i="12"/>
  <c r="E517" i="12"/>
  <c r="E516" i="12"/>
  <c r="F516" i="12" s="1"/>
  <c r="G516" i="12" s="1"/>
  <c r="E515" i="12"/>
  <c r="F515" i="12" s="1"/>
  <c r="E510" i="12"/>
  <c r="E511" i="12" s="1"/>
  <c r="E496" i="12"/>
  <c r="E495" i="12"/>
  <c r="F495" i="12" s="1"/>
  <c r="E505" i="12"/>
  <c r="E504" i="12"/>
  <c r="F504" i="12" s="1"/>
  <c r="E503" i="12"/>
  <c r="F503" i="12" s="1"/>
  <c r="G503" i="12" s="1"/>
  <c r="E502" i="12"/>
  <c r="E501" i="12"/>
  <c r="E490" i="12"/>
  <c r="F490" i="12" s="1"/>
  <c r="E489" i="12"/>
  <c r="F489" i="12" s="1"/>
  <c r="G489" i="12" s="1"/>
  <c r="E488" i="12"/>
  <c r="F488" i="12" s="1"/>
  <c r="E470" i="12"/>
  <c r="F470" i="12" s="1"/>
  <c r="E469" i="12"/>
  <c r="E468" i="12"/>
  <c r="F468" i="12" s="1"/>
  <c r="G468" i="12" s="1"/>
  <c r="E467" i="12"/>
  <c r="F467" i="12" s="1"/>
  <c r="G467" i="12" s="1"/>
  <c r="E466" i="12"/>
  <c r="F466" i="12" s="1"/>
  <c r="E465" i="12"/>
  <c r="E464" i="12"/>
  <c r="E463" i="12"/>
  <c r="E462" i="12"/>
  <c r="F462" i="12" s="1"/>
  <c r="E461" i="12"/>
  <c r="F461" i="12" s="1"/>
  <c r="G461" i="12" s="1"/>
  <c r="E460" i="12"/>
  <c r="F460" i="12" s="1"/>
  <c r="E459" i="12"/>
  <c r="E454" i="12"/>
  <c r="F454" i="12" s="1"/>
  <c r="G454" i="12" s="1"/>
  <c r="E453" i="12"/>
  <c r="F453" i="12" s="1"/>
  <c r="E452" i="12"/>
  <c r="E451" i="12"/>
  <c r="F451" i="12" s="1"/>
  <c r="E450" i="12"/>
  <c r="F450" i="12" s="1"/>
  <c r="G450" i="12" s="1"/>
  <c r="E449" i="12"/>
  <c r="E439" i="12"/>
  <c r="E438" i="12"/>
  <c r="E433" i="12"/>
  <c r="E434" i="12" s="1"/>
  <c r="E423" i="12"/>
  <c r="F423" i="12" s="1"/>
  <c r="E422" i="12"/>
  <c r="E417" i="12"/>
  <c r="F417" i="12" s="1"/>
  <c r="F418" i="12" s="1"/>
  <c r="E412" i="12"/>
  <c r="F412" i="12" s="1"/>
  <c r="G412" i="12" s="1"/>
  <c r="E411" i="12"/>
  <c r="F411" i="12" s="1"/>
  <c r="E410" i="12"/>
  <c r="E409" i="12"/>
  <c r="F409" i="12" s="1"/>
  <c r="G409" i="12" s="1"/>
  <c r="E408" i="12"/>
  <c r="F408" i="12" s="1"/>
  <c r="G408" i="12" s="1"/>
  <c r="E407" i="12"/>
  <c r="E406" i="12"/>
  <c r="E405" i="12"/>
  <c r="F405" i="12" s="1"/>
  <c r="E404" i="12"/>
  <c r="F404" i="12" s="1"/>
  <c r="G404" i="12" s="1"/>
  <c r="E403" i="12"/>
  <c r="E402" i="12"/>
  <c r="E401" i="12"/>
  <c r="F401" i="12" s="1"/>
  <c r="E400" i="12"/>
  <c r="F400" i="12" s="1"/>
  <c r="G400" i="12" s="1"/>
  <c r="E399" i="12"/>
  <c r="F399" i="12" s="1"/>
  <c r="E398" i="12"/>
  <c r="E397" i="12"/>
  <c r="F397" i="12" s="1"/>
  <c r="G397" i="12" s="1"/>
  <c r="E396" i="12"/>
  <c r="F396" i="12" s="1"/>
  <c r="E395" i="12"/>
  <c r="E394" i="12"/>
  <c r="E393" i="12"/>
  <c r="F393" i="12" s="1"/>
  <c r="E392" i="12"/>
  <c r="E391" i="12"/>
  <c r="F391" i="12" s="1"/>
  <c r="E390" i="12"/>
  <c r="E389" i="12"/>
  <c r="F389" i="12" s="1"/>
  <c r="G389" i="12" s="1"/>
  <c r="E388" i="12"/>
  <c r="E371" i="12"/>
  <c r="F371" i="12" s="1"/>
  <c r="E370" i="12"/>
  <c r="E369" i="12"/>
  <c r="E368" i="12"/>
  <c r="F368" i="12" s="1"/>
  <c r="G368" i="12" s="1"/>
  <c r="E367" i="12"/>
  <c r="F367" i="12" s="1"/>
  <c r="E366" i="12"/>
  <c r="E365" i="12"/>
  <c r="E364" i="12"/>
  <c r="F364" i="12" s="1"/>
  <c r="G364" i="12" s="1"/>
  <c r="E363" i="12"/>
  <c r="F363" i="12" s="1"/>
  <c r="G363" i="12" s="1"/>
  <c r="E353" i="12"/>
  <c r="E354" i="12" s="1"/>
  <c r="E348" i="12"/>
  <c r="F348" i="12" s="1"/>
  <c r="E347" i="12"/>
  <c r="E346" i="12"/>
  <c r="E345" i="12"/>
  <c r="F345" i="12" s="1"/>
  <c r="G345" i="12" s="1"/>
  <c r="E344" i="12"/>
  <c r="E337" i="12"/>
  <c r="E338" i="12" s="1"/>
  <c r="E332" i="12"/>
  <c r="E333" i="12" s="1"/>
  <c r="E326" i="12"/>
  <c r="E325" i="12"/>
  <c r="F325" i="12" s="1"/>
  <c r="G325" i="12" s="1"/>
  <c r="E324" i="12"/>
  <c r="F324" i="12" s="1"/>
  <c r="G324" i="12" s="1"/>
  <c r="E323" i="12"/>
  <c r="F323" i="12" s="1"/>
  <c r="E327" i="12"/>
  <c r="E322" i="12"/>
  <c r="F322" i="12" s="1"/>
  <c r="E321" i="12"/>
  <c r="E320" i="12"/>
  <c r="E315" i="12"/>
  <c r="E314" i="12"/>
  <c r="E309" i="12"/>
  <c r="E310" i="12" s="1"/>
  <c r="E304" i="12"/>
  <c r="E303" i="12"/>
  <c r="E302" i="12"/>
  <c r="F302" i="12" s="1"/>
  <c r="E301" i="12"/>
  <c r="F301" i="12" s="1"/>
  <c r="G301" i="12" s="1"/>
  <c r="E300" i="12"/>
  <c r="E299" i="12"/>
  <c r="E298" i="12"/>
  <c r="E293" i="12"/>
  <c r="E294" i="12" s="1"/>
  <c r="E287" i="12"/>
  <c r="E286" i="12"/>
  <c r="F286" i="12" s="1"/>
  <c r="E285" i="12"/>
  <c r="E249" i="12"/>
  <c r="E248" i="12"/>
  <c r="F248" i="12" s="1"/>
  <c r="G248" i="12" s="1"/>
  <c r="E247" i="12"/>
  <c r="F247" i="12" s="1"/>
  <c r="E246" i="12"/>
  <c r="F246" i="12" s="1"/>
  <c r="E244" i="12"/>
  <c r="F244" i="12" s="1"/>
  <c r="G244" i="12" s="1"/>
  <c r="E245" i="12"/>
  <c r="E242" i="12"/>
  <c r="E241" i="12"/>
  <c r="F241" i="12" s="1"/>
  <c r="G241" i="12" s="1"/>
  <c r="E240" i="12"/>
  <c r="F240" i="12" s="1"/>
  <c r="G240" i="12" s="1"/>
  <c r="E239" i="12"/>
  <c r="E238" i="12"/>
  <c r="E237" i="12"/>
  <c r="F237" i="12" s="1"/>
  <c r="G237" i="12" s="1"/>
  <c r="E236" i="12"/>
  <c r="E235" i="12"/>
  <c r="F235" i="12" s="1"/>
  <c r="E234" i="12"/>
  <c r="E233" i="12"/>
  <c r="F233" i="12" s="1"/>
  <c r="G233" i="12" s="1"/>
  <c r="E232" i="12"/>
  <c r="F232" i="12" s="1"/>
  <c r="E231" i="12"/>
  <c r="E230" i="12"/>
  <c r="E229" i="12"/>
  <c r="F229" i="12" s="1"/>
  <c r="G229" i="12" s="1"/>
  <c r="E228" i="12"/>
  <c r="F228" i="12" s="1"/>
  <c r="G228" i="12" s="1"/>
  <c r="E227" i="12"/>
  <c r="F227" i="12" s="1"/>
  <c r="E226" i="12"/>
  <c r="E225" i="12"/>
  <c r="F225" i="12" s="1"/>
  <c r="E224" i="12"/>
  <c r="F224" i="12" s="1"/>
  <c r="G224" i="12" s="1"/>
  <c r="E223" i="12"/>
  <c r="F223" i="12" s="1"/>
  <c r="E222" i="12"/>
  <c r="E217" i="12"/>
  <c r="E216" i="12"/>
  <c r="E215" i="12"/>
  <c r="F215" i="12" s="1"/>
  <c r="G215" i="12" s="1"/>
  <c r="E214" i="12"/>
  <c r="F214" i="12" s="1"/>
  <c r="E213" i="12"/>
  <c r="E212" i="12"/>
  <c r="F212" i="12" s="1"/>
  <c r="E211" i="12"/>
  <c r="F211" i="12" s="1"/>
  <c r="G211" i="12" s="1"/>
  <c r="E210" i="12"/>
  <c r="F210" i="12" s="1"/>
  <c r="E209" i="12"/>
  <c r="E208" i="12"/>
  <c r="F208" i="12" s="1"/>
  <c r="G208" i="12" s="1"/>
  <c r="E207" i="12"/>
  <c r="F207" i="12" s="1"/>
  <c r="G207" i="12" s="1"/>
  <c r="E206" i="12"/>
  <c r="E205" i="12"/>
  <c r="E204" i="12"/>
  <c r="F204" i="12" s="1"/>
  <c r="G204" i="12" s="1"/>
  <c r="E203" i="12"/>
  <c r="E202" i="12"/>
  <c r="E201" i="12"/>
  <c r="E200" i="12"/>
  <c r="F200" i="12" s="1"/>
  <c r="G200" i="12" s="1"/>
  <c r="E199" i="12"/>
  <c r="F199" i="12" s="1"/>
  <c r="E198" i="12"/>
  <c r="F198" i="12" s="1"/>
  <c r="E197" i="12"/>
  <c r="E196" i="12"/>
  <c r="F196" i="12" s="1"/>
  <c r="G196" i="12" s="1"/>
  <c r="E195" i="12"/>
  <c r="E194" i="12"/>
  <c r="F194" i="12" s="1"/>
  <c r="E193" i="12"/>
  <c r="E192" i="12"/>
  <c r="F192" i="12" s="1"/>
  <c r="G192" i="12" s="1"/>
  <c r="E191" i="12"/>
  <c r="F191" i="12" s="1"/>
  <c r="G191" i="12" s="1"/>
  <c r="E190" i="12"/>
  <c r="F190" i="12" s="1"/>
  <c r="E189" i="12"/>
  <c r="E188" i="12"/>
  <c r="F188" i="12" s="1"/>
  <c r="G188" i="12" s="1"/>
  <c r="E187" i="12"/>
  <c r="F187" i="12" s="1"/>
  <c r="G187" i="12" s="1"/>
  <c r="E186" i="12"/>
  <c r="F186" i="12" s="1"/>
  <c r="E185" i="12"/>
  <c r="E184" i="12"/>
  <c r="F184" i="12" s="1"/>
  <c r="G184" i="12" s="1"/>
  <c r="E183" i="12"/>
  <c r="F183" i="12" s="1"/>
  <c r="E182" i="12"/>
  <c r="F182" i="12" s="1"/>
  <c r="E181" i="12"/>
  <c r="E180" i="12"/>
  <c r="F180" i="12" s="1"/>
  <c r="G180" i="12" s="1"/>
  <c r="E179" i="12"/>
  <c r="E178" i="12"/>
  <c r="F178" i="12" s="1"/>
  <c r="E177" i="12"/>
  <c r="E176" i="12"/>
  <c r="F176" i="12" s="1"/>
  <c r="G176" i="12" s="1"/>
  <c r="E175" i="12"/>
  <c r="F175" i="12" s="1"/>
  <c r="G175" i="12" s="1"/>
  <c r="E174" i="12"/>
  <c r="F174" i="12" s="1"/>
  <c r="E173" i="12"/>
  <c r="E162" i="12"/>
  <c r="F162" i="12" s="1"/>
  <c r="G162" i="12" s="1"/>
  <c r="E172" i="12"/>
  <c r="E171" i="12"/>
  <c r="F171" i="12" s="1"/>
  <c r="E161" i="12"/>
  <c r="E170" i="12"/>
  <c r="F170" i="12" s="1"/>
  <c r="G170" i="12" s="1"/>
  <c r="E169" i="12"/>
  <c r="F169" i="12" s="1"/>
  <c r="E168" i="12"/>
  <c r="F168" i="12" s="1"/>
  <c r="E167" i="12"/>
  <c r="E166" i="12"/>
  <c r="F166" i="12" s="1"/>
  <c r="G166" i="12" s="1"/>
  <c r="E160" i="12"/>
  <c r="E159" i="12"/>
  <c r="F159" i="12" s="1"/>
  <c r="E165" i="12"/>
  <c r="E164" i="12"/>
  <c r="F164" i="12" s="1"/>
  <c r="G164" i="12" s="1"/>
  <c r="E163" i="12"/>
  <c r="E158" i="12"/>
  <c r="F158" i="12" s="1"/>
  <c r="E153" i="12"/>
  <c r="E152" i="12"/>
  <c r="F152" i="12" s="1"/>
  <c r="E151" i="12"/>
  <c r="F151" i="12" s="1"/>
  <c r="G151" i="12" s="1"/>
  <c r="E150" i="12"/>
  <c r="E149" i="12"/>
  <c r="E147" i="12"/>
  <c r="F147" i="12" s="1"/>
  <c r="E146" i="12"/>
  <c r="F146" i="12" s="1"/>
  <c r="E145" i="12"/>
  <c r="E144" i="12"/>
  <c r="E143" i="12"/>
  <c r="F143" i="12" s="1"/>
  <c r="E142" i="12"/>
  <c r="F142" i="12" s="1"/>
  <c r="G142" i="12" s="1"/>
  <c r="E141" i="12"/>
  <c r="E140" i="12"/>
  <c r="E139" i="12"/>
  <c r="E138" i="12"/>
  <c r="F138" i="12" s="1"/>
  <c r="G138" i="12" s="1"/>
  <c r="E137" i="12"/>
  <c r="E136" i="12"/>
  <c r="E135" i="12"/>
  <c r="F135" i="12" s="1"/>
  <c r="G135" i="12" s="1"/>
  <c r="E134" i="12"/>
  <c r="F134" i="12" s="1"/>
  <c r="G134" i="12" s="1"/>
  <c r="E133" i="12"/>
  <c r="E128" i="12"/>
  <c r="E123" i="12"/>
  <c r="F123" i="12" s="1"/>
  <c r="G123" i="12" s="1"/>
  <c r="E122" i="12"/>
  <c r="F122" i="12" s="1"/>
  <c r="E121" i="12"/>
  <c r="E120" i="12"/>
  <c r="F120" i="12" s="1"/>
  <c r="G120" i="12" s="1"/>
  <c r="E119" i="12"/>
  <c r="F119" i="12" s="1"/>
  <c r="E118" i="12"/>
  <c r="F118" i="12" s="1"/>
  <c r="E117" i="12"/>
  <c r="E116" i="12"/>
  <c r="F116" i="12" s="1"/>
  <c r="G116" i="12" s="1"/>
  <c r="E115" i="12"/>
  <c r="F115" i="12" s="1"/>
  <c r="G115" i="12" s="1"/>
  <c r="E114" i="12"/>
  <c r="F114" i="12" s="1"/>
  <c r="E113" i="12"/>
  <c r="E112" i="12"/>
  <c r="F112" i="12" s="1"/>
  <c r="G112" i="12" s="1"/>
  <c r="E107" i="12"/>
  <c r="F107" i="12" s="1"/>
  <c r="G107" i="12" s="1"/>
  <c r="E106" i="12"/>
  <c r="F106" i="12" s="1"/>
  <c r="E105" i="12"/>
  <c r="E104" i="12"/>
  <c r="E103" i="12"/>
  <c r="F103" i="12" s="1"/>
  <c r="G103" i="12" s="1"/>
  <c r="E102" i="12"/>
  <c r="E101" i="12"/>
  <c r="E100" i="12"/>
  <c r="F100" i="12" s="1"/>
  <c r="G100" i="12" s="1"/>
  <c r="E99" i="12"/>
  <c r="F99" i="12" s="1"/>
  <c r="G99" i="12" s="1"/>
  <c r="E98" i="12"/>
  <c r="E97" i="12"/>
  <c r="E96" i="12"/>
  <c r="E91" i="12"/>
  <c r="F91" i="12" s="1"/>
  <c r="G91" i="12" s="1"/>
  <c r="E90" i="12"/>
  <c r="F90" i="12" s="1"/>
  <c r="E89" i="12"/>
  <c r="E88" i="12"/>
  <c r="F88" i="12" s="1"/>
  <c r="G88" i="12" s="1"/>
  <c r="E87" i="12"/>
  <c r="F87" i="12" s="1"/>
  <c r="G87" i="12" s="1"/>
  <c r="E86" i="12"/>
  <c r="E85" i="12"/>
  <c r="E84" i="12"/>
  <c r="F84" i="12" s="1"/>
  <c r="G84" i="12" s="1"/>
  <c r="E83" i="12"/>
  <c r="F83" i="12" s="1"/>
  <c r="G83" i="12" s="1"/>
  <c r="E82" i="12"/>
  <c r="F82" i="12" s="1"/>
  <c r="E81" i="12"/>
  <c r="E80" i="12"/>
  <c r="E79" i="12"/>
  <c r="F79" i="12" s="1"/>
  <c r="G79" i="12" s="1"/>
  <c r="E78" i="12"/>
  <c r="F78" i="12" s="1"/>
  <c r="E77" i="12"/>
  <c r="E76" i="12"/>
  <c r="E75" i="12"/>
  <c r="F75" i="12" s="1"/>
  <c r="G75" i="12" s="1"/>
  <c r="E74" i="12"/>
  <c r="F74" i="12" s="1"/>
  <c r="E73" i="12"/>
  <c r="E72" i="12"/>
  <c r="E71" i="12"/>
  <c r="F71" i="12" s="1"/>
  <c r="G71" i="12" s="1"/>
  <c r="E70" i="12"/>
  <c r="E69" i="12"/>
  <c r="E68" i="12"/>
  <c r="E67" i="12"/>
  <c r="F67" i="12" s="1"/>
  <c r="G67" i="12" s="1"/>
  <c r="E66" i="12"/>
  <c r="E65" i="12"/>
  <c r="E64" i="12"/>
  <c r="F64" i="12" s="1"/>
  <c r="G64" i="12" s="1"/>
  <c r="E63" i="12"/>
  <c r="E62" i="12"/>
  <c r="E61" i="12"/>
  <c r="E60" i="12"/>
  <c r="F60" i="12" s="1"/>
  <c r="G60" i="12" s="1"/>
  <c r="E59" i="12"/>
  <c r="F59" i="12" s="1"/>
  <c r="G59" i="12" s="1"/>
  <c r="E58" i="12"/>
  <c r="F58" i="12" s="1"/>
  <c r="E57" i="12"/>
  <c r="E56" i="12"/>
  <c r="F56" i="12" s="1"/>
  <c r="G56" i="12" s="1"/>
  <c r="E55" i="12"/>
  <c r="E50" i="12"/>
  <c r="F50" i="12" s="1"/>
  <c r="E49" i="12"/>
  <c r="E48" i="12"/>
  <c r="F48" i="12" s="1"/>
  <c r="G48" i="12" s="1"/>
  <c r="E47" i="12"/>
  <c r="F47" i="12" s="1"/>
  <c r="G47" i="12" s="1"/>
  <c r="E46" i="12"/>
  <c r="E45" i="12"/>
  <c r="E44" i="12"/>
  <c r="F44" i="12" s="1"/>
  <c r="G44" i="12" s="1"/>
  <c r="E43" i="12"/>
  <c r="F43" i="12" s="1"/>
  <c r="G43" i="12" s="1"/>
  <c r="E42" i="12"/>
  <c r="F42" i="12" s="1"/>
  <c r="E41" i="12"/>
  <c r="E40" i="12"/>
  <c r="F40" i="12" s="1"/>
  <c r="E39" i="12"/>
  <c r="E38" i="12"/>
  <c r="E37" i="12"/>
  <c r="E36" i="12"/>
  <c r="F36" i="12" s="1"/>
  <c r="E35" i="12"/>
  <c r="F35" i="12" s="1"/>
  <c r="G35" i="12" s="1"/>
  <c r="E34" i="12"/>
  <c r="F34" i="12" s="1"/>
  <c r="E33" i="12"/>
  <c r="E32" i="12"/>
  <c r="F32" i="12" s="1"/>
  <c r="E31" i="12"/>
  <c r="F31" i="12" s="1"/>
  <c r="G31" i="12" s="1"/>
  <c r="E30" i="12"/>
  <c r="E28" i="12"/>
  <c r="E29" i="12"/>
  <c r="F29" i="12" s="1"/>
  <c r="G29" i="12" s="1"/>
  <c r="E26" i="12"/>
  <c r="F26" i="12" s="1"/>
  <c r="E25" i="12"/>
  <c r="E24" i="12"/>
  <c r="F24" i="12" s="1"/>
  <c r="E23" i="12"/>
  <c r="E21" i="12"/>
  <c r="F21" i="12" s="1"/>
  <c r="G21" i="12" s="1"/>
  <c r="E22" i="12"/>
  <c r="F22" i="12" s="1"/>
  <c r="G22" i="12" s="1"/>
  <c r="E20" i="12"/>
  <c r="E19" i="12"/>
  <c r="E18" i="12"/>
  <c r="F18" i="12" s="1"/>
  <c r="G18" i="12" s="1"/>
  <c r="E17" i="12"/>
  <c r="F17" i="12" s="1"/>
  <c r="G17" i="12" s="1"/>
  <c r="E16" i="12"/>
  <c r="E15" i="12"/>
  <c r="E14" i="12"/>
  <c r="E13" i="12"/>
  <c r="E12" i="12"/>
  <c r="E11" i="12"/>
  <c r="E10" i="12"/>
  <c r="E9" i="12"/>
  <c r="F9" i="12" s="1"/>
  <c r="G9" i="12" s="1"/>
  <c r="E8" i="12"/>
  <c r="F8" i="12" s="1"/>
  <c r="E7" i="12"/>
  <c r="E6" i="12"/>
  <c r="E5" i="12"/>
  <c r="F5" i="12" s="1"/>
  <c r="G5" i="12" s="1"/>
  <c r="E709" i="12"/>
  <c r="E4" i="12"/>
  <c r="X11" i="13" l="1"/>
  <c r="H85" i="13"/>
  <c r="H86" i="13"/>
  <c r="H82" i="13"/>
  <c r="G90" i="13"/>
  <c r="Y73" i="13"/>
  <c r="H81" i="13"/>
  <c r="H80" i="13"/>
  <c r="H88" i="13"/>
  <c r="T88" i="13"/>
  <c r="AF85" i="13"/>
  <c r="O26" i="3"/>
  <c r="E722" i="12"/>
  <c r="O11" i="3"/>
  <c r="J7" i="13"/>
  <c r="J11" i="13"/>
  <c r="O8" i="3"/>
  <c r="O3" i="3"/>
  <c r="J3" i="13"/>
  <c r="J12" i="13"/>
  <c r="J6" i="13"/>
  <c r="J4" i="13"/>
  <c r="J9" i="13"/>
  <c r="J10" i="13"/>
  <c r="G51" i="13"/>
  <c r="E51" i="13"/>
  <c r="J8" i="13"/>
  <c r="F51" i="13"/>
  <c r="Q11" i="13"/>
  <c r="P11" i="13"/>
  <c r="S11" i="13"/>
  <c r="N11" i="13"/>
  <c r="O11" i="13"/>
  <c r="R11" i="13"/>
  <c r="J5" i="13"/>
  <c r="C51" i="13"/>
  <c r="S73" i="13"/>
  <c r="T87" i="13"/>
  <c r="AG71" i="13"/>
  <c r="AD82" i="13"/>
  <c r="H83" i="13"/>
  <c r="AF89" i="13"/>
  <c r="AG89" i="13" s="1"/>
  <c r="E73" i="13"/>
  <c r="Z78" i="13"/>
  <c r="Z90" i="13" s="1"/>
  <c r="N73" i="13"/>
  <c r="AF82" i="13"/>
  <c r="AG78" i="13"/>
  <c r="AG90" i="13" s="1"/>
  <c r="AD90" i="13"/>
  <c r="H89" i="13"/>
  <c r="H87" i="13"/>
  <c r="H79" i="13"/>
  <c r="AG85" i="13"/>
  <c r="X90" i="13"/>
  <c r="D73" i="13"/>
  <c r="P73" i="13"/>
  <c r="R73" i="13"/>
  <c r="O73" i="13"/>
  <c r="H78" i="13"/>
  <c r="C90" i="13"/>
  <c r="H84" i="13"/>
  <c r="AF86" i="13"/>
  <c r="AG86" i="13" s="1"/>
  <c r="C73" i="13"/>
  <c r="G73" i="13"/>
  <c r="F25" i="12"/>
  <c r="G25" i="12" s="1"/>
  <c r="E51" i="12"/>
  <c r="F4" i="12"/>
  <c r="F231" i="12"/>
  <c r="G231" i="12" s="1"/>
  <c r="E250" i="12"/>
  <c r="E551" i="12"/>
  <c r="F133" i="12"/>
  <c r="G133" i="12" s="1"/>
  <c r="E154" i="12"/>
  <c r="F530" i="12"/>
  <c r="G530" i="12" s="1"/>
  <c r="G128" i="12"/>
  <c r="G129" i="12" s="1"/>
  <c r="E129" i="12"/>
  <c r="F321" i="12"/>
  <c r="G321" i="12" s="1"/>
  <c r="E328" i="12"/>
  <c r="F710" i="12"/>
  <c r="G713" i="12"/>
  <c r="G719" i="12"/>
  <c r="F712" i="12"/>
  <c r="G712" i="12" s="1"/>
  <c r="F718" i="12"/>
  <c r="G718" i="12" s="1"/>
  <c r="F711" i="12"/>
  <c r="G711" i="12" s="1"/>
  <c r="F715" i="12"/>
  <c r="G715" i="12" s="1"/>
  <c r="F717" i="12"/>
  <c r="G717" i="12" s="1"/>
  <c r="F721" i="12"/>
  <c r="G721" i="12" s="1"/>
  <c r="C682" i="12"/>
  <c r="E682" i="12" s="1"/>
  <c r="O30" i="3" s="1"/>
  <c r="F675" i="12"/>
  <c r="O38" i="3" s="1"/>
  <c r="C666" i="12"/>
  <c r="E666" i="12" s="1"/>
  <c r="O39" i="3" s="1"/>
  <c r="C653" i="12"/>
  <c r="E653" i="12" s="1"/>
  <c r="O34" i="3" s="1"/>
  <c r="C646" i="12"/>
  <c r="E646" i="12" s="1"/>
  <c r="O47" i="3" s="1"/>
  <c r="C639" i="12"/>
  <c r="E639" i="12" s="1"/>
  <c r="O42" i="3" s="1"/>
  <c r="C626" i="12"/>
  <c r="E626" i="12" s="1"/>
  <c r="F625" i="12" s="1"/>
  <c r="O36" i="3" s="1"/>
  <c r="E480" i="12"/>
  <c r="F479" i="12" s="1"/>
  <c r="O12" i="3" s="1"/>
  <c r="F491" i="12"/>
  <c r="C585" i="12"/>
  <c r="E585" i="12" s="1"/>
  <c r="O41" i="3" s="1"/>
  <c r="F442" i="12"/>
  <c r="O32" i="3" s="1"/>
  <c r="E491" i="12"/>
  <c r="E372" i="12"/>
  <c r="E349" i="12"/>
  <c r="E288" i="12"/>
  <c r="E218" i="12"/>
  <c r="E632" i="12"/>
  <c r="E664" i="12"/>
  <c r="E659" i="12"/>
  <c r="E623" i="12"/>
  <c r="E591" i="12"/>
  <c r="E526" i="12"/>
  <c r="E560" i="12"/>
  <c r="E566" i="12"/>
  <c r="E506" i="12"/>
  <c r="E497" i="12"/>
  <c r="E520" i="12"/>
  <c r="E471" i="12"/>
  <c r="E455" i="12"/>
  <c r="E440" i="12"/>
  <c r="E305" i="12"/>
  <c r="E316" i="12"/>
  <c r="E424" i="12"/>
  <c r="E413" i="12"/>
  <c r="E418" i="12"/>
  <c r="G462" i="12"/>
  <c r="G147" i="12"/>
  <c r="E92" i="12"/>
  <c r="E108" i="12"/>
  <c r="F163" i="12"/>
  <c r="G163" i="12" s="1"/>
  <c r="G393" i="12"/>
  <c r="F96" i="12"/>
  <c r="G96" i="12" s="1"/>
  <c r="F332" i="12"/>
  <c r="F333" i="12" s="1"/>
  <c r="G451" i="12"/>
  <c r="G490" i="12"/>
  <c r="F353" i="12"/>
  <c r="F354" i="12" s="1"/>
  <c r="G26" i="12"/>
  <c r="G247" i="12"/>
  <c r="G4" i="12"/>
  <c r="F709" i="12"/>
  <c r="F68" i="12"/>
  <c r="G68" i="12" s="1"/>
  <c r="F172" i="12"/>
  <c r="G172" i="12" s="1"/>
  <c r="F203" i="12"/>
  <c r="G203" i="12" s="1"/>
  <c r="G322" i="12"/>
  <c r="G405" i="12"/>
  <c r="F570" i="12"/>
  <c r="G570" i="12" s="1"/>
  <c r="F657" i="12"/>
  <c r="E124" i="12"/>
  <c r="G146" i="12"/>
  <c r="G152" i="12"/>
  <c r="F293" i="12"/>
  <c r="F392" i="12"/>
  <c r="G392" i="12" s="1"/>
  <c r="F439" i="12"/>
  <c r="G439" i="12" s="1"/>
  <c r="F532" i="12"/>
  <c r="F543" i="12"/>
  <c r="G543" i="12" s="1"/>
  <c r="E572" i="12"/>
  <c r="F589" i="12"/>
  <c r="G169" i="12"/>
  <c r="G183" i="12"/>
  <c r="G199" i="12"/>
  <c r="G212" i="12"/>
  <c r="G367" i="12"/>
  <c r="G401" i="12"/>
  <c r="G515" i="12"/>
  <c r="G550" i="12"/>
  <c r="F555" i="12"/>
  <c r="F636" i="12"/>
  <c r="F637" i="12" s="1"/>
  <c r="F691" i="12"/>
  <c r="F692" i="12" s="1"/>
  <c r="F139" i="12"/>
  <c r="G139" i="12" s="1"/>
  <c r="F160" i="12"/>
  <c r="G160" i="12" s="1"/>
  <c r="F179" i="12"/>
  <c r="G179" i="12" s="1"/>
  <c r="F216" i="12"/>
  <c r="G216" i="12" s="1"/>
  <c r="F6" i="12"/>
  <c r="G6" i="12" s="1"/>
  <c r="F10" i="12"/>
  <c r="G10" i="12" s="1"/>
  <c r="F14" i="12"/>
  <c r="G14" i="12" s="1"/>
  <c r="F63" i="12"/>
  <c r="G63" i="12" s="1"/>
  <c r="F195" i="12"/>
  <c r="G195" i="12" s="1"/>
  <c r="F236" i="12"/>
  <c r="G236" i="12" s="1"/>
  <c r="F314" i="12"/>
  <c r="G314" i="12" s="1"/>
  <c r="F582" i="12"/>
  <c r="F583" i="12" s="1"/>
  <c r="F670" i="12"/>
  <c r="G670" i="12" s="1"/>
  <c r="E672" i="12"/>
  <c r="F698" i="12"/>
  <c r="F699" i="12" s="1"/>
  <c r="F13" i="12"/>
  <c r="G13" i="12" s="1"/>
  <c r="F28" i="12"/>
  <c r="G28" i="12" s="1"/>
  <c r="G32" i="12"/>
  <c r="G36" i="12"/>
  <c r="F39" i="12"/>
  <c r="G39" i="12" s="1"/>
  <c r="G40" i="12"/>
  <c r="F55" i="12"/>
  <c r="F72" i="12"/>
  <c r="G72" i="12" s="1"/>
  <c r="F76" i="12"/>
  <c r="G76" i="12" s="1"/>
  <c r="F80" i="12"/>
  <c r="G80" i="12" s="1"/>
  <c r="F104" i="12"/>
  <c r="G104" i="12" s="1"/>
  <c r="F245" i="12"/>
  <c r="G245" i="12" s="1"/>
  <c r="F287" i="12"/>
  <c r="G287" i="12" s="1"/>
  <c r="F344" i="12"/>
  <c r="G396" i="12"/>
  <c r="F337" i="12"/>
  <c r="F338" i="12" s="1"/>
  <c r="F346" i="12"/>
  <c r="G346" i="12" s="1"/>
  <c r="F464" i="12"/>
  <c r="G464" i="12" s="1"/>
  <c r="G119" i="12"/>
  <c r="G232" i="12"/>
  <c r="F298" i="12"/>
  <c r="F309" i="12"/>
  <c r="F310" i="12" s="1"/>
  <c r="G371" i="12"/>
  <c r="F388" i="12"/>
  <c r="G534" i="12"/>
  <c r="G546" i="12"/>
  <c r="G143" i="12"/>
  <c r="G225" i="12"/>
  <c r="G302" i="12"/>
  <c r="F438" i="12"/>
  <c r="G504" i="12"/>
  <c r="F609" i="12"/>
  <c r="F610" i="12" s="1"/>
  <c r="F41" i="12"/>
  <c r="G41" i="12" s="1"/>
  <c r="F65" i="12"/>
  <c r="G65" i="12" s="1"/>
  <c r="F19" i="12"/>
  <c r="G19" i="12" s="1"/>
  <c r="F27" i="12"/>
  <c r="G27" i="12" s="1"/>
  <c r="F38" i="12"/>
  <c r="G38" i="12" s="1"/>
  <c r="F69" i="12"/>
  <c r="G69" i="12" s="1"/>
  <c r="F101" i="12"/>
  <c r="G101" i="12" s="1"/>
  <c r="F140" i="12"/>
  <c r="G140" i="12" s="1"/>
  <c r="F205" i="12"/>
  <c r="G205" i="12" s="1"/>
  <c r="F209" i="12"/>
  <c r="G209" i="12" s="1"/>
  <c r="F303" i="12"/>
  <c r="G303" i="12" s="1"/>
  <c r="F398" i="12"/>
  <c r="G398" i="12" s="1"/>
  <c r="F406" i="12"/>
  <c r="G406" i="12" s="1"/>
  <c r="F505" i="12"/>
  <c r="G505" i="12" s="1"/>
  <c r="F533" i="12"/>
  <c r="G533" i="12" s="1"/>
  <c r="F549" i="12"/>
  <c r="G549" i="12" s="1"/>
  <c r="F23" i="12"/>
  <c r="G23" i="12" s="1"/>
  <c r="F49" i="12"/>
  <c r="G49" i="12" s="1"/>
  <c r="F57" i="12"/>
  <c r="G57" i="12" s="1"/>
  <c r="F66" i="12"/>
  <c r="G66" i="12" s="1"/>
  <c r="F73" i="12"/>
  <c r="G73" i="12" s="1"/>
  <c r="F86" i="12"/>
  <c r="G86" i="12" s="1"/>
  <c r="F98" i="12"/>
  <c r="G98" i="12" s="1"/>
  <c r="F105" i="12"/>
  <c r="G105" i="12" s="1"/>
  <c r="F113" i="12"/>
  <c r="G113" i="12" s="1"/>
  <c r="F141" i="12"/>
  <c r="G141" i="12" s="1"/>
  <c r="F153" i="12"/>
  <c r="G153" i="12" s="1"/>
  <c r="F202" i="12"/>
  <c r="G202" i="12" s="1"/>
  <c r="F206" i="12"/>
  <c r="G206" i="12" s="1"/>
  <c r="F222" i="12"/>
  <c r="G222" i="12" s="1"/>
  <c r="F299" i="12"/>
  <c r="F304" i="12"/>
  <c r="G304" i="12" s="1"/>
  <c r="F326" i="12"/>
  <c r="G326" i="12" s="1"/>
  <c r="F370" i="12"/>
  <c r="G370" i="12" s="1"/>
  <c r="F395" i="12"/>
  <c r="G395" i="12" s="1"/>
  <c r="F524" i="12"/>
  <c r="F15" i="12"/>
  <c r="G15" i="12" s="1"/>
  <c r="G78" i="12"/>
  <c r="F81" i="12"/>
  <c r="G81" i="12" s="1"/>
  <c r="F85" i="12"/>
  <c r="G85" i="12" s="1"/>
  <c r="F89" i="12"/>
  <c r="G89" i="12" s="1"/>
  <c r="F97" i="12"/>
  <c r="G118" i="12"/>
  <c r="F121" i="12"/>
  <c r="G121" i="12" s="1"/>
  <c r="F144" i="12"/>
  <c r="G144" i="12" s="1"/>
  <c r="F150" i="12"/>
  <c r="G150" i="12" s="1"/>
  <c r="F213" i="12"/>
  <c r="G213" i="12" s="1"/>
  <c r="G246" i="12"/>
  <c r="F327" i="12"/>
  <c r="G327" i="12" s="1"/>
  <c r="F366" i="12"/>
  <c r="G366" i="12" s="1"/>
  <c r="F452" i="12"/>
  <c r="G452" i="12" s="1"/>
  <c r="F12" i="12"/>
  <c r="G12" i="12" s="1"/>
  <c r="G42" i="12"/>
  <c r="F45" i="12"/>
  <c r="G45" i="12" s="1"/>
  <c r="F62" i="12"/>
  <c r="G62" i="12" s="1"/>
  <c r="G82" i="12"/>
  <c r="G90" i="12"/>
  <c r="G122" i="12"/>
  <c r="F136" i="12"/>
  <c r="G136" i="12" s="1"/>
  <c r="F145" i="12"/>
  <c r="G145" i="12" s="1"/>
  <c r="F226" i="12"/>
  <c r="G226" i="12" s="1"/>
  <c r="F433" i="12"/>
  <c r="F434" i="12" s="1"/>
  <c r="F7" i="12"/>
  <c r="G7" i="12" s="1"/>
  <c r="F16" i="12"/>
  <c r="G16" i="12" s="1"/>
  <c r="F33" i="12"/>
  <c r="G33" i="12" s="1"/>
  <c r="G8" i="12"/>
  <c r="F11" i="12"/>
  <c r="G11" i="12" s="1"/>
  <c r="F20" i="12"/>
  <c r="G20" i="12" s="1"/>
  <c r="G24" i="12"/>
  <c r="F30" i="12"/>
  <c r="G30" i="12" s="1"/>
  <c r="G34" i="12"/>
  <c r="F37" i="12"/>
  <c r="G37" i="12" s="1"/>
  <c r="F46" i="12"/>
  <c r="G46" i="12" s="1"/>
  <c r="G50" i="12"/>
  <c r="G58" i="12"/>
  <c r="F61" i="12"/>
  <c r="F70" i="12"/>
  <c r="G70" i="12" s="1"/>
  <c r="G74" i="12"/>
  <c r="F77" i="12"/>
  <c r="G77" i="12" s="1"/>
  <c r="F102" i="12"/>
  <c r="G102" i="12" s="1"/>
  <c r="G106" i="12"/>
  <c r="G114" i="12"/>
  <c r="F117" i="12"/>
  <c r="G117" i="12" s="1"/>
  <c r="F137" i="12"/>
  <c r="G137" i="12" s="1"/>
  <c r="F149" i="12"/>
  <c r="G149" i="12" s="1"/>
  <c r="F217" i="12"/>
  <c r="G217" i="12" s="1"/>
  <c r="G235" i="12"/>
  <c r="F239" i="12"/>
  <c r="G239" i="12" s="1"/>
  <c r="G286" i="12"/>
  <c r="F300" i="12"/>
  <c r="G300" i="12" s="1"/>
  <c r="F402" i="12"/>
  <c r="G402" i="12" s="1"/>
  <c r="F410" i="12"/>
  <c r="G410" i="12" s="1"/>
  <c r="F347" i="12"/>
  <c r="G347" i="12" s="1"/>
  <c r="F459" i="12"/>
  <c r="F463" i="12"/>
  <c r="G463" i="12" s="1"/>
  <c r="F525" i="12"/>
  <c r="G525" i="12" s="1"/>
  <c r="F658" i="12"/>
  <c r="G658" i="12" s="1"/>
  <c r="F165" i="12"/>
  <c r="G165" i="12" s="1"/>
  <c r="F167" i="12"/>
  <c r="G167" i="12" s="1"/>
  <c r="F161" i="12"/>
  <c r="G161" i="12" s="1"/>
  <c r="F173" i="12"/>
  <c r="G173" i="12" s="1"/>
  <c r="F177" i="12"/>
  <c r="G177" i="12" s="1"/>
  <c r="F181" i="12"/>
  <c r="G181" i="12" s="1"/>
  <c r="F185" i="12"/>
  <c r="G185" i="12" s="1"/>
  <c r="F189" i="12"/>
  <c r="G189" i="12" s="1"/>
  <c r="F193" i="12"/>
  <c r="G193" i="12" s="1"/>
  <c r="F197" i="12"/>
  <c r="G197" i="12" s="1"/>
  <c r="G210" i="12"/>
  <c r="G214" i="12"/>
  <c r="G223" i="12"/>
  <c r="G227" i="12"/>
  <c r="F230" i="12"/>
  <c r="G230" i="12" s="1"/>
  <c r="F315" i="12"/>
  <c r="F320" i="12"/>
  <c r="G348" i="12"/>
  <c r="F390" i="12"/>
  <c r="G390" i="12" s="1"/>
  <c r="F403" i="12"/>
  <c r="G403" i="12" s="1"/>
  <c r="F407" i="12"/>
  <c r="G407" i="12" s="1"/>
  <c r="G417" i="12"/>
  <c r="G418" i="12" s="1"/>
  <c r="G423" i="12"/>
  <c r="F449" i="12"/>
  <c r="G460" i="12"/>
  <c r="F501" i="12"/>
  <c r="F517" i="12"/>
  <c r="G517" i="12" s="1"/>
  <c r="F557" i="12"/>
  <c r="G557" i="12" s="1"/>
  <c r="F686" i="12"/>
  <c r="F687" i="12" s="1"/>
  <c r="G323" i="12"/>
  <c r="G399" i="12"/>
  <c r="G411" i="12"/>
  <c r="F422" i="12"/>
  <c r="F424" i="12" s="1"/>
  <c r="G453" i="12"/>
  <c r="F556" i="12"/>
  <c r="G158" i="12"/>
  <c r="G159" i="12"/>
  <c r="G168" i="12"/>
  <c r="G171" i="12"/>
  <c r="G174" i="12"/>
  <c r="G178" i="12"/>
  <c r="G182" i="12"/>
  <c r="G186" i="12"/>
  <c r="G190" i="12"/>
  <c r="G194" i="12"/>
  <c r="G198" i="12"/>
  <c r="F201" i="12"/>
  <c r="G201" i="12" s="1"/>
  <c r="F234" i="12"/>
  <c r="G234" i="12" s="1"/>
  <c r="F238" i="12"/>
  <c r="G238" i="12" s="1"/>
  <c r="F242" i="12"/>
  <c r="G242" i="12" s="1"/>
  <c r="F249" i="12"/>
  <c r="G249" i="12" s="1"/>
  <c r="F285" i="12"/>
  <c r="F365" i="12"/>
  <c r="F369" i="12"/>
  <c r="G369" i="12" s="1"/>
  <c r="G391" i="12"/>
  <c r="F394" i="12"/>
  <c r="G394" i="12" s="1"/>
  <c r="G495" i="12"/>
  <c r="F518" i="12"/>
  <c r="F531" i="12"/>
  <c r="G531" i="12" s="1"/>
  <c r="F536" i="12"/>
  <c r="G536" i="12" s="1"/>
  <c r="G545" i="12"/>
  <c r="F548" i="12"/>
  <c r="G548" i="12" s="1"/>
  <c r="G565" i="12"/>
  <c r="F595" i="12"/>
  <c r="F596" i="12" s="1"/>
  <c r="F643" i="12"/>
  <c r="F644" i="12" s="1"/>
  <c r="F465" i="12"/>
  <c r="G465" i="12" s="1"/>
  <c r="F469" i="12"/>
  <c r="G469" i="12" s="1"/>
  <c r="F540" i="12"/>
  <c r="G540" i="12" s="1"/>
  <c r="F590" i="12"/>
  <c r="F679" i="12"/>
  <c r="F680" i="12" s="1"/>
  <c r="G466" i="12"/>
  <c r="G470" i="12"/>
  <c r="G488" i="12"/>
  <c r="F502" i="12"/>
  <c r="G502" i="12" s="1"/>
  <c r="F496" i="12"/>
  <c r="F497" i="12" s="1"/>
  <c r="F510" i="12"/>
  <c r="F511" i="12" s="1"/>
  <c r="F537" i="12"/>
  <c r="G537" i="12" s="1"/>
  <c r="G541" i="12"/>
  <c r="F544" i="12"/>
  <c r="G544" i="12" s="1"/>
  <c r="F564" i="12"/>
  <c r="F566" i="12" s="1"/>
  <c r="F571" i="12"/>
  <c r="F604" i="12"/>
  <c r="F605" i="12" s="1"/>
  <c r="F614" i="12"/>
  <c r="F615" i="12" s="1"/>
  <c r="E615" i="12"/>
  <c r="F622" i="12"/>
  <c r="G622" i="12" s="1"/>
  <c r="G631" i="12"/>
  <c r="G663" i="12"/>
  <c r="G664" i="12" s="1"/>
  <c r="F671" i="12"/>
  <c r="F621" i="12"/>
  <c r="F630" i="12"/>
  <c r="F632" i="12" s="1"/>
  <c r="F650" i="12"/>
  <c r="F651" i="12" s="1"/>
  <c r="AG82" i="13" l="1"/>
  <c r="G709" i="12"/>
  <c r="F722" i="12"/>
  <c r="C704" i="12"/>
  <c r="O49" i="3"/>
  <c r="H90" i="13"/>
  <c r="G710" i="12"/>
  <c r="E704" i="12"/>
  <c r="G491" i="12"/>
  <c r="F372" i="12"/>
  <c r="F349" i="12"/>
  <c r="G657" i="12"/>
  <c r="G659" i="12" s="1"/>
  <c r="F659" i="12"/>
  <c r="F623" i="12"/>
  <c r="G589" i="12"/>
  <c r="F591" i="12"/>
  <c r="G555" i="12"/>
  <c r="F560" i="12"/>
  <c r="G532" i="12"/>
  <c r="G551" i="12" s="1"/>
  <c r="F551" i="12"/>
  <c r="F672" i="12"/>
  <c r="F455" i="12"/>
  <c r="F526" i="12"/>
  <c r="G501" i="12"/>
  <c r="G506" i="12" s="1"/>
  <c r="F506" i="12"/>
  <c r="F471" i="12"/>
  <c r="F328" i="12"/>
  <c r="F440" i="12"/>
  <c r="G691" i="12"/>
  <c r="G692" i="12" s="1"/>
  <c r="G636" i="12"/>
  <c r="G637" i="12" s="1"/>
  <c r="G388" i="12"/>
  <c r="G413" i="12" s="1"/>
  <c r="F413" i="12"/>
  <c r="G344" i="12"/>
  <c r="G349" i="12" s="1"/>
  <c r="F305" i="12"/>
  <c r="F108" i="12"/>
  <c r="G250" i="12"/>
  <c r="G298" i="12"/>
  <c r="F316" i="12"/>
  <c r="G293" i="12"/>
  <c r="G294" i="12" s="1"/>
  <c r="F294" i="12"/>
  <c r="G353" i="12"/>
  <c r="G354" i="12" s="1"/>
  <c r="G332" i="12"/>
  <c r="G333" i="12" s="1"/>
  <c r="G124" i="12"/>
  <c r="F218" i="12"/>
  <c r="F250" i="12"/>
  <c r="F572" i="12"/>
  <c r="F520" i="12"/>
  <c r="F288" i="12"/>
  <c r="G218" i="12"/>
  <c r="G154" i="12"/>
  <c r="F154" i="12"/>
  <c r="F51" i="12"/>
  <c r="G309" i="12"/>
  <c r="G310" i="12" s="1"/>
  <c r="G51" i="12"/>
  <c r="F124" i="12"/>
  <c r="G55" i="12"/>
  <c r="F92" i="12"/>
  <c r="G698" i="12"/>
  <c r="G699" i="12" s="1"/>
  <c r="G609" i="12"/>
  <c r="G610" i="12" s="1"/>
  <c r="G438" i="12"/>
  <c r="G440" i="12" s="1"/>
  <c r="G337" i="12"/>
  <c r="G338" i="12" s="1"/>
  <c r="G582" i="12"/>
  <c r="G583" i="12" s="1"/>
  <c r="G590" i="12"/>
  <c r="G365" i="12"/>
  <c r="G372" i="12" s="1"/>
  <c r="G671" i="12"/>
  <c r="G672" i="12" s="1"/>
  <c r="G571" i="12"/>
  <c r="G572" i="12" s="1"/>
  <c r="G496" i="12"/>
  <c r="G497" i="12" s="1"/>
  <c r="G604" i="12"/>
  <c r="G605" i="12" s="1"/>
  <c r="G518" i="12"/>
  <c r="G520" i="12" s="1"/>
  <c r="G630" i="12"/>
  <c r="G632" i="12" s="1"/>
  <c r="G449" i="12"/>
  <c r="G455" i="12" s="1"/>
  <c r="G650" i="12"/>
  <c r="G651" i="12" s="1"/>
  <c r="G614" i="12"/>
  <c r="G615" i="12" s="1"/>
  <c r="G564" i="12"/>
  <c r="G566" i="12" s="1"/>
  <c r="G595" i="12"/>
  <c r="G596" i="12" s="1"/>
  <c r="G556" i="12"/>
  <c r="G61" i="12"/>
  <c r="G621" i="12"/>
  <c r="G623" i="12" s="1"/>
  <c r="G643" i="12"/>
  <c r="G644" i="12" s="1"/>
  <c r="G315" i="12"/>
  <c r="G316" i="12" s="1"/>
  <c r="G686" i="12"/>
  <c r="G687" i="12" s="1"/>
  <c r="G433" i="12"/>
  <c r="G434" i="12" s="1"/>
  <c r="G524" i="12"/>
  <c r="G526" i="12" s="1"/>
  <c r="G299" i="12"/>
  <c r="G320" i="12"/>
  <c r="G328" i="12" s="1"/>
  <c r="G679" i="12"/>
  <c r="G680" i="12" s="1"/>
  <c r="G285" i="12"/>
  <c r="G288" i="12" s="1"/>
  <c r="G422" i="12"/>
  <c r="G424" i="12" s="1"/>
  <c r="G97" i="12"/>
  <c r="G108" i="12" s="1"/>
  <c r="G510" i="12"/>
  <c r="G511" i="12" s="1"/>
  <c r="G459" i="12"/>
  <c r="G471" i="12" s="1"/>
  <c r="G722" i="12" l="1"/>
  <c r="G591" i="12"/>
  <c r="G560" i="12"/>
  <c r="G305" i="12"/>
  <c r="G92" i="12"/>
  <c r="U3" i="11" l="1"/>
  <c r="U4" i="11"/>
  <c r="U5" i="11"/>
  <c r="U6" i="11"/>
  <c r="U7" i="11"/>
  <c r="U8" i="11"/>
  <c r="U9" i="11"/>
  <c r="U10" i="11"/>
  <c r="U11" i="11"/>
  <c r="AD9" i="11"/>
  <c r="AE9" i="11"/>
  <c r="AG9" i="11"/>
  <c r="AF9" i="11"/>
  <c r="AG8" i="11"/>
  <c r="S12" i="11"/>
  <c r="R12" i="11"/>
  <c r="Q12" i="11"/>
  <c r="P12" i="11"/>
  <c r="O12" i="11"/>
  <c r="N12" i="11"/>
  <c r="T12" i="11"/>
  <c r="Z12" i="11"/>
  <c r="X12" i="11"/>
  <c r="G51" i="11"/>
  <c r="F51" i="11"/>
  <c r="E51" i="11"/>
  <c r="D51" i="11"/>
  <c r="C51" i="11"/>
  <c r="AE92" i="11"/>
  <c r="N88" i="11"/>
  <c r="T88" i="11" s="1"/>
  <c r="F85" i="11"/>
  <c r="F81" i="11"/>
  <c r="AE73" i="11"/>
  <c r="AD73" i="11"/>
  <c r="Y73" i="11"/>
  <c r="X73" i="11"/>
  <c r="S73" i="11"/>
  <c r="Q73" i="11"/>
  <c r="P73" i="11"/>
  <c r="O73" i="11"/>
  <c r="N73" i="11"/>
  <c r="G73" i="11"/>
  <c r="F73" i="11"/>
  <c r="E73" i="11"/>
  <c r="D73" i="11"/>
  <c r="C73" i="11"/>
  <c r="AF72" i="11"/>
  <c r="Z72" i="11"/>
  <c r="Y91" i="11" s="1"/>
  <c r="T72" i="11"/>
  <c r="N91" i="11" s="1"/>
  <c r="H72" i="11"/>
  <c r="E91" i="11" s="1"/>
  <c r="AF71" i="11"/>
  <c r="Z71" i="11"/>
  <c r="X90" i="11" s="1"/>
  <c r="T71" i="11"/>
  <c r="P90" i="11" s="1"/>
  <c r="H71" i="11"/>
  <c r="G90" i="11" s="1"/>
  <c r="AF70" i="11"/>
  <c r="AG70" i="11" s="1"/>
  <c r="AD89" i="11" s="1"/>
  <c r="Z70" i="11"/>
  <c r="Y89" i="11" s="1"/>
  <c r="T70" i="11"/>
  <c r="S89" i="11" s="1"/>
  <c r="H70" i="11"/>
  <c r="E89" i="11" s="1"/>
  <c r="AF69" i="11"/>
  <c r="Z69" i="11"/>
  <c r="X88" i="11" s="1"/>
  <c r="T69" i="11"/>
  <c r="O88" i="11" s="1"/>
  <c r="H69" i="11"/>
  <c r="D88" i="11" s="1"/>
  <c r="AF68" i="11"/>
  <c r="AG68" i="11" s="1"/>
  <c r="AD87" i="11" s="1"/>
  <c r="Z68" i="11"/>
  <c r="Y87" i="11" s="1"/>
  <c r="T68" i="11"/>
  <c r="O87" i="11" s="1"/>
  <c r="H68" i="11"/>
  <c r="G87" i="11" s="1"/>
  <c r="AG67" i="11"/>
  <c r="AD86" i="11" s="1"/>
  <c r="AF67" i="11"/>
  <c r="Z67" i="11"/>
  <c r="Y86" i="11" s="1"/>
  <c r="T67" i="11"/>
  <c r="O86" i="11" s="1"/>
  <c r="H67" i="11"/>
  <c r="F86" i="11" s="1"/>
  <c r="AG66" i="11"/>
  <c r="AD85" i="11" s="1"/>
  <c r="AF66" i="11"/>
  <c r="Z66" i="11"/>
  <c r="Y85" i="11" s="1"/>
  <c r="T66" i="11"/>
  <c r="N85" i="11" s="1"/>
  <c r="H66" i="11"/>
  <c r="E85" i="11" s="1"/>
  <c r="AF65" i="11"/>
  <c r="Z65" i="11"/>
  <c r="X84" i="11" s="1"/>
  <c r="T65" i="11"/>
  <c r="O84" i="11" s="1"/>
  <c r="H65" i="11"/>
  <c r="D84" i="11" s="1"/>
  <c r="Z64" i="11"/>
  <c r="Y83" i="11" s="1"/>
  <c r="T64" i="11"/>
  <c r="O83" i="11" s="1"/>
  <c r="H64" i="11"/>
  <c r="G83" i="11" s="1"/>
  <c r="AG63" i="11"/>
  <c r="AD82" i="11" s="1"/>
  <c r="Z63" i="11"/>
  <c r="Y82" i="11" s="1"/>
  <c r="T63" i="11"/>
  <c r="O82" i="11" s="1"/>
  <c r="H63" i="11"/>
  <c r="F82" i="11" s="1"/>
  <c r="AG62" i="11"/>
  <c r="AF81" i="11" s="1"/>
  <c r="Z62" i="11"/>
  <c r="Y81" i="11" s="1"/>
  <c r="T62" i="11"/>
  <c r="N81" i="11" s="1"/>
  <c r="H62" i="11"/>
  <c r="E81" i="11" s="1"/>
  <c r="AG61" i="11"/>
  <c r="AF80" i="11" s="1"/>
  <c r="AF92" i="11" s="1"/>
  <c r="Z61" i="11"/>
  <c r="X80" i="11" s="1"/>
  <c r="T61" i="11"/>
  <c r="O80" i="11" s="1"/>
  <c r="H61" i="11"/>
  <c r="D80" i="11" s="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51" i="11" s="1"/>
  <c r="H18" i="11"/>
  <c r="H17" i="11"/>
  <c r="H16" i="11"/>
  <c r="H15" i="11"/>
  <c r="H14" i="11"/>
  <c r="H13" i="11"/>
  <c r="Y12" i="11"/>
  <c r="H12" i="11"/>
  <c r="Z11" i="11"/>
  <c r="T11" i="11"/>
  <c r="H11" i="11"/>
  <c r="Z10" i="11"/>
  <c r="T10" i="11"/>
  <c r="H10" i="11"/>
  <c r="Z9" i="11"/>
  <c r="T9" i="11"/>
  <c r="H9" i="11"/>
  <c r="Z8" i="11"/>
  <c r="T8" i="11"/>
  <c r="H8" i="11"/>
  <c r="AG7" i="11"/>
  <c r="Z7" i="11"/>
  <c r="T7" i="11"/>
  <c r="H7" i="11"/>
  <c r="Z6" i="11"/>
  <c r="T6" i="11"/>
  <c r="H6" i="11"/>
  <c r="AG5" i="11"/>
  <c r="Z5" i="11"/>
  <c r="T5" i="11"/>
  <c r="H5" i="11"/>
  <c r="AG4" i="11"/>
  <c r="Z4" i="11"/>
  <c r="T4" i="11"/>
  <c r="H4" i="11"/>
  <c r="AG3" i="11"/>
  <c r="Z3" i="11"/>
  <c r="T3" i="11"/>
  <c r="H3" i="11"/>
  <c r="D83" i="11" l="1"/>
  <c r="AG6" i="11"/>
  <c r="E80" i="11"/>
  <c r="E92" i="11" s="1"/>
  <c r="O81" i="11"/>
  <c r="T81" i="11" s="1"/>
  <c r="X83" i="11"/>
  <c r="D87" i="11"/>
  <c r="F89" i="11"/>
  <c r="F91" i="11"/>
  <c r="T91" i="11"/>
  <c r="Y90" i="11"/>
  <c r="Z90" i="11" s="1"/>
  <c r="AF73" i="11"/>
  <c r="AF85" i="11"/>
  <c r="AG85" i="11" s="1"/>
  <c r="AG71" i="11"/>
  <c r="AD90" i="11" s="1"/>
  <c r="N80" i="11"/>
  <c r="C82" i="11"/>
  <c r="E84" i="11"/>
  <c r="X87" i="11"/>
  <c r="O91" i="11"/>
  <c r="O92" i="11"/>
  <c r="AF89" i="11"/>
  <c r="AF86" i="11"/>
  <c r="AG86" i="11" s="1"/>
  <c r="Y80" i="11"/>
  <c r="Z80" i="11" s="1"/>
  <c r="G82" i="11"/>
  <c r="N84" i="11"/>
  <c r="E88" i="11"/>
  <c r="Q90" i="11"/>
  <c r="Y14" i="11"/>
  <c r="Q14" i="11"/>
  <c r="J3" i="11"/>
  <c r="Z83" i="11"/>
  <c r="AF91" i="11"/>
  <c r="N92" i="11"/>
  <c r="Z87" i="11"/>
  <c r="AG89" i="11"/>
  <c r="Y92" i="11"/>
  <c r="T84" i="11"/>
  <c r="Z73" i="11"/>
  <c r="X75" i="11" s="1"/>
  <c r="Y84" i="11"/>
  <c r="Z84" i="11" s="1"/>
  <c r="O85" i="11"/>
  <c r="T85" i="11" s="1"/>
  <c r="C86" i="11"/>
  <c r="AF87" i="11"/>
  <c r="AG87" i="11" s="1"/>
  <c r="O89" i="11"/>
  <c r="AG64" i="11"/>
  <c r="AD83" i="11" s="1"/>
  <c r="AG72" i="11"/>
  <c r="AD91" i="11" s="1"/>
  <c r="T73" i="11"/>
  <c r="O75" i="11" s="1"/>
  <c r="F80" i="11"/>
  <c r="F92" i="11" s="1"/>
  <c r="C81" i="11"/>
  <c r="G81" i="11"/>
  <c r="AD81" i="11"/>
  <c r="AG81" i="11" s="1"/>
  <c r="D82" i="11"/>
  <c r="X82" i="11"/>
  <c r="Z82" i="11" s="1"/>
  <c r="AF82" i="11"/>
  <c r="AG82" i="11" s="1"/>
  <c r="E83" i="11"/>
  <c r="N83" i="11"/>
  <c r="T83" i="11" s="1"/>
  <c r="F84" i="11"/>
  <c r="C85" i="11"/>
  <c r="G85" i="11"/>
  <c r="D86" i="11"/>
  <c r="X86" i="11"/>
  <c r="Z86" i="11" s="1"/>
  <c r="E87" i="11"/>
  <c r="N87" i="11"/>
  <c r="T87" i="11" s="1"/>
  <c r="F88" i="11"/>
  <c r="C89" i="11"/>
  <c r="G89" i="11"/>
  <c r="P89" i="11"/>
  <c r="X89" i="11"/>
  <c r="Z89" i="11" s="1"/>
  <c r="E90" i="11"/>
  <c r="N90" i="11"/>
  <c r="S90" i="11"/>
  <c r="C91" i="11"/>
  <c r="G91" i="11"/>
  <c r="G86" i="11"/>
  <c r="D90" i="11"/>
  <c r="AG65" i="11"/>
  <c r="AD84" i="11" s="1"/>
  <c r="AG69" i="11"/>
  <c r="AD88" i="11" s="1"/>
  <c r="C80" i="11"/>
  <c r="G80" i="11"/>
  <c r="G92" i="11" s="1"/>
  <c r="T80" i="11"/>
  <c r="AD80" i="11"/>
  <c r="D81" i="11"/>
  <c r="D92" i="11" s="1"/>
  <c r="X81" i="11"/>
  <c r="Z81" i="11" s="1"/>
  <c r="E82" i="11"/>
  <c r="N82" i="11"/>
  <c r="T82" i="11" s="1"/>
  <c r="F83" i="11"/>
  <c r="C84" i="11"/>
  <c r="G84" i="11"/>
  <c r="D85" i="11"/>
  <c r="X85" i="11"/>
  <c r="Z85" i="11" s="1"/>
  <c r="E86" i="11"/>
  <c r="N86" i="11"/>
  <c r="T86" i="11" s="1"/>
  <c r="F87" i="11"/>
  <c r="C88" i="11"/>
  <c r="G88" i="11"/>
  <c r="D89" i="11"/>
  <c r="Q89" i="11"/>
  <c r="F90" i="11"/>
  <c r="O90" i="11"/>
  <c r="D91" i="11"/>
  <c r="X91" i="11"/>
  <c r="Z91" i="11" s="1"/>
  <c r="Y88" i="11"/>
  <c r="Z88" i="11" s="1"/>
  <c r="H73" i="11"/>
  <c r="F75" i="11" s="1"/>
  <c r="C83" i="11"/>
  <c r="H83" i="11" s="1"/>
  <c r="C87" i="11"/>
  <c r="N89" i="11"/>
  <c r="C90" i="11"/>
  <c r="X14" i="11" l="1"/>
  <c r="N14" i="11"/>
  <c r="S14" i="11"/>
  <c r="P14" i="11"/>
  <c r="O14" i="11"/>
  <c r="H90" i="11"/>
  <c r="T92" i="11"/>
  <c r="H82" i="11"/>
  <c r="AF90" i="11"/>
  <c r="AG90" i="11" s="1"/>
  <c r="T89" i="11"/>
  <c r="AF83" i="11"/>
  <c r="X92" i="11"/>
  <c r="H87" i="11"/>
  <c r="J10" i="11"/>
  <c r="E53" i="11"/>
  <c r="R14" i="11"/>
  <c r="J11" i="11"/>
  <c r="D53" i="11"/>
  <c r="F53" i="11"/>
  <c r="J9" i="11"/>
  <c r="H84" i="11"/>
  <c r="R75" i="11"/>
  <c r="P75" i="11"/>
  <c r="Q75" i="11"/>
  <c r="S75" i="11"/>
  <c r="E75" i="11"/>
  <c r="J8" i="11"/>
  <c r="J6" i="11"/>
  <c r="J4" i="11"/>
  <c r="C53" i="11"/>
  <c r="G53" i="11"/>
  <c r="J12" i="11"/>
  <c r="H91" i="11"/>
  <c r="AG73" i="11"/>
  <c r="H88" i="11"/>
  <c r="H80" i="11"/>
  <c r="C92" i="11"/>
  <c r="T90" i="11"/>
  <c r="H85" i="11"/>
  <c r="AG91" i="11"/>
  <c r="H86" i="11"/>
  <c r="G75" i="11"/>
  <c r="AF84" i="11"/>
  <c r="AG84" i="11" s="1"/>
  <c r="N75" i="11"/>
  <c r="J7" i="11"/>
  <c r="D75" i="11"/>
  <c r="AG80" i="11"/>
  <c r="AG92" i="11" s="1"/>
  <c r="AD92" i="11"/>
  <c r="H89" i="11"/>
  <c r="H81" i="11"/>
  <c r="AG83" i="11"/>
  <c r="C75" i="11"/>
  <c r="Y75" i="11"/>
  <c r="Z92" i="11"/>
  <c r="J5" i="11"/>
  <c r="AF88" i="11"/>
  <c r="AG88" i="11" s="1"/>
  <c r="C581" i="10"/>
  <c r="H92" i="11" l="1"/>
  <c r="C243" i="10"/>
  <c r="L7" i="3" s="1"/>
  <c r="E729" i="10"/>
  <c r="E730" i="10" s="1"/>
  <c r="C730" i="10"/>
  <c r="C732" i="10" s="1"/>
  <c r="E732" i="10" s="1"/>
  <c r="L47" i="3" s="1"/>
  <c r="C715" i="10"/>
  <c r="C718" i="10"/>
  <c r="E718" i="10" s="1"/>
  <c r="C717" i="10"/>
  <c r="E717" i="10" s="1"/>
  <c r="C709" i="10"/>
  <c r="E709" i="10" s="1"/>
  <c r="C708" i="10"/>
  <c r="C686" i="10"/>
  <c r="L14" i="3" s="1"/>
  <c r="C681" i="10"/>
  <c r="L33" i="3" s="1"/>
  <c r="C668" i="10"/>
  <c r="L42" i="3" s="1"/>
  <c r="C663" i="10"/>
  <c r="L32" i="3" s="1"/>
  <c r="C657" i="10"/>
  <c r="L11" i="3" s="1"/>
  <c r="C648" i="10"/>
  <c r="L16" i="3" s="1"/>
  <c r="C635" i="10"/>
  <c r="C637" i="10" s="1"/>
  <c r="E637" i="10" s="1"/>
  <c r="L50" i="3" s="1"/>
  <c r="C630" i="10"/>
  <c r="L26" i="3" s="1"/>
  <c r="C624" i="10"/>
  <c r="L43" i="3" s="1"/>
  <c r="C619" i="10"/>
  <c r="L29" i="3" s="1"/>
  <c r="C612" i="10"/>
  <c r="L25" i="3" s="1"/>
  <c r="C601" i="10"/>
  <c r="L34" i="3" s="1"/>
  <c r="C586" i="10"/>
  <c r="C588" i="10" s="1"/>
  <c r="E588" i="10" s="1"/>
  <c r="L38" i="3" s="1"/>
  <c r="C575" i="10"/>
  <c r="L20" i="3" s="1"/>
  <c r="C570" i="10"/>
  <c r="C565" i="10"/>
  <c r="L35" i="3" s="1"/>
  <c r="C560" i="10"/>
  <c r="L13" i="3" s="1"/>
  <c r="C553" i="10"/>
  <c r="L10" i="3" s="1"/>
  <c r="C527" i="10"/>
  <c r="L30" i="3" s="1"/>
  <c r="C521" i="10"/>
  <c r="L28" i="3" s="1"/>
  <c r="C514" i="10"/>
  <c r="L44" i="3" s="1"/>
  <c r="C509" i="10"/>
  <c r="L39" i="3" s="1"/>
  <c r="C491" i="10"/>
  <c r="C500" i="10"/>
  <c r="C498" i="10"/>
  <c r="C496" i="10"/>
  <c r="C493" i="10"/>
  <c r="E504" i="10"/>
  <c r="E503" i="10"/>
  <c r="E502" i="10"/>
  <c r="E501" i="10"/>
  <c r="D500" i="10"/>
  <c r="E499" i="10"/>
  <c r="E497" i="10"/>
  <c r="E495" i="10"/>
  <c r="E494" i="10"/>
  <c r="C472" i="10"/>
  <c r="E472" i="10" s="1"/>
  <c r="C473" i="10"/>
  <c r="E473" i="10" s="1"/>
  <c r="E471" i="10"/>
  <c r="C469" i="10"/>
  <c r="C461" i="10"/>
  <c r="C455" i="10"/>
  <c r="L15" i="3" s="1"/>
  <c r="C448" i="10"/>
  <c r="L36" i="3" s="1"/>
  <c r="C440" i="10"/>
  <c r="C432" i="10"/>
  <c r="C423" i="10"/>
  <c r="C418" i="10"/>
  <c r="L12" i="3" s="1"/>
  <c r="C388" i="10"/>
  <c r="C375" i="10"/>
  <c r="C361" i="10"/>
  <c r="C349" i="10"/>
  <c r="C351" i="10" s="1"/>
  <c r="E351" i="10" s="1"/>
  <c r="L27" i="3" s="1"/>
  <c r="C343" i="10"/>
  <c r="L22" i="3" s="1"/>
  <c r="C337" i="10"/>
  <c r="L24" i="3" s="1"/>
  <c r="C331" i="10"/>
  <c r="C325" i="10"/>
  <c r="C319" i="10"/>
  <c r="C312" i="10"/>
  <c r="C306" i="10"/>
  <c r="L21" i="3" s="1"/>
  <c r="C299" i="10"/>
  <c r="L18" i="3" s="1"/>
  <c r="C290" i="10"/>
  <c r="L6" i="3" s="1"/>
  <c r="C267" i="10"/>
  <c r="C193" i="10"/>
  <c r="L5" i="3" s="1"/>
  <c r="C148" i="10"/>
  <c r="C129" i="10"/>
  <c r="C113" i="10"/>
  <c r="C76" i="10"/>
  <c r="C723" i="10"/>
  <c r="C725" i="10" s="1"/>
  <c r="E725" i="10" s="1"/>
  <c r="L49" i="3" s="1"/>
  <c r="E722" i="10"/>
  <c r="F722" i="10" s="1"/>
  <c r="E714" i="10"/>
  <c r="F714" i="10" s="1"/>
  <c r="E713" i="10"/>
  <c r="C706" i="10"/>
  <c r="E705" i="10"/>
  <c r="E704" i="10"/>
  <c r="F704" i="10" s="1"/>
  <c r="C698" i="10"/>
  <c r="C700" i="10" s="1"/>
  <c r="E700" i="10" s="1"/>
  <c r="L48" i="3" s="1"/>
  <c r="E697" i="10"/>
  <c r="E698" i="10" s="1"/>
  <c r="C691" i="10"/>
  <c r="C693" i="10" s="1"/>
  <c r="E693" i="10" s="1"/>
  <c r="L45" i="3" s="1"/>
  <c r="E690" i="10"/>
  <c r="E685" i="10"/>
  <c r="E686" i="10" s="1"/>
  <c r="E680" i="10"/>
  <c r="E679" i="10"/>
  <c r="C673" i="10"/>
  <c r="C675" i="10" s="1"/>
  <c r="E672" i="10"/>
  <c r="E673" i="10" s="1"/>
  <c r="E667" i="10"/>
  <c r="E668" i="10" s="1"/>
  <c r="E662" i="10"/>
  <c r="F662" i="10" s="1"/>
  <c r="E661" i="10"/>
  <c r="E656" i="10"/>
  <c r="F656" i="10" s="1"/>
  <c r="E655" i="10"/>
  <c r="E654" i="10"/>
  <c r="F654" i="10" s="1"/>
  <c r="E653" i="10"/>
  <c r="E652" i="10"/>
  <c r="F652" i="10" s="1"/>
  <c r="E647" i="10"/>
  <c r="E646" i="10"/>
  <c r="E645" i="10"/>
  <c r="F645" i="10" s="1"/>
  <c r="G645" i="10" s="1"/>
  <c r="E644" i="10"/>
  <c r="F644" i="10" s="1"/>
  <c r="E643" i="10"/>
  <c r="E642" i="10"/>
  <c r="F642" i="10" s="1"/>
  <c r="G642" i="10" s="1"/>
  <c r="E641" i="10"/>
  <c r="F641" i="10" s="1"/>
  <c r="E634" i="10"/>
  <c r="E635" i="10" s="1"/>
  <c r="E629" i="10"/>
  <c r="E628" i="10"/>
  <c r="E623" i="10"/>
  <c r="E624" i="10" s="1"/>
  <c r="E618" i="10"/>
  <c r="F618" i="10" s="1"/>
  <c r="G618" i="10" s="1"/>
  <c r="E617" i="10"/>
  <c r="F617" i="10" s="1"/>
  <c r="E616" i="10"/>
  <c r="E611" i="10"/>
  <c r="F611" i="10" s="1"/>
  <c r="G611" i="10" s="1"/>
  <c r="E610" i="10"/>
  <c r="F610" i="10" s="1"/>
  <c r="E609" i="10"/>
  <c r="E608" i="10"/>
  <c r="F608" i="10" s="1"/>
  <c r="G608" i="10" s="1"/>
  <c r="E607" i="10"/>
  <c r="F607" i="10" s="1"/>
  <c r="G607" i="10" s="1"/>
  <c r="E606" i="10"/>
  <c r="F606" i="10" s="1"/>
  <c r="E605" i="10"/>
  <c r="E600" i="10"/>
  <c r="E601" i="10" s="1"/>
  <c r="C594" i="10"/>
  <c r="C596" i="10" s="1"/>
  <c r="E596" i="10" s="1"/>
  <c r="L37" i="3" s="1"/>
  <c r="E593" i="10"/>
  <c r="F593" i="10" s="1"/>
  <c r="E592" i="10"/>
  <c r="E585" i="10"/>
  <c r="F585" i="10" s="1"/>
  <c r="F586" i="10" s="1"/>
  <c r="E579" i="10"/>
  <c r="E580" i="10"/>
  <c r="F580" i="10" s="1"/>
  <c r="G580" i="10" s="1"/>
  <c r="E569" i="10"/>
  <c r="E570" i="10" s="1"/>
  <c r="E564" i="10"/>
  <c r="E565" i="10" s="1"/>
  <c r="E559" i="10"/>
  <c r="E558" i="10"/>
  <c r="F558" i="10" s="1"/>
  <c r="E557" i="10"/>
  <c r="F557" i="10" s="1"/>
  <c r="E552" i="10"/>
  <c r="F552" i="10" s="1"/>
  <c r="E551" i="10"/>
  <c r="E550" i="10"/>
  <c r="E549" i="10"/>
  <c r="F549" i="10" s="1"/>
  <c r="E548" i="10"/>
  <c r="F548" i="10" s="1"/>
  <c r="E547" i="10"/>
  <c r="E546" i="10"/>
  <c r="E545" i="10"/>
  <c r="E544" i="10"/>
  <c r="F544" i="10" s="1"/>
  <c r="E543" i="10"/>
  <c r="E542" i="10"/>
  <c r="F542" i="10" s="1"/>
  <c r="E541" i="10"/>
  <c r="F541" i="10" s="1"/>
  <c r="G541" i="10" s="1"/>
  <c r="E540" i="10"/>
  <c r="E539" i="10"/>
  <c r="E538" i="10"/>
  <c r="E537" i="10"/>
  <c r="F537" i="10" s="1"/>
  <c r="E536" i="10"/>
  <c r="F536" i="10" s="1"/>
  <c r="E535" i="10"/>
  <c r="E534" i="10"/>
  <c r="E533" i="10"/>
  <c r="F533" i="10" s="1"/>
  <c r="G533" i="10" s="1"/>
  <c r="E532" i="10"/>
  <c r="F532" i="10" s="1"/>
  <c r="E531" i="10"/>
  <c r="E526" i="10"/>
  <c r="F526" i="10" s="1"/>
  <c r="E525" i="10"/>
  <c r="E520" i="10"/>
  <c r="E519" i="10"/>
  <c r="E518" i="10"/>
  <c r="E513" i="10"/>
  <c r="E514" i="10" s="1"/>
  <c r="E508" i="10"/>
  <c r="E509" i="10" s="1"/>
  <c r="E490" i="10"/>
  <c r="F490" i="10" s="1"/>
  <c r="E489" i="10"/>
  <c r="E488" i="10"/>
  <c r="E487" i="10"/>
  <c r="F487" i="10" s="1"/>
  <c r="E486" i="10"/>
  <c r="F486" i="10" s="1"/>
  <c r="G486" i="10" s="1"/>
  <c r="C482" i="10"/>
  <c r="L23" i="3" s="1"/>
  <c r="E481" i="10"/>
  <c r="F481" i="10" s="1"/>
  <c r="G481" i="10" s="1"/>
  <c r="E480" i="10"/>
  <c r="F480" i="10" s="1"/>
  <c r="G480" i="10" s="1"/>
  <c r="E479" i="10"/>
  <c r="F479" i="10" s="1"/>
  <c r="E478" i="10"/>
  <c r="E477" i="10"/>
  <c r="E468" i="10"/>
  <c r="F468" i="10" s="1"/>
  <c r="E467" i="10"/>
  <c r="E466" i="10"/>
  <c r="F466" i="10" s="1"/>
  <c r="G466" i="10" s="1"/>
  <c r="E465" i="10"/>
  <c r="E460" i="10"/>
  <c r="E459" i="10"/>
  <c r="E454" i="10"/>
  <c r="F454" i="10" s="1"/>
  <c r="G454" i="10" s="1"/>
  <c r="E453" i="10"/>
  <c r="F453" i="10" s="1"/>
  <c r="G453" i="10" s="1"/>
  <c r="E452" i="10"/>
  <c r="E447" i="10"/>
  <c r="F447" i="10" s="1"/>
  <c r="G447" i="10" s="1"/>
  <c r="E446" i="10"/>
  <c r="F446" i="10" s="1"/>
  <c r="G446" i="10" s="1"/>
  <c r="E445" i="10"/>
  <c r="E444" i="10"/>
  <c r="E431" i="10"/>
  <c r="E430" i="10"/>
  <c r="F430" i="10" s="1"/>
  <c r="G430" i="10" s="1"/>
  <c r="E429" i="10"/>
  <c r="F429" i="10" s="1"/>
  <c r="G429" i="10" s="1"/>
  <c r="E428" i="10"/>
  <c r="F428" i="10" s="1"/>
  <c r="E427" i="10"/>
  <c r="E422" i="10"/>
  <c r="E423" i="10" s="1"/>
  <c r="E417" i="10"/>
  <c r="F417" i="10" s="1"/>
  <c r="E416" i="10"/>
  <c r="F416" i="10" s="1"/>
  <c r="E415" i="10"/>
  <c r="E414" i="10"/>
  <c r="E413" i="10"/>
  <c r="F413" i="10" s="1"/>
  <c r="G413" i="10" s="1"/>
  <c r="E412" i="10"/>
  <c r="F412" i="10" s="1"/>
  <c r="E411" i="10"/>
  <c r="E410" i="10"/>
  <c r="E409" i="10"/>
  <c r="F409" i="10" s="1"/>
  <c r="E408" i="10"/>
  <c r="E407" i="10"/>
  <c r="E406" i="10"/>
  <c r="E405" i="10"/>
  <c r="F405" i="10" s="1"/>
  <c r="G405" i="10" s="1"/>
  <c r="E404" i="10"/>
  <c r="F404" i="10" s="1"/>
  <c r="E403" i="10"/>
  <c r="E402" i="10"/>
  <c r="E401" i="10"/>
  <c r="F401" i="10" s="1"/>
  <c r="E400" i="10"/>
  <c r="E399" i="10"/>
  <c r="E398" i="10"/>
  <c r="E397" i="10"/>
  <c r="F397" i="10" s="1"/>
  <c r="G397" i="10" s="1"/>
  <c r="E396" i="10"/>
  <c r="F396" i="10" s="1"/>
  <c r="E395" i="10"/>
  <c r="E394" i="10"/>
  <c r="E393" i="10"/>
  <c r="F393" i="10" s="1"/>
  <c r="G393" i="10" s="1"/>
  <c r="E392" i="10"/>
  <c r="E374" i="10"/>
  <c r="F374" i="10" s="1"/>
  <c r="E373" i="10"/>
  <c r="E372" i="10"/>
  <c r="F372" i="10" s="1"/>
  <c r="G372" i="10" s="1"/>
  <c r="E371" i="10"/>
  <c r="F371" i="10" s="1"/>
  <c r="G371" i="10" s="1"/>
  <c r="E370" i="10"/>
  <c r="E369" i="10"/>
  <c r="E368" i="10"/>
  <c r="F368" i="10" s="1"/>
  <c r="G368" i="10" s="1"/>
  <c r="E367" i="10"/>
  <c r="F367" i="10" s="1"/>
  <c r="E366" i="10"/>
  <c r="E365" i="10"/>
  <c r="E360" i="10"/>
  <c r="F360" i="10" s="1"/>
  <c r="E359" i="10"/>
  <c r="F359" i="10" s="1"/>
  <c r="E358" i="10"/>
  <c r="E357" i="10"/>
  <c r="F357" i="10" s="1"/>
  <c r="G357" i="10" s="1"/>
  <c r="E356" i="10"/>
  <c r="F356" i="10" s="1"/>
  <c r="E355" i="10"/>
  <c r="E348" i="10"/>
  <c r="E347" i="10"/>
  <c r="E342" i="10"/>
  <c r="E341" i="10"/>
  <c r="F341" i="10" s="1"/>
  <c r="E336" i="10"/>
  <c r="F336" i="10" s="1"/>
  <c r="E335" i="10"/>
  <c r="E330" i="10"/>
  <c r="E329" i="10"/>
  <c r="F329" i="10" s="1"/>
  <c r="G329" i="10" s="1"/>
  <c r="E324" i="10"/>
  <c r="E323" i="10"/>
  <c r="E318" i="10"/>
  <c r="E317" i="10"/>
  <c r="F317" i="10" s="1"/>
  <c r="E316" i="10"/>
  <c r="E311" i="10"/>
  <c r="E310" i="10"/>
  <c r="E305" i="10"/>
  <c r="F305" i="10" s="1"/>
  <c r="G305" i="10" s="1"/>
  <c r="E304" i="10"/>
  <c r="F304" i="10" s="1"/>
  <c r="G304" i="10" s="1"/>
  <c r="E303" i="10"/>
  <c r="E298" i="10"/>
  <c r="E297" i="10"/>
  <c r="F297" i="10" s="1"/>
  <c r="G297" i="10" s="1"/>
  <c r="E296" i="10"/>
  <c r="F296" i="10" s="1"/>
  <c r="G296" i="10" s="1"/>
  <c r="E295" i="10"/>
  <c r="E294" i="10"/>
  <c r="E266" i="10"/>
  <c r="E265" i="10"/>
  <c r="F265" i="10" s="1"/>
  <c r="G265" i="10" s="1"/>
  <c r="E264" i="10"/>
  <c r="F264" i="10" s="1"/>
  <c r="E263" i="10"/>
  <c r="E262" i="10"/>
  <c r="E261" i="10"/>
  <c r="F261" i="10" s="1"/>
  <c r="E260" i="10"/>
  <c r="E259" i="10"/>
  <c r="E258" i="10"/>
  <c r="E257" i="10"/>
  <c r="F257" i="10" s="1"/>
  <c r="G257" i="10" s="1"/>
  <c r="E256" i="10"/>
  <c r="F256" i="10" s="1"/>
  <c r="E255" i="10"/>
  <c r="E254" i="10"/>
  <c r="E253" i="10"/>
  <c r="E252" i="10"/>
  <c r="F252" i="10" s="1"/>
  <c r="E251" i="10"/>
  <c r="E250" i="10"/>
  <c r="E249" i="10"/>
  <c r="F249" i="10" s="1"/>
  <c r="G249" i="10" s="1"/>
  <c r="E248" i="10"/>
  <c r="F248" i="10" s="1"/>
  <c r="E247" i="10"/>
  <c r="E242" i="10"/>
  <c r="F242" i="10" s="1"/>
  <c r="G242" i="10" s="1"/>
  <c r="E241" i="10"/>
  <c r="E240" i="10"/>
  <c r="E239" i="10"/>
  <c r="F239" i="10" s="1"/>
  <c r="G239" i="10" s="1"/>
  <c r="E238" i="10"/>
  <c r="F238" i="10" s="1"/>
  <c r="G238" i="10" s="1"/>
  <c r="E237" i="10"/>
  <c r="E236" i="10"/>
  <c r="E235" i="10"/>
  <c r="F235" i="10" s="1"/>
  <c r="G235" i="10" s="1"/>
  <c r="E234" i="10"/>
  <c r="F234" i="10" s="1"/>
  <c r="G234" i="10" s="1"/>
  <c r="E233" i="10"/>
  <c r="E232" i="10"/>
  <c r="E231" i="10"/>
  <c r="F231" i="10" s="1"/>
  <c r="G231" i="10" s="1"/>
  <c r="E230" i="10"/>
  <c r="F230" i="10" s="1"/>
  <c r="G230" i="10" s="1"/>
  <c r="E229" i="10"/>
  <c r="E228" i="10"/>
  <c r="E227" i="10"/>
  <c r="F227" i="10" s="1"/>
  <c r="G227" i="10" s="1"/>
  <c r="E226" i="10"/>
  <c r="F226" i="10" s="1"/>
  <c r="G226" i="10" s="1"/>
  <c r="E225" i="10"/>
  <c r="E224" i="10"/>
  <c r="E223" i="10"/>
  <c r="F223" i="10" s="1"/>
  <c r="G223" i="10" s="1"/>
  <c r="E222" i="10"/>
  <c r="F222" i="10" s="1"/>
  <c r="G222" i="10" s="1"/>
  <c r="E221" i="10"/>
  <c r="E220" i="10"/>
  <c r="E219" i="10"/>
  <c r="F219" i="10" s="1"/>
  <c r="G219" i="10" s="1"/>
  <c r="E218" i="10"/>
  <c r="F218" i="10" s="1"/>
  <c r="G218" i="10" s="1"/>
  <c r="E217" i="10"/>
  <c r="E216" i="10"/>
  <c r="E215" i="10"/>
  <c r="F215" i="10" s="1"/>
  <c r="G215" i="10" s="1"/>
  <c r="E214" i="10"/>
  <c r="F214" i="10" s="1"/>
  <c r="G214" i="10" s="1"/>
  <c r="E213" i="10"/>
  <c r="E212" i="10"/>
  <c r="E211" i="10"/>
  <c r="F211" i="10" s="1"/>
  <c r="G211" i="10" s="1"/>
  <c r="E204" i="10"/>
  <c r="F204" i="10" s="1"/>
  <c r="G204" i="10" s="1"/>
  <c r="E203" i="10"/>
  <c r="E202" i="10"/>
  <c r="E210" i="10"/>
  <c r="F210" i="10" s="1"/>
  <c r="G210" i="10" s="1"/>
  <c r="E209" i="10"/>
  <c r="F209" i="10" s="1"/>
  <c r="G209" i="10" s="1"/>
  <c r="E201" i="10"/>
  <c r="E200" i="10"/>
  <c r="E208" i="10"/>
  <c r="F208" i="10" s="1"/>
  <c r="G208" i="10" s="1"/>
  <c r="E207" i="10"/>
  <c r="F207" i="10" s="1"/>
  <c r="G207" i="10" s="1"/>
  <c r="E199" i="10"/>
  <c r="E206" i="10"/>
  <c r="E205" i="10"/>
  <c r="F205" i="10" s="1"/>
  <c r="G205" i="10" s="1"/>
  <c r="E198" i="10"/>
  <c r="F198" i="10" s="1"/>
  <c r="G198" i="10" s="1"/>
  <c r="E197" i="10"/>
  <c r="E192" i="10"/>
  <c r="E191" i="10"/>
  <c r="F191" i="10" s="1"/>
  <c r="G191" i="10" s="1"/>
  <c r="E190" i="10"/>
  <c r="F190" i="10" s="1"/>
  <c r="G190" i="10" s="1"/>
  <c r="E189" i="10"/>
  <c r="E188" i="10"/>
  <c r="E187" i="10"/>
  <c r="F187" i="10" s="1"/>
  <c r="G187" i="10" s="1"/>
  <c r="E186" i="10"/>
  <c r="F186" i="10" s="1"/>
  <c r="G186" i="10" s="1"/>
  <c r="E185" i="10"/>
  <c r="E184" i="10"/>
  <c r="E183" i="10"/>
  <c r="F183" i="10" s="1"/>
  <c r="G183" i="10" s="1"/>
  <c r="E182" i="10"/>
  <c r="F182" i="10" s="1"/>
  <c r="G182" i="10" s="1"/>
  <c r="E181" i="10"/>
  <c r="E180" i="10"/>
  <c r="E179" i="10"/>
  <c r="F179" i="10" s="1"/>
  <c r="G179" i="10" s="1"/>
  <c r="E178" i="10"/>
  <c r="F178" i="10" s="1"/>
  <c r="G178" i="10" s="1"/>
  <c r="E177" i="10"/>
  <c r="E176" i="10"/>
  <c r="E175" i="10"/>
  <c r="F175" i="10" s="1"/>
  <c r="G175" i="10" s="1"/>
  <c r="E174" i="10"/>
  <c r="F174" i="10" s="1"/>
  <c r="G174" i="10" s="1"/>
  <c r="E173" i="10"/>
  <c r="E172" i="10"/>
  <c r="E171" i="10"/>
  <c r="F171" i="10" s="1"/>
  <c r="G171" i="10" s="1"/>
  <c r="E170" i="10"/>
  <c r="F170" i="10" s="1"/>
  <c r="G170" i="10" s="1"/>
  <c r="E169" i="10"/>
  <c r="E168" i="10"/>
  <c r="E167" i="10"/>
  <c r="F167" i="10" s="1"/>
  <c r="G167" i="10" s="1"/>
  <c r="E166" i="10"/>
  <c r="F166" i="10" s="1"/>
  <c r="G166" i="10" s="1"/>
  <c r="E165" i="10"/>
  <c r="E164" i="10"/>
  <c r="E163" i="10"/>
  <c r="F163" i="10" s="1"/>
  <c r="G163" i="10" s="1"/>
  <c r="E162" i="10"/>
  <c r="F162" i="10" s="1"/>
  <c r="G162" i="10" s="1"/>
  <c r="E161" i="10"/>
  <c r="E160" i="10"/>
  <c r="E159" i="10"/>
  <c r="F159" i="10" s="1"/>
  <c r="G159" i="10" s="1"/>
  <c r="E158" i="10"/>
  <c r="F158" i="10" s="1"/>
  <c r="G158" i="10" s="1"/>
  <c r="E157" i="10"/>
  <c r="E156" i="10"/>
  <c r="E155" i="10"/>
  <c r="F155" i="10" s="1"/>
  <c r="G155" i="10" s="1"/>
  <c r="E154" i="10"/>
  <c r="F154" i="10" s="1"/>
  <c r="G154" i="10" s="1"/>
  <c r="E153" i="10"/>
  <c r="E152" i="10"/>
  <c r="E193" i="10" s="1"/>
  <c r="E147" i="10"/>
  <c r="E146" i="10"/>
  <c r="E145" i="10"/>
  <c r="F145" i="10" s="1"/>
  <c r="G145" i="10" s="1"/>
  <c r="E144" i="10"/>
  <c r="F144" i="10" s="1"/>
  <c r="G144" i="10" s="1"/>
  <c r="E143" i="10"/>
  <c r="E142" i="10"/>
  <c r="E141" i="10"/>
  <c r="F141" i="10" s="1"/>
  <c r="G141" i="10" s="1"/>
  <c r="E140" i="10"/>
  <c r="F140" i="10" s="1"/>
  <c r="G140" i="10" s="1"/>
  <c r="E139" i="10"/>
  <c r="E138" i="10"/>
  <c r="E137" i="10"/>
  <c r="F137" i="10" s="1"/>
  <c r="G137" i="10" s="1"/>
  <c r="E136" i="10"/>
  <c r="F136" i="10" s="1"/>
  <c r="G136" i="10" s="1"/>
  <c r="E135" i="10"/>
  <c r="E134" i="10"/>
  <c r="E133" i="10"/>
  <c r="F133" i="10" s="1"/>
  <c r="E128" i="10"/>
  <c r="F128" i="10" s="1"/>
  <c r="G128" i="10" s="1"/>
  <c r="E127" i="10"/>
  <c r="E126" i="10"/>
  <c r="E125" i="10"/>
  <c r="F125" i="10" s="1"/>
  <c r="G125" i="10" s="1"/>
  <c r="E124" i="10"/>
  <c r="F124" i="10" s="1"/>
  <c r="G124" i="10" s="1"/>
  <c r="E123" i="10"/>
  <c r="E122" i="10"/>
  <c r="E121" i="10"/>
  <c r="F121" i="10" s="1"/>
  <c r="G121" i="10" s="1"/>
  <c r="E120" i="10"/>
  <c r="F120" i="10" s="1"/>
  <c r="G120" i="10" s="1"/>
  <c r="E119" i="10"/>
  <c r="E118" i="10"/>
  <c r="E117" i="10"/>
  <c r="E112" i="10"/>
  <c r="F112" i="10" s="1"/>
  <c r="G112" i="10" s="1"/>
  <c r="E111" i="10"/>
  <c r="E110" i="10"/>
  <c r="E109" i="10"/>
  <c r="F109" i="10" s="1"/>
  <c r="G109" i="10" s="1"/>
  <c r="E108" i="10"/>
  <c r="F108" i="10" s="1"/>
  <c r="G108" i="10" s="1"/>
  <c r="E107" i="10"/>
  <c r="E106" i="10"/>
  <c r="E105" i="10"/>
  <c r="F105" i="10" s="1"/>
  <c r="G105" i="10" s="1"/>
  <c r="E104" i="10"/>
  <c r="F104" i="10" s="1"/>
  <c r="G104" i="10" s="1"/>
  <c r="E103" i="10"/>
  <c r="E102" i="10"/>
  <c r="E101" i="10"/>
  <c r="F101" i="10" s="1"/>
  <c r="G101" i="10" s="1"/>
  <c r="E100" i="10"/>
  <c r="F100" i="10" s="1"/>
  <c r="G100" i="10" s="1"/>
  <c r="E99" i="10"/>
  <c r="E98" i="10"/>
  <c r="E97" i="10"/>
  <c r="F97" i="10" s="1"/>
  <c r="G97" i="10" s="1"/>
  <c r="E96" i="10"/>
  <c r="F96" i="10" s="1"/>
  <c r="G96" i="10" s="1"/>
  <c r="E95" i="10"/>
  <c r="E94" i="10"/>
  <c r="E93" i="10"/>
  <c r="F93" i="10" s="1"/>
  <c r="G93" i="10" s="1"/>
  <c r="E92" i="10"/>
  <c r="F92" i="10" s="1"/>
  <c r="G92" i="10" s="1"/>
  <c r="E91" i="10"/>
  <c r="E90" i="10"/>
  <c r="E89" i="10"/>
  <c r="F89" i="10" s="1"/>
  <c r="G89" i="10" s="1"/>
  <c r="E88" i="10"/>
  <c r="F88" i="10" s="1"/>
  <c r="G88" i="10" s="1"/>
  <c r="E84" i="10"/>
  <c r="E83" i="10"/>
  <c r="F83" i="10" s="1"/>
  <c r="E87" i="10"/>
  <c r="F87" i="10" s="1"/>
  <c r="G87" i="10" s="1"/>
  <c r="E86" i="10"/>
  <c r="F86" i="10" s="1"/>
  <c r="G86" i="10" s="1"/>
  <c r="E85" i="10"/>
  <c r="E82" i="10"/>
  <c r="E81" i="10"/>
  <c r="F81" i="10" s="1"/>
  <c r="G81" i="10" s="1"/>
  <c r="E80" i="10"/>
  <c r="E75" i="10"/>
  <c r="E74" i="10"/>
  <c r="F74" i="10" s="1"/>
  <c r="G74" i="10" s="1"/>
  <c r="E73" i="10"/>
  <c r="E72" i="10"/>
  <c r="F72" i="10" s="1"/>
  <c r="E71" i="10"/>
  <c r="E70" i="10"/>
  <c r="F70" i="10" s="1"/>
  <c r="G70" i="10" s="1"/>
  <c r="E69" i="10"/>
  <c r="F69" i="10" s="1"/>
  <c r="E68" i="10"/>
  <c r="F68" i="10" s="1"/>
  <c r="E67" i="10"/>
  <c r="E66" i="10"/>
  <c r="F66" i="10" s="1"/>
  <c r="G66" i="10" s="1"/>
  <c r="E65" i="10"/>
  <c r="F65" i="10" s="1"/>
  <c r="G65" i="10" s="1"/>
  <c r="E64" i="10"/>
  <c r="E63" i="10"/>
  <c r="E62" i="10"/>
  <c r="F62" i="10" s="1"/>
  <c r="G62" i="10" s="1"/>
  <c r="E61" i="10"/>
  <c r="F61" i="10" s="1"/>
  <c r="G61" i="10" s="1"/>
  <c r="E60" i="10"/>
  <c r="E59" i="10"/>
  <c r="E58" i="10"/>
  <c r="F58" i="10" s="1"/>
  <c r="G58" i="10" s="1"/>
  <c r="E57" i="10"/>
  <c r="E56" i="10"/>
  <c r="E55" i="10"/>
  <c r="E54" i="10"/>
  <c r="F54" i="10" s="1"/>
  <c r="E53" i="10"/>
  <c r="F53" i="10" s="1"/>
  <c r="G53" i="10" s="1"/>
  <c r="E52" i="10"/>
  <c r="E51" i="10"/>
  <c r="E50" i="10"/>
  <c r="E49" i="10"/>
  <c r="F49" i="10" s="1"/>
  <c r="G49" i="10" s="1"/>
  <c r="E48" i="10"/>
  <c r="E47" i="10"/>
  <c r="E46" i="10"/>
  <c r="E45" i="10"/>
  <c r="E44" i="10"/>
  <c r="F44" i="10" s="1"/>
  <c r="E43" i="10"/>
  <c r="E42" i="10"/>
  <c r="F42" i="10" s="1"/>
  <c r="G42" i="10" s="1"/>
  <c r="E41" i="10"/>
  <c r="E40" i="10"/>
  <c r="E39" i="10"/>
  <c r="E38" i="10"/>
  <c r="F38" i="10" s="1"/>
  <c r="E37" i="10"/>
  <c r="E36" i="10"/>
  <c r="E35" i="10"/>
  <c r="E34" i="10"/>
  <c r="E33" i="10"/>
  <c r="F33" i="10" s="1"/>
  <c r="E32" i="10"/>
  <c r="E31" i="10"/>
  <c r="E30" i="10"/>
  <c r="E29" i="10"/>
  <c r="E28" i="10"/>
  <c r="F28" i="10" s="1"/>
  <c r="E27" i="10"/>
  <c r="E26" i="10"/>
  <c r="F26" i="10" s="1"/>
  <c r="E25" i="10"/>
  <c r="E24" i="10"/>
  <c r="E23" i="10"/>
  <c r="E22" i="10"/>
  <c r="F22" i="10" s="1"/>
  <c r="E21" i="10"/>
  <c r="F21" i="10" s="1"/>
  <c r="G21" i="10" s="1"/>
  <c r="E20" i="10"/>
  <c r="E19" i="10"/>
  <c r="E18" i="10"/>
  <c r="E17" i="10"/>
  <c r="F17" i="10" s="1"/>
  <c r="G17" i="10" s="1"/>
  <c r="E16" i="10"/>
  <c r="F16" i="10" s="1"/>
  <c r="E15" i="10"/>
  <c r="E14" i="10"/>
  <c r="F14" i="10" s="1"/>
  <c r="E13" i="10"/>
  <c r="E12" i="10"/>
  <c r="F12" i="10" s="1"/>
  <c r="E11" i="10"/>
  <c r="E10" i="10"/>
  <c r="F10" i="10" s="1"/>
  <c r="G10" i="10" s="1"/>
  <c r="E9" i="10"/>
  <c r="F9" i="10" s="1"/>
  <c r="E8" i="10"/>
  <c r="F8" i="10" s="1"/>
  <c r="E7" i="10"/>
  <c r="E6" i="10"/>
  <c r="F6" i="10" s="1"/>
  <c r="G6" i="10" s="1"/>
  <c r="E5" i="10"/>
  <c r="E4" i="10"/>
  <c r="Y76" i="9"/>
  <c r="X76" i="9"/>
  <c r="S76" i="9"/>
  <c r="R76" i="9"/>
  <c r="Q76" i="9"/>
  <c r="P76" i="9"/>
  <c r="U11" i="9"/>
  <c r="S14" i="9"/>
  <c r="R14" i="9"/>
  <c r="P14" i="9"/>
  <c r="O14" i="9"/>
  <c r="N14" i="9"/>
  <c r="J12" i="9"/>
  <c r="J11" i="9"/>
  <c r="J10" i="9"/>
  <c r="J9" i="9"/>
  <c r="J8" i="9"/>
  <c r="J7" i="9"/>
  <c r="J6" i="9"/>
  <c r="J5" i="9"/>
  <c r="J4" i="9"/>
  <c r="J3" i="9"/>
  <c r="G54" i="9"/>
  <c r="F54" i="9"/>
  <c r="E54" i="9"/>
  <c r="D54" i="9"/>
  <c r="C54" i="9"/>
  <c r="H52" i="9"/>
  <c r="Z11" i="9"/>
  <c r="T4" i="9"/>
  <c r="T5" i="9"/>
  <c r="T6" i="9"/>
  <c r="T12" i="9" s="1"/>
  <c r="T7" i="9"/>
  <c r="T8" i="9"/>
  <c r="T9" i="9"/>
  <c r="T10" i="9"/>
  <c r="T11" i="9"/>
  <c r="T3" i="9"/>
  <c r="S12" i="9"/>
  <c r="R12" i="9"/>
  <c r="Q12" i="9"/>
  <c r="P12" i="9"/>
  <c r="O12" i="9"/>
  <c r="N12" i="9"/>
  <c r="Z12" i="9"/>
  <c r="Y12" i="9"/>
  <c r="X12" i="9"/>
  <c r="AG9" i="9"/>
  <c r="AG5" i="9"/>
  <c r="AG6" i="9"/>
  <c r="AG7" i="9"/>
  <c r="AG8" i="9"/>
  <c r="AG4" i="9"/>
  <c r="AG3" i="9"/>
  <c r="AF9" i="9"/>
  <c r="AE9" i="9"/>
  <c r="AD9" i="9"/>
  <c r="Z3" i="9"/>
  <c r="F4" i="10" l="1"/>
  <c r="E76" i="10"/>
  <c r="E581" i="10"/>
  <c r="F80" i="10"/>
  <c r="G80" i="10" s="1"/>
  <c r="E113" i="10"/>
  <c r="L4" i="3"/>
  <c r="L9" i="3"/>
  <c r="L17" i="3"/>
  <c r="L3" i="3"/>
  <c r="L8" i="3"/>
  <c r="E681" i="10"/>
  <c r="F718" i="10"/>
  <c r="L46" i="3" s="1"/>
  <c r="E715" i="10"/>
  <c r="F729" i="10"/>
  <c r="F730" i="10" s="1"/>
  <c r="E375" i="10"/>
  <c r="E361" i="10"/>
  <c r="E491" i="10"/>
  <c r="E708" i="10"/>
  <c r="F709" i="10" s="1"/>
  <c r="L40" i="3" s="1"/>
  <c r="E663" i="10"/>
  <c r="E675" i="10"/>
  <c r="L41" i="3" s="1"/>
  <c r="E630" i="10"/>
  <c r="E657" i="10"/>
  <c r="E648" i="10"/>
  <c r="E619" i="10"/>
  <c r="E612" i="10"/>
  <c r="E586" i="10"/>
  <c r="E553" i="10"/>
  <c r="E521" i="10"/>
  <c r="E560" i="10"/>
  <c r="E527" i="10"/>
  <c r="E500" i="10"/>
  <c r="F499" i="10" s="1"/>
  <c r="L31" i="3" s="1"/>
  <c r="E312" i="10"/>
  <c r="E325" i="10"/>
  <c r="E349" i="10"/>
  <c r="G367" i="10"/>
  <c r="F471" i="10"/>
  <c r="L19" i="3" s="1"/>
  <c r="E461" i="10"/>
  <c r="E448" i="10"/>
  <c r="E469" i="10"/>
  <c r="E455" i="10"/>
  <c r="E418" i="10"/>
  <c r="E267" i="10"/>
  <c r="E331" i="10"/>
  <c r="E432" i="10"/>
  <c r="E319" i="10"/>
  <c r="E343" i="10"/>
  <c r="E306" i="10"/>
  <c r="E337" i="10"/>
  <c r="E299" i="10"/>
  <c r="G54" i="10"/>
  <c r="E243" i="10"/>
  <c r="F5" i="10"/>
  <c r="G5" i="10" s="1"/>
  <c r="G38" i="10"/>
  <c r="G549" i="10"/>
  <c r="E129" i="10"/>
  <c r="G14" i="10"/>
  <c r="G33" i="10"/>
  <c r="G69" i="10"/>
  <c r="G261" i="10"/>
  <c r="G409" i="10"/>
  <c r="G537" i="10"/>
  <c r="F569" i="10"/>
  <c r="F697" i="10"/>
  <c r="G697" i="10" s="1"/>
  <c r="G698" i="10" s="1"/>
  <c r="G9" i="10"/>
  <c r="F37" i="10"/>
  <c r="G37" i="10" s="1"/>
  <c r="F628" i="10"/>
  <c r="G22" i="10"/>
  <c r="G317" i="10"/>
  <c r="G401" i="10"/>
  <c r="F508" i="10"/>
  <c r="F509" i="10" s="1"/>
  <c r="F564" i="10"/>
  <c r="F565" i="10" s="1"/>
  <c r="F324" i="10"/>
  <c r="G324" i="10" s="1"/>
  <c r="F460" i="10"/>
  <c r="G460" i="10" s="1"/>
  <c r="F545" i="10"/>
  <c r="G545" i="10" s="1"/>
  <c r="G8" i="10"/>
  <c r="F13" i="10"/>
  <c r="G13" i="10" s="1"/>
  <c r="F25" i="10"/>
  <c r="G25" i="10" s="1"/>
  <c r="F46" i="10"/>
  <c r="G46" i="10" s="1"/>
  <c r="F82" i="10"/>
  <c r="G82" i="10" s="1"/>
  <c r="F253" i="10"/>
  <c r="G253" i="10" s="1"/>
  <c r="F540" i="10"/>
  <c r="G540" i="10" s="1"/>
  <c r="F661" i="10"/>
  <c r="F663" i="10" s="1"/>
  <c r="G4" i="10"/>
  <c r="F18" i="10"/>
  <c r="G18" i="10" s="1"/>
  <c r="F30" i="10"/>
  <c r="G30" i="10" s="1"/>
  <c r="F73" i="10"/>
  <c r="G73" i="10" s="1"/>
  <c r="F408" i="10"/>
  <c r="G408" i="10" s="1"/>
  <c r="F513" i="10"/>
  <c r="F514" i="10" s="1"/>
  <c r="G12" i="10"/>
  <c r="G26" i="10"/>
  <c r="F32" i="10"/>
  <c r="G32" i="10" s="1"/>
  <c r="F41" i="10"/>
  <c r="G41" i="10" s="1"/>
  <c r="F370" i="10"/>
  <c r="G370" i="10" s="1"/>
  <c r="F422" i="10"/>
  <c r="E482" i="10"/>
  <c r="F477" i="10"/>
  <c r="G477" i="10" s="1"/>
  <c r="F518" i="10"/>
  <c r="F634" i="10"/>
  <c r="F635" i="10" s="1"/>
  <c r="F680" i="10"/>
  <c r="G680" i="10" s="1"/>
  <c r="F90" i="10"/>
  <c r="G90" i="10" s="1"/>
  <c r="G16" i="10"/>
  <c r="F48" i="10"/>
  <c r="G48" i="10" s="1"/>
  <c r="F57" i="10"/>
  <c r="G57" i="10" s="1"/>
  <c r="F64" i="10"/>
  <c r="G64" i="10" s="1"/>
  <c r="F655" i="10"/>
  <c r="G655" i="10" s="1"/>
  <c r="E148" i="10"/>
  <c r="F20" i="10"/>
  <c r="G20" i="10" s="1"/>
  <c r="F29" i="10"/>
  <c r="G29" i="10" s="1"/>
  <c r="F34" i="10"/>
  <c r="G34" i="10" s="1"/>
  <c r="F36" i="10"/>
  <c r="G36" i="10" s="1"/>
  <c r="F45" i="10"/>
  <c r="G45" i="10" s="1"/>
  <c r="F50" i="10"/>
  <c r="G50" i="10" s="1"/>
  <c r="F52" i="10"/>
  <c r="G52" i="10" s="1"/>
  <c r="F60" i="10"/>
  <c r="G60" i="10" s="1"/>
  <c r="G72" i="10"/>
  <c r="G83" i="10"/>
  <c r="G252" i="10"/>
  <c r="F260" i="10"/>
  <c r="G260" i="10" s="1"/>
  <c r="F316" i="10"/>
  <c r="G316" i="10" s="1"/>
  <c r="G360" i="10"/>
  <c r="F366" i="10"/>
  <c r="G366" i="10" s="1"/>
  <c r="F394" i="10"/>
  <c r="G394" i="10" s="1"/>
  <c r="F400" i="10"/>
  <c r="G400" i="10" s="1"/>
  <c r="G417" i="10"/>
  <c r="F445" i="10"/>
  <c r="G445" i="10" s="1"/>
  <c r="F452" i="10"/>
  <c r="F455" i="10" s="1"/>
  <c r="F538" i="10"/>
  <c r="G538" i="10" s="1"/>
  <c r="G557" i="10"/>
  <c r="G656" i="10"/>
  <c r="F24" i="10"/>
  <c r="G24" i="10" s="1"/>
  <c r="G28" i="10"/>
  <c r="F40" i="10"/>
  <c r="G40" i="10" s="1"/>
  <c r="G44" i="10"/>
  <c r="F56" i="10"/>
  <c r="G56" i="10" s="1"/>
  <c r="G68" i="10"/>
  <c r="G336" i="10"/>
  <c r="F348" i="10"/>
  <c r="G348" i="10" s="1"/>
  <c r="G359" i="10"/>
  <c r="F392" i="10"/>
  <c r="G416" i="10"/>
  <c r="G468" i="10"/>
  <c r="G479" i="10"/>
  <c r="G487" i="10"/>
  <c r="G532" i="10"/>
  <c r="F534" i="10"/>
  <c r="G534" i="10" s="1"/>
  <c r="G542" i="10"/>
  <c r="G558" i="10"/>
  <c r="G585" i="10"/>
  <c r="G586" i="10" s="1"/>
  <c r="G617" i="10"/>
  <c r="G641" i="10"/>
  <c r="G644" i="10"/>
  <c r="F646" i="10"/>
  <c r="G646" i="10" s="1"/>
  <c r="G652" i="10"/>
  <c r="G662" i="10"/>
  <c r="F679" i="10"/>
  <c r="G704" i="10"/>
  <c r="G714" i="10"/>
  <c r="G133" i="10"/>
  <c r="F251" i="10"/>
  <c r="G251" i="10" s="1"/>
  <c r="F259" i="10"/>
  <c r="G259" i="10" s="1"/>
  <c r="F407" i="10"/>
  <c r="G407" i="10" s="1"/>
  <c r="F415" i="10"/>
  <c r="G415" i="10" s="1"/>
  <c r="F467" i="10"/>
  <c r="G467" i="10" s="1"/>
  <c r="F7" i="10"/>
  <c r="G7" i="10" s="1"/>
  <c r="F11" i="10"/>
  <c r="G11" i="10" s="1"/>
  <c r="F15" i="10"/>
  <c r="G15" i="10" s="1"/>
  <c r="F19" i="10"/>
  <c r="G19" i="10" s="1"/>
  <c r="F23" i="10"/>
  <c r="G23" i="10" s="1"/>
  <c r="F27" i="10"/>
  <c r="G27" i="10" s="1"/>
  <c r="F31" i="10"/>
  <c r="G31" i="10" s="1"/>
  <c r="F35" i="10"/>
  <c r="G35" i="10" s="1"/>
  <c r="F39" i="10"/>
  <c r="G39" i="10" s="1"/>
  <c r="F43" i="10"/>
  <c r="G43" i="10" s="1"/>
  <c r="F47" i="10"/>
  <c r="G47" i="10" s="1"/>
  <c r="F51" i="10"/>
  <c r="G51" i="10" s="1"/>
  <c r="F55" i="10"/>
  <c r="G55" i="10" s="1"/>
  <c r="F59" i="10"/>
  <c r="G59" i="10" s="1"/>
  <c r="F63" i="10"/>
  <c r="G63" i="10" s="1"/>
  <c r="F67" i="10"/>
  <c r="G67" i="10" s="1"/>
  <c r="F71" i="10"/>
  <c r="G71" i="10" s="1"/>
  <c r="F75" i="10"/>
  <c r="G75" i="10" s="1"/>
  <c r="F85" i="10"/>
  <c r="G85" i="10" s="1"/>
  <c r="F84" i="10"/>
  <c r="G84" i="10" s="1"/>
  <c r="F91" i="10"/>
  <c r="G91" i="10" s="1"/>
  <c r="F95" i="10"/>
  <c r="G95" i="10" s="1"/>
  <c r="F99" i="10"/>
  <c r="G99" i="10" s="1"/>
  <c r="F103" i="10"/>
  <c r="G103" i="10" s="1"/>
  <c r="F107" i="10"/>
  <c r="G107" i="10" s="1"/>
  <c r="F111" i="10"/>
  <c r="G111" i="10" s="1"/>
  <c r="F119" i="10"/>
  <c r="G119" i="10" s="1"/>
  <c r="F123" i="10"/>
  <c r="G123" i="10" s="1"/>
  <c r="F127" i="10"/>
  <c r="G127" i="10" s="1"/>
  <c r="F135" i="10"/>
  <c r="G135" i="10" s="1"/>
  <c r="F139" i="10"/>
  <c r="G139" i="10" s="1"/>
  <c r="F143" i="10"/>
  <c r="G143" i="10" s="1"/>
  <c r="F147" i="10"/>
  <c r="G147" i="10" s="1"/>
  <c r="F153" i="10"/>
  <c r="G153" i="10" s="1"/>
  <c r="F157" i="10"/>
  <c r="G157" i="10" s="1"/>
  <c r="F161" i="10"/>
  <c r="G161" i="10" s="1"/>
  <c r="F165" i="10"/>
  <c r="G165" i="10" s="1"/>
  <c r="F169" i="10"/>
  <c r="G169" i="10" s="1"/>
  <c r="F173" i="10"/>
  <c r="G173" i="10" s="1"/>
  <c r="F177" i="10"/>
  <c r="G177" i="10" s="1"/>
  <c r="F181" i="10"/>
  <c r="G181" i="10" s="1"/>
  <c r="F185" i="10"/>
  <c r="G185" i="10" s="1"/>
  <c r="F189" i="10"/>
  <c r="G189" i="10" s="1"/>
  <c r="F197" i="10"/>
  <c r="F199" i="10"/>
  <c r="G199" i="10" s="1"/>
  <c r="F201" i="10"/>
  <c r="G201" i="10" s="1"/>
  <c r="F203" i="10"/>
  <c r="G203" i="10" s="1"/>
  <c r="F213" i="10"/>
  <c r="G213" i="10" s="1"/>
  <c r="F217" i="10"/>
  <c r="G217" i="10" s="1"/>
  <c r="F221" i="10"/>
  <c r="G221" i="10" s="1"/>
  <c r="F225" i="10"/>
  <c r="G225" i="10" s="1"/>
  <c r="F229" i="10"/>
  <c r="G229" i="10" s="1"/>
  <c r="F233" i="10"/>
  <c r="G233" i="10" s="1"/>
  <c r="F237" i="10"/>
  <c r="G237" i="10" s="1"/>
  <c r="F241" i="10"/>
  <c r="G241" i="10" s="1"/>
  <c r="F347" i="10"/>
  <c r="F431" i="10"/>
  <c r="G431" i="10" s="1"/>
  <c r="F444" i="10"/>
  <c r="F520" i="10"/>
  <c r="G520" i="10" s="1"/>
  <c r="F547" i="10"/>
  <c r="G547" i="10" s="1"/>
  <c r="F399" i="10"/>
  <c r="G399" i="10" s="1"/>
  <c r="F94" i="10"/>
  <c r="G94" i="10" s="1"/>
  <c r="F98" i="10"/>
  <c r="G98" i="10" s="1"/>
  <c r="F102" i="10"/>
  <c r="G102" i="10" s="1"/>
  <c r="F106" i="10"/>
  <c r="G106" i="10" s="1"/>
  <c r="F110" i="10"/>
  <c r="G110" i="10" s="1"/>
  <c r="F118" i="10"/>
  <c r="G118" i="10" s="1"/>
  <c r="F122" i="10"/>
  <c r="G122" i="10" s="1"/>
  <c r="F126" i="10"/>
  <c r="G126" i="10" s="1"/>
  <c r="F134" i="10"/>
  <c r="G134" i="10" s="1"/>
  <c r="F138" i="10"/>
  <c r="G138" i="10" s="1"/>
  <c r="F142" i="10"/>
  <c r="G142" i="10" s="1"/>
  <c r="F146" i="10"/>
  <c r="G146" i="10" s="1"/>
  <c r="F152" i="10"/>
  <c r="F156" i="10"/>
  <c r="G156" i="10" s="1"/>
  <c r="F160" i="10"/>
  <c r="G160" i="10" s="1"/>
  <c r="F164" i="10"/>
  <c r="G164" i="10" s="1"/>
  <c r="F168" i="10"/>
  <c r="G168" i="10" s="1"/>
  <c r="F172" i="10"/>
  <c r="G172" i="10" s="1"/>
  <c r="F176" i="10"/>
  <c r="G176" i="10" s="1"/>
  <c r="F180" i="10"/>
  <c r="G180" i="10" s="1"/>
  <c r="F184" i="10"/>
  <c r="G184" i="10" s="1"/>
  <c r="F188" i="10"/>
  <c r="G188" i="10" s="1"/>
  <c r="F192" i="10"/>
  <c r="G192" i="10" s="1"/>
  <c r="F206" i="10"/>
  <c r="G206" i="10" s="1"/>
  <c r="F200" i="10"/>
  <c r="G200" i="10" s="1"/>
  <c r="F202" i="10"/>
  <c r="G202" i="10" s="1"/>
  <c r="F212" i="10"/>
  <c r="G212" i="10" s="1"/>
  <c r="F216" i="10"/>
  <c r="G216" i="10" s="1"/>
  <c r="F220" i="10"/>
  <c r="G220" i="10" s="1"/>
  <c r="F224" i="10"/>
  <c r="G224" i="10" s="1"/>
  <c r="F228" i="10"/>
  <c r="G228" i="10" s="1"/>
  <c r="F232" i="10"/>
  <c r="G232" i="10" s="1"/>
  <c r="F236" i="10"/>
  <c r="G236" i="10" s="1"/>
  <c r="F240" i="10"/>
  <c r="G240" i="10" s="1"/>
  <c r="F247" i="10"/>
  <c r="F255" i="10"/>
  <c r="G255" i="10" s="1"/>
  <c r="F263" i="10"/>
  <c r="G263" i="10" s="1"/>
  <c r="F303" i="10"/>
  <c r="F306" i="10" s="1"/>
  <c r="F311" i="10"/>
  <c r="G311" i="10" s="1"/>
  <c r="G341" i="10"/>
  <c r="F355" i="10"/>
  <c r="F373" i="10"/>
  <c r="G373" i="10" s="1"/>
  <c r="F395" i="10"/>
  <c r="G395" i="10" s="1"/>
  <c r="F403" i="10"/>
  <c r="G403" i="10" s="1"/>
  <c r="F411" i="10"/>
  <c r="G411" i="10" s="1"/>
  <c r="F427" i="10"/>
  <c r="F535" i="10"/>
  <c r="G535" i="10" s="1"/>
  <c r="E594" i="10"/>
  <c r="F592" i="10"/>
  <c r="F594" i="10" s="1"/>
  <c r="F335" i="10"/>
  <c r="F337" i="10" s="1"/>
  <c r="F358" i="10"/>
  <c r="G358" i="10" s="1"/>
  <c r="F365" i="10"/>
  <c r="F117" i="10"/>
  <c r="G248" i="10"/>
  <c r="G256" i="10"/>
  <c r="G264" i="10"/>
  <c r="F295" i="10"/>
  <c r="G295" i="10" s="1"/>
  <c r="F323" i="10"/>
  <c r="G356" i="10"/>
  <c r="F369" i="10"/>
  <c r="G369" i="10" s="1"/>
  <c r="G374" i="10"/>
  <c r="G396" i="10"/>
  <c r="G404" i="10"/>
  <c r="G412" i="10"/>
  <c r="G428" i="10"/>
  <c r="F459" i="10"/>
  <c r="F478" i="10"/>
  <c r="F525" i="10"/>
  <c r="F527" i="10" s="1"/>
  <c r="F531" i="10"/>
  <c r="G536" i="10"/>
  <c r="G548" i="10"/>
  <c r="G593" i="10"/>
  <c r="F690" i="10"/>
  <c r="F691" i="10" s="1"/>
  <c r="E691" i="10"/>
  <c r="F250" i="10"/>
  <c r="G250" i="10" s="1"/>
  <c r="F254" i="10"/>
  <c r="G254" i="10" s="1"/>
  <c r="F258" i="10"/>
  <c r="G258" i="10" s="1"/>
  <c r="F262" i="10"/>
  <c r="G262" i="10" s="1"/>
  <c r="F266" i="10"/>
  <c r="G266" i="10" s="1"/>
  <c r="F294" i="10"/>
  <c r="F298" i="10"/>
  <c r="G298" i="10" s="1"/>
  <c r="F310" i="10"/>
  <c r="F318" i="10"/>
  <c r="G318" i="10" s="1"/>
  <c r="F330" i="10"/>
  <c r="G330" i="10" s="1"/>
  <c r="G331" i="10" s="1"/>
  <c r="F342" i="10"/>
  <c r="F343" i="10" s="1"/>
  <c r="F398" i="10"/>
  <c r="G398" i="10" s="1"/>
  <c r="F402" i="10"/>
  <c r="G402" i="10" s="1"/>
  <c r="F406" i="10"/>
  <c r="G406" i="10" s="1"/>
  <c r="F410" i="10"/>
  <c r="G410" i="10" s="1"/>
  <c r="F414" i="10"/>
  <c r="G414" i="10" s="1"/>
  <c r="F489" i="10"/>
  <c r="G526" i="10"/>
  <c r="F543" i="10"/>
  <c r="G543" i="10" s="1"/>
  <c r="F551" i="10"/>
  <c r="G551" i="10" s="1"/>
  <c r="F723" i="10"/>
  <c r="G722" i="10"/>
  <c r="G723" i="10" s="1"/>
  <c r="F465" i="10"/>
  <c r="G490" i="10"/>
  <c r="F539" i="10"/>
  <c r="G539" i="10" s="1"/>
  <c r="G544" i="10"/>
  <c r="G552" i="10"/>
  <c r="F559" i="10"/>
  <c r="F560" i="10" s="1"/>
  <c r="F579" i="10"/>
  <c r="F605" i="10"/>
  <c r="F609" i="10"/>
  <c r="G609" i="10" s="1"/>
  <c r="F623" i="10"/>
  <c r="F624" i="10" s="1"/>
  <c r="F672" i="10"/>
  <c r="F673" i="10" s="1"/>
  <c r="F488" i="10"/>
  <c r="G488" i="10" s="1"/>
  <c r="F519" i="10"/>
  <c r="F546" i="10"/>
  <c r="G546" i="10" s="1"/>
  <c r="F550" i="10"/>
  <c r="G550" i="10" s="1"/>
  <c r="F600" i="10"/>
  <c r="F601" i="10" s="1"/>
  <c r="G610" i="10"/>
  <c r="F629" i="10"/>
  <c r="F647" i="10"/>
  <c r="G647" i="10" s="1"/>
  <c r="F653" i="10"/>
  <c r="G606" i="10"/>
  <c r="F616" i="10"/>
  <c r="F619" i="10" s="1"/>
  <c r="F643" i="10"/>
  <c r="G654" i="10"/>
  <c r="F713" i="10"/>
  <c r="F715" i="10" s="1"/>
  <c r="E706" i="10"/>
  <c r="F667" i="10"/>
  <c r="F668" i="10" s="1"/>
  <c r="F685" i="10"/>
  <c r="F686" i="10" s="1"/>
  <c r="F705" i="10"/>
  <c r="G705" i="10" s="1"/>
  <c r="E723" i="10"/>
  <c r="T62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AE93" i="9"/>
  <c r="X91" i="9"/>
  <c r="Z91" i="9" s="1"/>
  <c r="D90" i="9"/>
  <c r="E82" i="9"/>
  <c r="D81" i="9"/>
  <c r="AE74" i="9"/>
  <c r="AD74" i="9"/>
  <c r="Y74" i="9"/>
  <c r="X74" i="9"/>
  <c r="S74" i="9"/>
  <c r="Q74" i="9"/>
  <c r="P74" i="9"/>
  <c r="O74" i="9"/>
  <c r="N74" i="9"/>
  <c r="G74" i="9"/>
  <c r="F74" i="9"/>
  <c r="E74" i="9"/>
  <c r="D74" i="9"/>
  <c r="C74" i="9"/>
  <c r="AF73" i="9"/>
  <c r="AG73" i="9" s="1"/>
  <c r="Z73" i="9"/>
  <c r="Y92" i="9" s="1"/>
  <c r="T73" i="9"/>
  <c r="O92" i="9" s="1"/>
  <c r="H73" i="9"/>
  <c r="AF72" i="9"/>
  <c r="AG72" i="9" s="1"/>
  <c r="AD91" i="9" s="1"/>
  <c r="Z72" i="9"/>
  <c r="Y91" i="9" s="1"/>
  <c r="T72" i="9"/>
  <c r="H72" i="9"/>
  <c r="E91" i="9" s="1"/>
  <c r="AF71" i="9"/>
  <c r="Z71" i="9"/>
  <c r="T71" i="9"/>
  <c r="P90" i="9" s="1"/>
  <c r="H71" i="9"/>
  <c r="G90" i="9" s="1"/>
  <c r="AG70" i="9"/>
  <c r="AD89" i="9" s="1"/>
  <c r="AF70" i="9"/>
  <c r="Z70" i="9"/>
  <c r="Y89" i="9" s="1"/>
  <c r="T70" i="9"/>
  <c r="O89" i="9" s="1"/>
  <c r="H70" i="9"/>
  <c r="D89" i="9" s="1"/>
  <c r="AF69" i="9"/>
  <c r="AG69" i="9" s="1"/>
  <c r="AD88" i="9" s="1"/>
  <c r="Z69" i="9"/>
  <c r="Y88" i="9" s="1"/>
  <c r="T69" i="9"/>
  <c r="H69" i="9"/>
  <c r="AG68" i="9"/>
  <c r="AD87" i="9" s="1"/>
  <c r="AF68" i="9"/>
  <c r="Z68" i="9"/>
  <c r="T68" i="9"/>
  <c r="N87" i="9" s="1"/>
  <c r="H68" i="9"/>
  <c r="D87" i="9" s="1"/>
  <c r="AF67" i="9"/>
  <c r="Z67" i="9"/>
  <c r="X86" i="9" s="1"/>
  <c r="T67" i="9"/>
  <c r="O86" i="9" s="1"/>
  <c r="H67" i="9"/>
  <c r="G86" i="9" s="1"/>
  <c r="AF66" i="9"/>
  <c r="AG66" i="9" s="1"/>
  <c r="AD85" i="9" s="1"/>
  <c r="Z66" i="9"/>
  <c r="Y85" i="9" s="1"/>
  <c r="T66" i="9"/>
  <c r="O85" i="9" s="1"/>
  <c r="H66" i="9"/>
  <c r="AG65" i="9"/>
  <c r="AD84" i="9" s="1"/>
  <c r="AF65" i="9"/>
  <c r="Z65" i="9"/>
  <c r="Y84" i="9" s="1"/>
  <c r="T65" i="9"/>
  <c r="H65" i="9"/>
  <c r="G84" i="9" s="1"/>
  <c r="Z64" i="9"/>
  <c r="X83" i="9" s="1"/>
  <c r="T64" i="9"/>
  <c r="N83" i="9" s="1"/>
  <c r="H64" i="9"/>
  <c r="D83" i="9" s="1"/>
  <c r="Z63" i="9"/>
  <c r="Y82" i="9" s="1"/>
  <c r="T63" i="9"/>
  <c r="O82" i="9" s="1"/>
  <c r="H63" i="9"/>
  <c r="G82" i="9" s="1"/>
  <c r="AG62" i="9"/>
  <c r="AD81" i="9" s="1"/>
  <c r="Z62" i="9"/>
  <c r="O81" i="9"/>
  <c r="O93" i="9" s="1"/>
  <c r="H62" i="9"/>
  <c r="F81" i="9" s="1"/>
  <c r="G52" i="9"/>
  <c r="F52" i="9"/>
  <c r="E52" i="9"/>
  <c r="D52" i="9"/>
  <c r="C52" i="9"/>
  <c r="Z10" i="9"/>
  <c r="Z9" i="9"/>
  <c r="Z8" i="9"/>
  <c r="Z7" i="9"/>
  <c r="Z6" i="9"/>
  <c r="Z5" i="9"/>
  <c r="Z4" i="9"/>
  <c r="H3" i="9"/>
  <c r="G579" i="10" l="1"/>
  <c r="G581" i="10" s="1"/>
  <c r="F581" i="10"/>
  <c r="C735" i="10"/>
  <c r="L51" i="3"/>
  <c r="E735" i="10"/>
  <c r="F648" i="10"/>
  <c r="G729" i="10"/>
  <c r="G730" i="10" s="1"/>
  <c r="G679" i="10"/>
  <c r="G681" i="10" s="1"/>
  <c r="F681" i="10"/>
  <c r="F657" i="10"/>
  <c r="G628" i="10"/>
  <c r="F630" i="10"/>
  <c r="G605" i="10"/>
  <c r="G612" i="10" s="1"/>
  <c r="F612" i="10"/>
  <c r="G569" i="10"/>
  <c r="G570" i="10" s="1"/>
  <c r="F570" i="10"/>
  <c r="G531" i="10"/>
  <c r="G553" i="10" s="1"/>
  <c r="F553" i="10"/>
  <c r="G518" i="10"/>
  <c r="F521" i="10"/>
  <c r="F491" i="10"/>
  <c r="G661" i="10"/>
  <c r="G663" i="10" s="1"/>
  <c r="G564" i="10"/>
  <c r="G565" i="10" s="1"/>
  <c r="F461" i="10"/>
  <c r="F375" i="10"/>
  <c r="F432" i="10"/>
  <c r="F299" i="10"/>
  <c r="F469" i="10"/>
  <c r="F448" i="10"/>
  <c r="G392" i="10"/>
  <c r="G418" i="10" s="1"/>
  <c r="F418" i="10"/>
  <c r="F361" i="10"/>
  <c r="F349" i="10"/>
  <c r="G508" i="10"/>
  <c r="G509" i="10" s="1"/>
  <c r="G452" i="10"/>
  <c r="G455" i="10" s="1"/>
  <c r="G319" i="10"/>
  <c r="G422" i="10"/>
  <c r="G423" i="10" s="1"/>
  <c r="F423" i="10"/>
  <c r="F698" i="10"/>
  <c r="G335" i="10"/>
  <c r="G337" i="10" s="1"/>
  <c r="G247" i="10"/>
  <c r="G267" i="10" s="1"/>
  <c r="F267" i="10"/>
  <c r="F319" i="10"/>
  <c r="F312" i="10"/>
  <c r="G355" i="10"/>
  <c r="G361" i="10" s="1"/>
  <c r="F331" i="10"/>
  <c r="F325" i="10"/>
  <c r="G152" i="10"/>
  <c r="G193" i="10" s="1"/>
  <c r="F193" i="10"/>
  <c r="G706" i="10"/>
  <c r="G525" i="10"/>
  <c r="G527" i="10" s="1"/>
  <c r="F482" i="10"/>
  <c r="G713" i="10"/>
  <c r="G715" i="10" s="1"/>
  <c r="G197" i="10"/>
  <c r="G243" i="10" s="1"/>
  <c r="F243" i="10"/>
  <c r="G513" i="10"/>
  <c r="G514" i="10" s="1"/>
  <c r="G478" i="10"/>
  <c r="G482" i="10" s="1"/>
  <c r="G347" i="10"/>
  <c r="G349" i="10" s="1"/>
  <c r="G629" i="10"/>
  <c r="G148" i="10"/>
  <c r="G616" i="10"/>
  <c r="G619" i="10" s="1"/>
  <c r="G623" i="10"/>
  <c r="G624" i="10" s="1"/>
  <c r="G600" i="10"/>
  <c r="G601" i="10" s="1"/>
  <c r="G559" i="10"/>
  <c r="G560" i="10" s="1"/>
  <c r="G323" i="10"/>
  <c r="G325" i="10" s="1"/>
  <c r="F148" i="10"/>
  <c r="G643" i="10"/>
  <c r="G648" i="10" s="1"/>
  <c r="G653" i="10"/>
  <c r="G657" i="10" s="1"/>
  <c r="F129" i="10"/>
  <c r="G310" i="10"/>
  <c r="G312" i="10" s="1"/>
  <c r="F113" i="10"/>
  <c r="G76" i="10"/>
  <c r="F76" i="10"/>
  <c r="G113" i="10"/>
  <c r="G634" i="10"/>
  <c r="G635" i="10" s="1"/>
  <c r="G667" i="10"/>
  <c r="G668" i="10" s="1"/>
  <c r="G685" i="10"/>
  <c r="G686" i="10" s="1"/>
  <c r="G672" i="10"/>
  <c r="G673" i="10" s="1"/>
  <c r="G519" i="10"/>
  <c r="G489" i="10"/>
  <c r="G491" i="10" s="1"/>
  <c r="G690" i="10"/>
  <c r="G691" i="10" s="1"/>
  <c r="G459" i="10"/>
  <c r="G461" i="10" s="1"/>
  <c r="G427" i="10"/>
  <c r="G432" i="10" s="1"/>
  <c r="G303" i="10"/>
  <c r="G306" i="10" s="1"/>
  <c r="G444" i="10"/>
  <c r="G448" i="10" s="1"/>
  <c r="F706" i="10"/>
  <c r="G465" i="10"/>
  <c r="G469" i="10" s="1"/>
  <c r="G342" i="10"/>
  <c r="G343" i="10" s="1"/>
  <c r="G117" i="10"/>
  <c r="G129" i="10" s="1"/>
  <c r="G365" i="10"/>
  <c r="G375" i="10" s="1"/>
  <c r="G592" i="10"/>
  <c r="G594" i="10" s="1"/>
  <c r="G294" i="10"/>
  <c r="G299" i="10" s="1"/>
  <c r="AF89" i="9"/>
  <c r="Q14" i="9"/>
  <c r="D86" i="9"/>
  <c r="S90" i="9"/>
  <c r="Y14" i="9"/>
  <c r="U10" i="9"/>
  <c r="AG64" i="9"/>
  <c r="AD83" i="9" s="1"/>
  <c r="G81" i="9"/>
  <c r="G93" i="9" s="1"/>
  <c r="N82" i="9"/>
  <c r="E86" i="9"/>
  <c r="F87" i="9"/>
  <c r="E90" i="9"/>
  <c r="C91" i="9"/>
  <c r="X92" i="9"/>
  <c r="Z92" i="9" s="1"/>
  <c r="E87" i="9"/>
  <c r="T74" i="9"/>
  <c r="N76" i="9" s="1"/>
  <c r="E83" i="9"/>
  <c r="N86" i="9"/>
  <c r="T86" i="9" s="1"/>
  <c r="O87" i="9"/>
  <c r="T87" i="9" s="1"/>
  <c r="N90" i="9"/>
  <c r="F91" i="9"/>
  <c r="AF88" i="9"/>
  <c r="AG88" i="9" s="1"/>
  <c r="D93" i="9"/>
  <c r="AF87" i="9"/>
  <c r="C81" i="9"/>
  <c r="H81" i="9" s="1"/>
  <c r="D82" i="9"/>
  <c r="F83" i="9"/>
  <c r="X85" i="9"/>
  <c r="Y86" i="9"/>
  <c r="X89" i="9"/>
  <c r="Z89" i="9" s="1"/>
  <c r="Q90" i="9"/>
  <c r="G91" i="9"/>
  <c r="Z74" i="9"/>
  <c r="Y81" i="9"/>
  <c r="Y93" i="9" s="1"/>
  <c r="O84" i="9"/>
  <c r="N84" i="9"/>
  <c r="T84" i="9" s="1"/>
  <c r="G85" i="9"/>
  <c r="C85" i="9"/>
  <c r="F85" i="9"/>
  <c r="E85" i="9"/>
  <c r="D92" i="9"/>
  <c r="G92" i="9"/>
  <c r="C92" i="9"/>
  <c r="F92" i="9"/>
  <c r="U7" i="9"/>
  <c r="AF74" i="9"/>
  <c r="AG63" i="9"/>
  <c r="AG87" i="9"/>
  <c r="O91" i="9"/>
  <c r="S91" i="9"/>
  <c r="N91" i="9"/>
  <c r="Q91" i="9"/>
  <c r="AF81" i="9"/>
  <c r="T82" i="9"/>
  <c r="O83" i="9"/>
  <c r="C84" i="9"/>
  <c r="D85" i="9"/>
  <c r="AF91" i="9"/>
  <c r="AG91" i="9" s="1"/>
  <c r="AG67" i="9"/>
  <c r="AD86" i="9" s="1"/>
  <c r="AF92" i="9"/>
  <c r="AD92" i="9"/>
  <c r="T83" i="9"/>
  <c r="AF85" i="9"/>
  <c r="AG85" i="9" s="1"/>
  <c r="AF84" i="9"/>
  <c r="AG84" i="9" s="1"/>
  <c r="F88" i="9"/>
  <c r="E88" i="9"/>
  <c r="D88" i="9"/>
  <c r="Y90" i="9"/>
  <c r="X90" i="9"/>
  <c r="X82" i="9"/>
  <c r="Z82" i="9" s="1"/>
  <c r="Y83" i="9"/>
  <c r="Z83" i="9" s="1"/>
  <c r="C88" i="9"/>
  <c r="E92" i="9"/>
  <c r="F84" i="9"/>
  <c r="E84" i="9"/>
  <c r="D84" i="9"/>
  <c r="Z86" i="9"/>
  <c r="Y87" i="9"/>
  <c r="X87" i="9"/>
  <c r="Z87" i="9" s="1"/>
  <c r="O88" i="9"/>
  <c r="N88" i="9"/>
  <c r="G89" i="9"/>
  <c r="C89" i="9"/>
  <c r="F89" i="9"/>
  <c r="E89" i="9"/>
  <c r="AG89" i="9"/>
  <c r="AG71" i="9"/>
  <c r="AD90" i="9" s="1"/>
  <c r="O76" i="9"/>
  <c r="X81" i="9"/>
  <c r="Z85" i="9"/>
  <c r="G88" i="9"/>
  <c r="P91" i="9"/>
  <c r="N92" i="9"/>
  <c r="T92" i="9" s="1"/>
  <c r="H74" i="9"/>
  <c r="F76" i="9" s="1"/>
  <c r="E81" i="9"/>
  <c r="E93" i="9" s="1"/>
  <c r="N81" i="9"/>
  <c r="F82" i="9"/>
  <c r="F93" i="9" s="1"/>
  <c r="C83" i="9"/>
  <c r="G83" i="9"/>
  <c r="X84" i="9"/>
  <c r="Z84" i="9" s="1"/>
  <c r="N85" i="9"/>
  <c r="T85" i="9" s="1"/>
  <c r="F86" i="9"/>
  <c r="C87" i="9"/>
  <c r="G87" i="9"/>
  <c r="X88" i="9"/>
  <c r="Z88" i="9" s="1"/>
  <c r="N89" i="9"/>
  <c r="T89" i="9" s="1"/>
  <c r="F90" i="9"/>
  <c r="O90" i="9"/>
  <c r="T90" i="9" s="1"/>
  <c r="D91" i="9"/>
  <c r="C82" i="9"/>
  <c r="C86" i="9"/>
  <c r="H86" i="9" s="1"/>
  <c r="C90" i="9"/>
  <c r="H90" i="9" s="1"/>
  <c r="C201" i="8"/>
  <c r="I5" i="3" s="1"/>
  <c r="E140" i="8"/>
  <c r="E190" i="8"/>
  <c r="F190" i="8" s="1"/>
  <c r="G190" i="8" s="1"/>
  <c r="E699" i="8"/>
  <c r="E604" i="8"/>
  <c r="E603" i="8"/>
  <c r="E602" i="8"/>
  <c r="E601" i="8"/>
  <c r="E600" i="8"/>
  <c r="C507" i="8"/>
  <c r="C510" i="8"/>
  <c r="E510" i="8" s="1"/>
  <c r="C511" i="8"/>
  <c r="E511" i="8" s="1"/>
  <c r="E512" i="8"/>
  <c r="C289" i="8"/>
  <c r="I24" i="3" s="1"/>
  <c r="C352" i="8"/>
  <c r="I6" i="3" s="1"/>
  <c r="C91" i="8"/>
  <c r="C67" i="8"/>
  <c r="I4" i="3" s="1"/>
  <c r="C718" i="8"/>
  <c r="I25" i="3" s="1"/>
  <c r="C724" i="8"/>
  <c r="I35" i="3" s="1"/>
  <c r="C759" i="8"/>
  <c r="I28" i="3" s="1"/>
  <c r="C764" i="8"/>
  <c r="C766" i="8" s="1"/>
  <c r="E766" i="8" s="1"/>
  <c r="I51" i="3" s="1"/>
  <c r="C748" i="8"/>
  <c r="I47" i="3" s="1"/>
  <c r="C729" i="8"/>
  <c r="C731" i="8" s="1"/>
  <c r="E731" i="8" s="1"/>
  <c r="I48" i="3" s="1"/>
  <c r="C774" i="8"/>
  <c r="C705" i="8"/>
  <c r="I49" i="3" s="1"/>
  <c r="C697" i="8"/>
  <c r="C700" i="8" s="1"/>
  <c r="C687" i="8"/>
  <c r="I26" i="3" s="1"/>
  <c r="C692" i="8"/>
  <c r="I33" i="3" s="1"/>
  <c r="C681" i="8"/>
  <c r="I41" i="3" s="1"/>
  <c r="C676" i="8"/>
  <c r="I38" i="3" s="1"/>
  <c r="C669" i="8"/>
  <c r="C671" i="8" s="1"/>
  <c r="E671" i="8" s="1"/>
  <c r="I43" i="3" s="1"/>
  <c r="C664" i="8"/>
  <c r="I18" i="3" s="1"/>
  <c r="C658" i="8"/>
  <c r="I19" i="3" s="1"/>
  <c r="C648" i="8"/>
  <c r="C650" i="8" s="1"/>
  <c r="E650" i="8" s="1"/>
  <c r="I40" i="3" s="1"/>
  <c r="C643" i="8"/>
  <c r="I34" i="3" s="1"/>
  <c r="C638" i="8"/>
  <c r="I31" i="3" s="1"/>
  <c r="C633" i="8"/>
  <c r="I17" i="3" s="1"/>
  <c r="C592" i="8"/>
  <c r="I8" i="3" s="1"/>
  <c r="C628" i="8"/>
  <c r="I37" i="3" s="1"/>
  <c r="C623" i="8"/>
  <c r="I15" i="3" s="1"/>
  <c r="C618" i="8"/>
  <c r="I29" i="3" s="1"/>
  <c r="C612" i="8"/>
  <c r="I27" i="3" s="1"/>
  <c r="C597" i="8"/>
  <c r="C599" i="8" s="1"/>
  <c r="C563" i="8"/>
  <c r="I20" i="3" s="1"/>
  <c r="C524" i="8"/>
  <c r="I32" i="3" s="1"/>
  <c r="C553" i="8"/>
  <c r="E553" i="8" s="1"/>
  <c r="C550" i="8"/>
  <c r="C551" i="8"/>
  <c r="E551" i="8" s="1"/>
  <c r="C549" i="8"/>
  <c r="E549" i="8" s="1"/>
  <c r="C547" i="8"/>
  <c r="E547" i="8" s="1"/>
  <c r="E554" i="8"/>
  <c r="E552" i="8"/>
  <c r="D550" i="8"/>
  <c r="E548" i="8"/>
  <c r="E546" i="8"/>
  <c r="C544" i="8"/>
  <c r="C534" i="8"/>
  <c r="C517" i="8"/>
  <c r="C519" i="8" s="1"/>
  <c r="E519" i="8" s="1"/>
  <c r="C441" i="8"/>
  <c r="I13" i="3" s="1"/>
  <c r="C499" i="8"/>
  <c r="I39" i="3" s="1"/>
  <c r="C492" i="8"/>
  <c r="C484" i="8"/>
  <c r="C475" i="8"/>
  <c r="C470" i="8"/>
  <c r="I14" i="3" s="1"/>
  <c r="C432" i="8"/>
  <c r="C418" i="8"/>
  <c r="C403" i="8"/>
  <c r="C398" i="8"/>
  <c r="C393" i="8"/>
  <c r="C384" i="8"/>
  <c r="C386" i="8" s="1"/>
  <c r="E386" i="8" s="1"/>
  <c r="I23" i="3" s="1"/>
  <c r="C379" i="8"/>
  <c r="I30" i="3" s="1"/>
  <c r="C361" i="8"/>
  <c r="I12" i="3" s="1"/>
  <c r="C374" i="8"/>
  <c r="C367" i="8"/>
  <c r="C321" i="8"/>
  <c r="C280" i="8"/>
  <c r="C282" i="8" s="1"/>
  <c r="E282" i="8" s="1"/>
  <c r="C273" i="8"/>
  <c r="C128" i="8"/>
  <c r="C111" i="8"/>
  <c r="G630" i="10" l="1"/>
  <c r="G521" i="10"/>
  <c r="I7" i="3"/>
  <c r="I9" i="3"/>
  <c r="I11" i="3"/>
  <c r="I3" i="3"/>
  <c r="I10" i="3"/>
  <c r="I21" i="3"/>
  <c r="U8" i="9"/>
  <c r="U4" i="9"/>
  <c r="U9" i="9"/>
  <c r="U3" i="9"/>
  <c r="U5" i="9"/>
  <c r="X14" i="9"/>
  <c r="U6" i="9"/>
  <c r="AG83" i="9"/>
  <c r="H82" i="9"/>
  <c r="H93" i="9" s="1"/>
  <c r="H85" i="9"/>
  <c r="AF83" i="9"/>
  <c r="H91" i="9"/>
  <c r="T91" i="9"/>
  <c r="H87" i="9"/>
  <c r="AF90" i="9"/>
  <c r="AG90" i="9" s="1"/>
  <c r="H89" i="9"/>
  <c r="N93" i="9"/>
  <c r="T81" i="9"/>
  <c r="T93" i="9" s="1"/>
  <c r="X93" i="9"/>
  <c r="Z81" i="9"/>
  <c r="Z93" i="9" s="1"/>
  <c r="AD82" i="9"/>
  <c r="AF82" i="9"/>
  <c r="AF93" i="9" s="1"/>
  <c r="H83" i="9"/>
  <c r="C76" i="9"/>
  <c r="D76" i="9"/>
  <c r="E76" i="9"/>
  <c r="C93" i="9"/>
  <c r="AF86" i="9"/>
  <c r="AG86" i="9" s="1"/>
  <c r="H84" i="9"/>
  <c r="AG74" i="9"/>
  <c r="AG81" i="9"/>
  <c r="G76" i="9"/>
  <c r="T88" i="9"/>
  <c r="H88" i="9"/>
  <c r="Z90" i="9"/>
  <c r="AG92" i="9"/>
  <c r="H92" i="9"/>
  <c r="E700" i="8"/>
  <c r="F699" i="8" s="1"/>
  <c r="I42" i="3" s="1"/>
  <c r="E599" i="8"/>
  <c r="F600" i="8" s="1"/>
  <c r="I45" i="3" s="1"/>
  <c r="F510" i="8"/>
  <c r="E550" i="8"/>
  <c r="F549" i="8" s="1"/>
  <c r="I16" i="3" s="1"/>
  <c r="E763" i="8"/>
  <c r="E764" i="8" s="1"/>
  <c r="E758" i="8"/>
  <c r="F758" i="8" s="1"/>
  <c r="G758" i="8" s="1"/>
  <c r="E757" i="8"/>
  <c r="C753" i="8"/>
  <c r="I44" i="3" s="1"/>
  <c r="E752" i="8"/>
  <c r="E747" i="8"/>
  <c r="C741" i="8"/>
  <c r="C743" i="8" s="1"/>
  <c r="E743" i="8" s="1"/>
  <c r="I36" i="3" s="1"/>
  <c r="E740" i="8"/>
  <c r="F740" i="8" s="1"/>
  <c r="F741" i="8" s="1"/>
  <c r="C736" i="8"/>
  <c r="I46" i="3" s="1"/>
  <c r="E735" i="8"/>
  <c r="E736" i="8" s="1"/>
  <c r="E729" i="8"/>
  <c r="E773" i="8"/>
  <c r="E774" i="8" s="1"/>
  <c r="E723" i="8"/>
  <c r="E722" i="8"/>
  <c r="E717" i="8"/>
  <c r="F717" i="8" s="1"/>
  <c r="G717" i="8" s="1"/>
  <c r="E716" i="8"/>
  <c r="C710" i="8"/>
  <c r="C712" i="8" s="1"/>
  <c r="E712" i="8" s="1"/>
  <c r="I50" i="3" s="1"/>
  <c r="E709" i="8"/>
  <c r="E710" i="8" s="1"/>
  <c r="E704" i="8"/>
  <c r="E696" i="8"/>
  <c r="E697" i="8" s="1"/>
  <c r="E691" i="8"/>
  <c r="E692" i="8" s="1"/>
  <c r="E686" i="8"/>
  <c r="E685" i="8"/>
  <c r="E680" i="8"/>
  <c r="E675" i="8"/>
  <c r="E676" i="8" s="1"/>
  <c r="E668" i="8"/>
  <c r="E669" i="8" s="1"/>
  <c r="E663" i="8"/>
  <c r="E662" i="8"/>
  <c r="E657" i="8"/>
  <c r="F657" i="8" s="1"/>
  <c r="E656" i="8"/>
  <c r="E655" i="8"/>
  <c r="F655" i="8" s="1"/>
  <c r="G655" i="8" s="1"/>
  <c r="E654" i="8"/>
  <c r="E647" i="8"/>
  <c r="E642" i="8"/>
  <c r="E637" i="8"/>
  <c r="E632" i="8"/>
  <c r="E633" i="8" s="1"/>
  <c r="E591" i="8"/>
  <c r="F591" i="8" s="1"/>
  <c r="E590" i="8"/>
  <c r="E589" i="8"/>
  <c r="F589" i="8" s="1"/>
  <c r="E588" i="8"/>
  <c r="E587" i="8"/>
  <c r="E586" i="8"/>
  <c r="F586" i="8" s="1"/>
  <c r="G586" i="8" s="1"/>
  <c r="E585" i="8"/>
  <c r="E584" i="8"/>
  <c r="F584" i="8" s="1"/>
  <c r="G584" i="8" s="1"/>
  <c r="E583" i="8"/>
  <c r="F583" i="8" s="1"/>
  <c r="E582" i="8"/>
  <c r="E581" i="8"/>
  <c r="E580" i="8"/>
  <c r="F580" i="8" s="1"/>
  <c r="G580" i="8" s="1"/>
  <c r="E579" i="8"/>
  <c r="E578" i="8"/>
  <c r="E577" i="8"/>
  <c r="E576" i="8"/>
  <c r="F576" i="8" s="1"/>
  <c r="G576" i="8" s="1"/>
  <c r="E575" i="8"/>
  <c r="E574" i="8"/>
  <c r="F574" i="8" s="1"/>
  <c r="G574" i="8" s="1"/>
  <c r="E573" i="8"/>
  <c r="F573" i="8" s="1"/>
  <c r="G573" i="8" s="1"/>
  <c r="E572" i="8"/>
  <c r="E571" i="8"/>
  <c r="E570" i="8"/>
  <c r="F570" i="8" s="1"/>
  <c r="G570" i="8" s="1"/>
  <c r="E569" i="8"/>
  <c r="F569" i="8" s="1"/>
  <c r="G569" i="8" s="1"/>
  <c r="E568" i="8"/>
  <c r="E627" i="8"/>
  <c r="E628" i="8" s="1"/>
  <c r="E622" i="8"/>
  <c r="E617" i="8"/>
  <c r="E616" i="8"/>
  <c r="E611" i="8"/>
  <c r="E610" i="8"/>
  <c r="E609" i="8"/>
  <c r="F609" i="8" s="1"/>
  <c r="G609" i="8" s="1"/>
  <c r="E608" i="8"/>
  <c r="E596" i="8"/>
  <c r="E597" i="8" s="1"/>
  <c r="E562" i="8"/>
  <c r="F562" i="8" s="1"/>
  <c r="E561" i="8"/>
  <c r="F561" i="8" s="1"/>
  <c r="G561" i="8" s="1"/>
  <c r="E560" i="8"/>
  <c r="E559" i="8"/>
  <c r="E558" i="8"/>
  <c r="E523" i="8"/>
  <c r="E524" i="8" s="1"/>
  <c r="E542" i="8"/>
  <c r="E541" i="8"/>
  <c r="E540" i="8"/>
  <c r="F540" i="8" s="1"/>
  <c r="G540" i="8" s="1"/>
  <c r="E543" i="8"/>
  <c r="F543" i="8" s="1"/>
  <c r="E539" i="8"/>
  <c r="E538" i="8"/>
  <c r="E533" i="8"/>
  <c r="F533" i="8" s="1"/>
  <c r="G533" i="8" s="1"/>
  <c r="E532" i="8"/>
  <c r="F532" i="8" s="1"/>
  <c r="G532" i="8" s="1"/>
  <c r="E531" i="8"/>
  <c r="E530" i="8"/>
  <c r="E529" i="8"/>
  <c r="F529" i="8" s="1"/>
  <c r="E528" i="8"/>
  <c r="E516" i="8"/>
  <c r="E517" i="8" s="1"/>
  <c r="E506" i="8"/>
  <c r="E505" i="8"/>
  <c r="E504" i="8"/>
  <c r="F504" i="8" s="1"/>
  <c r="G504" i="8" s="1"/>
  <c r="E503" i="8"/>
  <c r="E440" i="8"/>
  <c r="E439" i="8"/>
  <c r="F439" i="8" s="1"/>
  <c r="E438" i="8"/>
  <c r="F438" i="8" s="1"/>
  <c r="G438" i="8" s="1"/>
  <c r="E437" i="8"/>
  <c r="E436" i="8"/>
  <c r="E498" i="8"/>
  <c r="E497" i="8"/>
  <c r="E496" i="8"/>
  <c r="E483" i="8"/>
  <c r="E482" i="8"/>
  <c r="E481" i="8"/>
  <c r="F481" i="8" s="1"/>
  <c r="G481" i="8" s="1"/>
  <c r="E480" i="8"/>
  <c r="E479" i="8"/>
  <c r="E474" i="8"/>
  <c r="E475" i="8" s="1"/>
  <c r="E469" i="8"/>
  <c r="E468" i="8"/>
  <c r="F468" i="8" s="1"/>
  <c r="E467" i="8"/>
  <c r="F467" i="8" s="1"/>
  <c r="E466" i="8"/>
  <c r="E465" i="8"/>
  <c r="F465" i="8" s="1"/>
  <c r="E464" i="8"/>
  <c r="F464" i="8" s="1"/>
  <c r="G464" i="8" s="1"/>
  <c r="E463" i="8"/>
  <c r="E462" i="8"/>
  <c r="E461" i="8"/>
  <c r="E460" i="8"/>
  <c r="F460" i="8" s="1"/>
  <c r="E459" i="8"/>
  <c r="F459" i="8" s="1"/>
  <c r="E458" i="8"/>
  <c r="E457" i="8"/>
  <c r="E456" i="8"/>
  <c r="F456" i="8" s="1"/>
  <c r="G456" i="8" s="1"/>
  <c r="E455" i="8"/>
  <c r="F455" i="8" s="1"/>
  <c r="E454" i="8"/>
  <c r="E453" i="8"/>
  <c r="E452" i="8"/>
  <c r="F452" i="8" s="1"/>
  <c r="G452" i="8" s="1"/>
  <c r="E451" i="8"/>
  <c r="F451" i="8" s="1"/>
  <c r="E450" i="8"/>
  <c r="E449" i="8"/>
  <c r="E448" i="8"/>
  <c r="F448" i="8" s="1"/>
  <c r="E447" i="8"/>
  <c r="F447" i="8" s="1"/>
  <c r="E446" i="8"/>
  <c r="E445" i="8"/>
  <c r="E417" i="8"/>
  <c r="F417" i="8" s="1"/>
  <c r="E416" i="8"/>
  <c r="E415" i="8"/>
  <c r="F415" i="8" s="1"/>
  <c r="G415" i="8" s="1"/>
  <c r="E414" i="8"/>
  <c r="E413" i="8"/>
  <c r="E412" i="8"/>
  <c r="F412" i="8" s="1"/>
  <c r="G412" i="8" s="1"/>
  <c r="E411" i="8"/>
  <c r="F411" i="8" s="1"/>
  <c r="G411" i="8" s="1"/>
  <c r="E410" i="8"/>
  <c r="E409" i="8"/>
  <c r="F409" i="8" s="1"/>
  <c r="E408" i="8"/>
  <c r="E407" i="8"/>
  <c r="E397" i="8"/>
  <c r="E398" i="8" s="1"/>
  <c r="E392" i="8"/>
  <c r="E391" i="8"/>
  <c r="E390" i="8"/>
  <c r="E383" i="8"/>
  <c r="E378" i="8"/>
  <c r="E379" i="8" s="1"/>
  <c r="E360" i="8"/>
  <c r="F360" i="8" s="1"/>
  <c r="G360" i="8" s="1"/>
  <c r="E359" i="8"/>
  <c r="F359" i="8" s="1"/>
  <c r="G359" i="8" s="1"/>
  <c r="E358" i="8"/>
  <c r="E357" i="8"/>
  <c r="E356" i="8"/>
  <c r="E373" i="8"/>
  <c r="F373" i="8" s="1"/>
  <c r="G373" i="8" s="1"/>
  <c r="E372" i="8"/>
  <c r="E371" i="8"/>
  <c r="E366" i="8"/>
  <c r="F366" i="8" s="1"/>
  <c r="G366" i="8" s="1"/>
  <c r="E365" i="8"/>
  <c r="E288" i="8"/>
  <c r="E287" i="8"/>
  <c r="E286" i="8"/>
  <c r="E320" i="8"/>
  <c r="E319" i="8"/>
  <c r="F319" i="8" s="1"/>
  <c r="E318" i="8"/>
  <c r="E317" i="8"/>
  <c r="F317" i="8" s="1"/>
  <c r="G317" i="8" s="1"/>
  <c r="E316" i="8"/>
  <c r="E315" i="8"/>
  <c r="E314" i="8"/>
  <c r="F314" i="8" s="1"/>
  <c r="G314" i="8" s="1"/>
  <c r="E313" i="8"/>
  <c r="F313" i="8" s="1"/>
  <c r="G313" i="8" s="1"/>
  <c r="E312" i="8"/>
  <c r="E311" i="8"/>
  <c r="E310" i="8"/>
  <c r="F310" i="8" s="1"/>
  <c r="G310" i="8" s="1"/>
  <c r="E309" i="8"/>
  <c r="F309" i="8" s="1"/>
  <c r="G309" i="8" s="1"/>
  <c r="E308" i="8"/>
  <c r="E307" i="8"/>
  <c r="F307" i="8" s="1"/>
  <c r="E306" i="8"/>
  <c r="F306" i="8" s="1"/>
  <c r="G306" i="8" s="1"/>
  <c r="E305" i="8"/>
  <c r="F305" i="8" s="1"/>
  <c r="G305" i="8" s="1"/>
  <c r="E304" i="8"/>
  <c r="E303" i="8"/>
  <c r="E302" i="8"/>
  <c r="F302" i="8" s="1"/>
  <c r="G302" i="8" s="1"/>
  <c r="E301" i="8"/>
  <c r="F301" i="8" s="1"/>
  <c r="G301" i="8" s="1"/>
  <c r="E300" i="8"/>
  <c r="E299" i="8"/>
  <c r="F299" i="8" s="1"/>
  <c r="G299" i="8" s="1"/>
  <c r="E298" i="8"/>
  <c r="F298" i="8" s="1"/>
  <c r="E297" i="8"/>
  <c r="E296" i="8"/>
  <c r="F296" i="8" s="1"/>
  <c r="E295" i="8"/>
  <c r="F295" i="8" s="1"/>
  <c r="G295" i="8" s="1"/>
  <c r="E294" i="8"/>
  <c r="F294" i="8" s="1"/>
  <c r="E293" i="8"/>
  <c r="E279" i="8"/>
  <c r="E278" i="8"/>
  <c r="F278" i="8" s="1"/>
  <c r="G278" i="8" s="1"/>
  <c r="E277" i="8"/>
  <c r="E272" i="8"/>
  <c r="E271" i="8"/>
  <c r="F271" i="8" s="1"/>
  <c r="G271" i="8" s="1"/>
  <c r="E270" i="8"/>
  <c r="F270" i="8" s="1"/>
  <c r="G270" i="8" s="1"/>
  <c r="E269" i="8"/>
  <c r="F269" i="8" s="1"/>
  <c r="E268" i="8"/>
  <c r="E267" i="8"/>
  <c r="F267" i="8" s="1"/>
  <c r="G267" i="8" s="1"/>
  <c r="E266" i="8"/>
  <c r="E265" i="8"/>
  <c r="E264" i="8"/>
  <c r="F264" i="8" s="1"/>
  <c r="G264" i="8" s="1"/>
  <c r="E263" i="8"/>
  <c r="F263" i="8" s="1"/>
  <c r="G263" i="8" s="1"/>
  <c r="E262" i="8"/>
  <c r="E261" i="8"/>
  <c r="E260" i="8"/>
  <c r="F260" i="8" s="1"/>
  <c r="G260" i="8" s="1"/>
  <c r="E259" i="8"/>
  <c r="F259" i="8" s="1"/>
  <c r="G259" i="8" s="1"/>
  <c r="E258" i="8"/>
  <c r="F258" i="8" s="1"/>
  <c r="G258" i="8" s="1"/>
  <c r="E257" i="8"/>
  <c r="F257" i="8" s="1"/>
  <c r="G257" i="8" s="1"/>
  <c r="E256" i="8"/>
  <c r="E255" i="8"/>
  <c r="F255" i="8" s="1"/>
  <c r="G255" i="8" s="1"/>
  <c r="E254" i="8"/>
  <c r="E253" i="8"/>
  <c r="F253" i="8" s="1"/>
  <c r="E252" i="8"/>
  <c r="E251" i="8"/>
  <c r="F251" i="8" s="1"/>
  <c r="G251" i="8" s="1"/>
  <c r="E250" i="8"/>
  <c r="E249" i="8"/>
  <c r="E248" i="8"/>
  <c r="F248" i="8" s="1"/>
  <c r="G248" i="8" s="1"/>
  <c r="E247" i="8"/>
  <c r="E246" i="8"/>
  <c r="F246" i="8" s="1"/>
  <c r="G246" i="8" s="1"/>
  <c r="E245" i="8"/>
  <c r="F245" i="8" s="1"/>
  <c r="G245" i="8" s="1"/>
  <c r="E244" i="8"/>
  <c r="F244" i="8" s="1"/>
  <c r="G244" i="8" s="1"/>
  <c r="E243" i="8"/>
  <c r="E242" i="8"/>
  <c r="E241" i="8"/>
  <c r="F241" i="8" s="1"/>
  <c r="E240" i="8"/>
  <c r="E239" i="8"/>
  <c r="E238" i="8"/>
  <c r="E237" i="8"/>
  <c r="E236" i="8"/>
  <c r="F236" i="8" s="1"/>
  <c r="E235" i="8"/>
  <c r="E234" i="8"/>
  <c r="F234" i="8" s="1"/>
  <c r="G234" i="8" s="1"/>
  <c r="E211" i="8"/>
  <c r="E233" i="8"/>
  <c r="F233" i="8" s="1"/>
  <c r="G233" i="8" s="1"/>
  <c r="E232" i="8"/>
  <c r="E231" i="8"/>
  <c r="E230" i="8"/>
  <c r="E229" i="8"/>
  <c r="F229" i="8" s="1"/>
  <c r="E227" i="8"/>
  <c r="E228" i="8"/>
  <c r="E226" i="8"/>
  <c r="E225" i="8"/>
  <c r="F225" i="8" s="1"/>
  <c r="E224" i="8"/>
  <c r="E223" i="8"/>
  <c r="F223" i="8" s="1"/>
  <c r="G223" i="8" s="1"/>
  <c r="E222" i="8"/>
  <c r="E221" i="8"/>
  <c r="F221" i="8" s="1"/>
  <c r="E220" i="8"/>
  <c r="E219" i="8"/>
  <c r="F219" i="8" s="1"/>
  <c r="G219" i="8" s="1"/>
  <c r="E218" i="8"/>
  <c r="E210" i="8"/>
  <c r="E209" i="8"/>
  <c r="E217" i="8"/>
  <c r="F217" i="8" s="1"/>
  <c r="E216" i="8"/>
  <c r="F216" i="8" s="1"/>
  <c r="G216" i="8" s="1"/>
  <c r="E208" i="8"/>
  <c r="F208" i="8" s="1"/>
  <c r="E207" i="8"/>
  <c r="E215" i="8"/>
  <c r="E214" i="8"/>
  <c r="E206" i="8"/>
  <c r="E213" i="8"/>
  <c r="F213" i="8" s="1"/>
  <c r="G213" i="8" s="1"/>
  <c r="E212" i="8"/>
  <c r="E205" i="8"/>
  <c r="E200" i="8"/>
  <c r="E199" i="8"/>
  <c r="F199" i="8" s="1"/>
  <c r="G199" i="8" s="1"/>
  <c r="E198" i="8"/>
  <c r="E197" i="8"/>
  <c r="E196" i="8"/>
  <c r="E194" i="8"/>
  <c r="E195" i="8"/>
  <c r="F195" i="8" s="1"/>
  <c r="E193" i="8"/>
  <c r="E192" i="8"/>
  <c r="F192" i="8" s="1"/>
  <c r="G192" i="8" s="1"/>
  <c r="E191" i="8"/>
  <c r="E188" i="8"/>
  <c r="F188" i="8" s="1"/>
  <c r="E189" i="8"/>
  <c r="E187" i="8"/>
  <c r="F187" i="8" s="1"/>
  <c r="E186" i="8"/>
  <c r="F186" i="8" s="1"/>
  <c r="G186" i="8" s="1"/>
  <c r="E184" i="8"/>
  <c r="F184" i="8" s="1"/>
  <c r="E185" i="8"/>
  <c r="E182" i="8"/>
  <c r="E183" i="8"/>
  <c r="F183" i="8" s="1"/>
  <c r="E180" i="8"/>
  <c r="E181" i="8"/>
  <c r="E179" i="8"/>
  <c r="F179" i="8" s="1"/>
  <c r="G179" i="8" s="1"/>
  <c r="E178" i="8"/>
  <c r="F178" i="8" s="1"/>
  <c r="G178" i="8" s="1"/>
  <c r="E177" i="8"/>
  <c r="F177" i="8" s="1"/>
  <c r="E176" i="8"/>
  <c r="E175" i="8"/>
  <c r="F175" i="8" s="1"/>
  <c r="G175" i="8" s="1"/>
  <c r="E174" i="8"/>
  <c r="E173" i="8"/>
  <c r="F173" i="8" s="1"/>
  <c r="E172" i="8"/>
  <c r="E171" i="8"/>
  <c r="E170" i="8"/>
  <c r="F170" i="8" s="1"/>
  <c r="E169" i="8"/>
  <c r="E168" i="8"/>
  <c r="E167" i="8"/>
  <c r="F167" i="8" s="1"/>
  <c r="G167" i="8" s="1"/>
  <c r="E166" i="8"/>
  <c r="F166" i="8" s="1"/>
  <c r="E165" i="8"/>
  <c r="E164" i="8"/>
  <c r="E163" i="8"/>
  <c r="F163" i="8" s="1"/>
  <c r="E162" i="8"/>
  <c r="E161" i="8"/>
  <c r="E160" i="8"/>
  <c r="E159" i="8"/>
  <c r="F159" i="8" s="1"/>
  <c r="G159" i="8" s="1"/>
  <c r="E158" i="8"/>
  <c r="F158" i="8" s="1"/>
  <c r="E157" i="8"/>
  <c r="E156" i="8"/>
  <c r="E155" i="8"/>
  <c r="E154" i="8"/>
  <c r="E153" i="8"/>
  <c r="E152" i="8"/>
  <c r="E151" i="8"/>
  <c r="F151" i="8" s="1"/>
  <c r="G151" i="8" s="1"/>
  <c r="E150" i="8"/>
  <c r="F150" i="8" s="1"/>
  <c r="E149" i="8"/>
  <c r="E148" i="8"/>
  <c r="E147" i="8"/>
  <c r="F147" i="8" s="1"/>
  <c r="E146" i="8"/>
  <c r="F146" i="8" s="1"/>
  <c r="E145" i="8"/>
  <c r="E144" i="8"/>
  <c r="E143" i="8"/>
  <c r="F143" i="8" s="1"/>
  <c r="G143" i="8" s="1"/>
  <c r="E142" i="8"/>
  <c r="F142" i="8" s="1"/>
  <c r="E141" i="8"/>
  <c r="E138" i="8"/>
  <c r="F138" i="8" s="1"/>
  <c r="E136" i="8"/>
  <c r="E135" i="8"/>
  <c r="E134" i="8"/>
  <c r="E132" i="8"/>
  <c r="E139" i="8"/>
  <c r="E137" i="8"/>
  <c r="F137" i="8" s="1"/>
  <c r="G137" i="8" s="1"/>
  <c r="E133" i="8"/>
  <c r="E127" i="8"/>
  <c r="E126" i="8"/>
  <c r="E125" i="8"/>
  <c r="F125" i="8" s="1"/>
  <c r="G125" i="8" s="1"/>
  <c r="E124" i="8"/>
  <c r="E123" i="8"/>
  <c r="E122" i="8"/>
  <c r="F122" i="8" s="1"/>
  <c r="E121" i="8"/>
  <c r="F121" i="8" s="1"/>
  <c r="G121" i="8" s="1"/>
  <c r="E120" i="8"/>
  <c r="E119" i="8"/>
  <c r="E118" i="8"/>
  <c r="F118" i="8" s="1"/>
  <c r="G118" i="8" s="1"/>
  <c r="E117" i="8"/>
  <c r="F117" i="8" s="1"/>
  <c r="G117" i="8" s="1"/>
  <c r="E116" i="8"/>
  <c r="E115" i="8"/>
  <c r="E110" i="8"/>
  <c r="E109" i="8"/>
  <c r="E108" i="8"/>
  <c r="E107" i="8"/>
  <c r="F107" i="8" s="1"/>
  <c r="G107" i="8" s="1"/>
  <c r="E106" i="8"/>
  <c r="F106" i="8" s="1"/>
  <c r="G106" i="8" s="1"/>
  <c r="E105" i="8"/>
  <c r="E104" i="8"/>
  <c r="E103" i="8"/>
  <c r="F103" i="8" s="1"/>
  <c r="G103" i="8" s="1"/>
  <c r="E102" i="8"/>
  <c r="F102" i="8" s="1"/>
  <c r="G102" i="8" s="1"/>
  <c r="E101" i="8"/>
  <c r="E100" i="8"/>
  <c r="F100" i="8" s="1"/>
  <c r="G100" i="8" s="1"/>
  <c r="E99" i="8"/>
  <c r="F99" i="8" s="1"/>
  <c r="G99" i="8" s="1"/>
  <c r="E98" i="8"/>
  <c r="E97" i="8"/>
  <c r="E96" i="8"/>
  <c r="F96" i="8" s="1"/>
  <c r="G96" i="8" s="1"/>
  <c r="E95" i="8"/>
  <c r="E90" i="8"/>
  <c r="E89" i="8"/>
  <c r="F89" i="8" s="1"/>
  <c r="G89" i="8" s="1"/>
  <c r="E88" i="8"/>
  <c r="F88" i="8" s="1"/>
  <c r="E87" i="8"/>
  <c r="E86" i="8"/>
  <c r="E85" i="8"/>
  <c r="F85" i="8" s="1"/>
  <c r="G85" i="8" s="1"/>
  <c r="E84" i="8"/>
  <c r="E83" i="8"/>
  <c r="E82" i="8"/>
  <c r="F82" i="8" s="1"/>
  <c r="G82" i="8" s="1"/>
  <c r="E81" i="8"/>
  <c r="F81" i="8" s="1"/>
  <c r="G81" i="8" s="1"/>
  <c r="E80" i="8"/>
  <c r="E79" i="8"/>
  <c r="E78" i="8"/>
  <c r="F78" i="8" s="1"/>
  <c r="G78" i="8" s="1"/>
  <c r="E77" i="8"/>
  <c r="F77" i="8" s="1"/>
  <c r="G77" i="8" s="1"/>
  <c r="E76" i="8"/>
  <c r="E75" i="8"/>
  <c r="E74" i="8"/>
  <c r="E73" i="8"/>
  <c r="F73" i="8" s="1"/>
  <c r="G73" i="8" s="1"/>
  <c r="E72" i="8"/>
  <c r="E71" i="8"/>
  <c r="E63" i="8"/>
  <c r="F63" i="8" s="1"/>
  <c r="E62" i="8"/>
  <c r="E61" i="8"/>
  <c r="F61" i="8" s="1"/>
  <c r="G61" i="8" s="1"/>
  <c r="E60" i="8"/>
  <c r="F60" i="8" s="1"/>
  <c r="E59" i="8"/>
  <c r="E58" i="8"/>
  <c r="E57" i="8"/>
  <c r="E54" i="8"/>
  <c r="E53" i="8"/>
  <c r="F53" i="8" s="1"/>
  <c r="G53" i="8" s="1"/>
  <c r="E52" i="8"/>
  <c r="E51" i="8"/>
  <c r="E50" i="8"/>
  <c r="F50" i="8" s="1"/>
  <c r="G50" i="8" s="1"/>
  <c r="E49" i="8"/>
  <c r="F49" i="8" s="1"/>
  <c r="G49" i="8" s="1"/>
  <c r="E48" i="8"/>
  <c r="F48" i="8" s="1"/>
  <c r="E47" i="8"/>
  <c r="E46" i="8"/>
  <c r="F46" i="8" s="1"/>
  <c r="G46" i="8" s="1"/>
  <c r="E45" i="8"/>
  <c r="E44" i="8"/>
  <c r="E43" i="8"/>
  <c r="F43" i="8" s="1"/>
  <c r="E42" i="8"/>
  <c r="F42" i="8" s="1"/>
  <c r="E41" i="8"/>
  <c r="E40" i="8"/>
  <c r="F40" i="8" s="1"/>
  <c r="G40" i="8" s="1"/>
  <c r="E39" i="8"/>
  <c r="F39" i="8" s="1"/>
  <c r="E66" i="8"/>
  <c r="E65" i="8"/>
  <c r="F65" i="8" s="1"/>
  <c r="E64" i="8"/>
  <c r="E56" i="8"/>
  <c r="F56" i="8" s="1"/>
  <c r="G56" i="8" s="1"/>
  <c r="E55" i="8"/>
  <c r="F55" i="8" s="1"/>
  <c r="G55" i="8" s="1"/>
  <c r="E38" i="8"/>
  <c r="E37" i="8"/>
  <c r="E36" i="8"/>
  <c r="F36" i="8" s="1"/>
  <c r="G36" i="8" s="1"/>
  <c r="E35" i="8"/>
  <c r="F35" i="8" s="1"/>
  <c r="E34" i="8"/>
  <c r="F34" i="8" s="1"/>
  <c r="E33" i="8"/>
  <c r="E32" i="8"/>
  <c r="F32" i="8" s="1"/>
  <c r="G32" i="8" s="1"/>
  <c r="E31" i="8"/>
  <c r="F31" i="8" s="1"/>
  <c r="E30" i="8"/>
  <c r="F30" i="8" s="1"/>
  <c r="E28" i="8"/>
  <c r="E27" i="8"/>
  <c r="F27" i="8" s="1"/>
  <c r="G27" i="8" s="1"/>
  <c r="E26" i="8"/>
  <c r="F26" i="8" s="1"/>
  <c r="E29" i="8"/>
  <c r="F29" i="8" s="1"/>
  <c r="G29" i="8" s="1"/>
  <c r="E22" i="8"/>
  <c r="F22" i="8" s="1"/>
  <c r="E23" i="8"/>
  <c r="E24" i="8"/>
  <c r="F24" i="8" s="1"/>
  <c r="G24" i="8" s="1"/>
  <c r="E25" i="8"/>
  <c r="F25" i="8" s="1"/>
  <c r="E21" i="8"/>
  <c r="E20" i="8"/>
  <c r="E19" i="8"/>
  <c r="F19" i="8" s="1"/>
  <c r="G19" i="8" s="1"/>
  <c r="E18" i="8"/>
  <c r="F18" i="8" s="1"/>
  <c r="G18" i="8" s="1"/>
  <c r="E16" i="8"/>
  <c r="F16" i="8" s="1"/>
  <c r="E17" i="8"/>
  <c r="E15" i="8"/>
  <c r="F15" i="8" s="1"/>
  <c r="G15" i="8" s="1"/>
  <c r="E14" i="8"/>
  <c r="E12" i="8"/>
  <c r="E13" i="8"/>
  <c r="E11" i="8"/>
  <c r="F11" i="8" s="1"/>
  <c r="G11" i="8" s="1"/>
  <c r="E10" i="8"/>
  <c r="F10" i="8" s="1"/>
  <c r="E9" i="8"/>
  <c r="F9" i="8" s="1"/>
  <c r="E8" i="8"/>
  <c r="E7" i="8"/>
  <c r="F7" i="8" s="1"/>
  <c r="G7" i="8" s="1"/>
  <c r="E6" i="8"/>
  <c r="F6" i="8" s="1"/>
  <c r="E5" i="8"/>
  <c r="E4" i="8"/>
  <c r="C769" i="8" l="1"/>
  <c r="I22" i="3"/>
  <c r="I52" i="3" s="1"/>
  <c r="AG82" i="9"/>
  <c r="AG93" i="9" s="1"/>
  <c r="AD93" i="9"/>
  <c r="E273" i="8"/>
  <c r="F132" i="8"/>
  <c r="E201" i="8"/>
  <c r="E507" i="8"/>
  <c r="E393" i="8"/>
  <c r="E91" i="8"/>
  <c r="E111" i="8"/>
  <c r="E67" i="8"/>
  <c r="F757" i="8"/>
  <c r="F759" i="8" s="1"/>
  <c r="E759" i="8"/>
  <c r="E718" i="8"/>
  <c r="F62" i="8"/>
  <c r="G62" i="8" s="1"/>
  <c r="E724" i="8"/>
  <c r="F747" i="8"/>
  <c r="F748" i="8" s="1"/>
  <c r="E748" i="8"/>
  <c r="F773" i="8"/>
  <c r="F774" i="8" s="1"/>
  <c r="F704" i="8"/>
  <c r="F705" i="8" s="1"/>
  <c r="E705" i="8"/>
  <c r="E687" i="8"/>
  <c r="F680" i="8"/>
  <c r="F681" i="8" s="1"/>
  <c r="E681" i="8"/>
  <c r="E658" i="8"/>
  <c r="E664" i="8"/>
  <c r="F647" i="8"/>
  <c r="F648" i="8" s="1"/>
  <c r="E648" i="8"/>
  <c r="F642" i="8"/>
  <c r="F643" i="8" s="1"/>
  <c r="E643" i="8"/>
  <c r="F637" i="8"/>
  <c r="F638" i="8" s="1"/>
  <c r="E638" i="8"/>
  <c r="E592" i="8"/>
  <c r="E618" i="8"/>
  <c r="F622" i="8"/>
  <c r="E623" i="8"/>
  <c r="E612" i="8"/>
  <c r="F558" i="8"/>
  <c r="G558" i="8" s="1"/>
  <c r="E563" i="8"/>
  <c r="E544" i="8"/>
  <c r="F538" i="8"/>
  <c r="E534" i="8"/>
  <c r="E441" i="8"/>
  <c r="E499" i="8"/>
  <c r="E470" i="8"/>
  <c r="E484" i="8"/>
  <c r="E418" i="8"/>
  <c r="F383" i="8"/>
  <c r="F384" i="8" s="1"/>
  <c r="E384" i="8"/>
  <c r="E361" i="8"/>
  <c r="E374" i="8"/>
  <c r="E367" i="8"/>
  <c r="E289" i="8"/>
  <c r="E321" i="8"/>
  <c r="E280" i="8"/>
  <c r="F133" i="8"/>
  <c r="G133" i="8" s="1"/>
  <c r="E128" i="8"/>
  <c r="F95" i="8"/>
  <c r="G95" i="8" s="1"/>
  <c r="F4" i="8"/>
  <c r="G63" i="8"/>
  <c r="F66" i="8"/>
  <c r="G66" i="8" s="1"/>
  <c r="G122" i="8"/>
  <c r="G163" i="8"/>
  <c r="G183" i="8"/>
  <c r="G187" i="8"/>
  <c r="G543" i="8"/>
  <c r="F668" i="8"/>
  <c r="F669" i="8" s="1"/>
  <c r="G6" i="8"/>
  <c r="G25" i="8"/>
  <c r="G138" i="8"/>
  <c r="G229" i="8"/>
  <c r="G241" i="8"/>
  <c r="G460" i="8"/>
  <c r="F696" i="8"/>
  <c r="F12" i="8"/>
  <c r="G12" i="8" s="1"/>
  <c r="F59" i="8"/>
  <c r="G59" i="8" s="1"/>
  <c r="F457" i="8"/>
  <c r="G457" i="8" s="1"/>
  <c r="G31" i="8"/>
  <c r="F45" i="8"/>
  <c r="G45" i="8" s="1"/>
  <c r="F126" i="8"/>
  <c r="G126" i="8" s="1"/>
  <c r="F214" i="8"/>
  <c r="G214" i="8" s="1"/>
  <c r="F211" i="8"/>
  <c r="G211" i="8" s="1"/>
  <c r="F14" i="8"/>
  <c r="G14" i="8" s="1"/>
  <c r="G16" i="8"/>
  <c r="F21" i="8"/>
  <c r="G21" i="8" s="1"/>
  <c r="G30" i="8"/>
  <c r="G35" i="8"/>
  <c r="F38" i="8"/>
  <c r="G38" i="8" s="1"/>
  <c r="G39" i="8"/>
  <c r="G60" i="8"/>
  <c r="F80" i="8"/>
  <c r="G80" i="8" s="1"/>
  <c r="F191" i="8"/>
  <c r="G191" i="8" s="1"/>
  <c r="F212" i="8"/>
  <c r="G212" i="8" s="1"/>
  <c r="F209" i="8"/>
  <c r="G209" i="8" s="1"/>
  <c r="F240" i="8"/>
  <c r="G240" i="8" s="1"/>
  <c r="F482" i="8"/>
  <c r="G482" i="8" s="1"/>
  <c r="F505" i="8"/>
  <c r="G505" i="8" s="1"/>
  <c r="G10" i="8"/>
  <c r="G65" i="8"/>
  <c r="F222" i="8"/>
  <c r="G222" i="8" s="1"/>
  <c r="F238" i="8"/>
  <c r="G238" i="8" s="1"/>
  <c r="F5" i="8"/>
  <c r="G5" i="8" s="1"/>
  <c r="G48" i="8"/>
  <c r="F52" i="8"/>
  <c r="G52" i="8" s="1"/>
  <c r="F57" i="8"/>
  <c r="G57" i="8" s="1"/>
  <c r="F136" i="8"/>
  <c r="G136" i="8" s="1"/>
  <c r="F155" i="8"/>
  <c r="G155" i="8" s="1"/>
  <c r="F196" i="8"/>
  <c r="G196" i="8" s="1"/>
  <c r="F227" i="8"/>
  <c r="G227" i="8" s="1"/>
  <c r="G26" i="8"/>
  <c r="G43" i="8"/>
  <c r="F44" i="8"/>
  <c r="G44" i="8" s="1"/>
  <c r="F110" i="8"/>
  <c r="G110" i="8" s="1"/>
  <c r="F174" i="8"/>
  <c r="G174" i="8" s="1"/>
  <c r="F180" i="8"/>
  <c r="G180" i="8" s="1"/>
  <c r="F198" i="8"/>
  <c r="G198" i="8" s="1"/>
  <c r="F226" i="8"/>
  <c r="G226" i="8" s="1"/>
  <c r="F407" i="8"/>
  <c r="F440" i="8"/>
  <c r="G440" i="8" s="1"/>
  <c r="F577" i="8"/>
  <c r="G577" i="8" s="1"/>
  <c r="F581" i="8"/>
  <c r="G581" i="8" s="1"/>
  <c r="F587" i="8"/>
  <c r="G587" i="8" s="1"/>
  <c r="F277" i="8"/>
  <c r="F445" i="8"/>
  <c r="F436" i="8"/>
  <c r="F539" i="8"/>
  <c r="G539" i="8" s="1"/>
  <c r="F616" i="8"/>
  <c r="F590" i="8"/>
  <c r="G590" i="8" s="1"/>
  <c r="F685" i="8"/>
  <c r="G9" i="8"/>
  <c r="G22" i="8"/>
  <c r="G34" i="8"/>
  <c r="G42" i="8"/>
  <c r="F76" i="8"/>
  <c r="G76" i="8" s="1"/>
  <c r="F84" i="8"/>
  <c r="G84" i="8" s="1"/>
  <c r="G88" i="8"/>
  <c r="G147" i="8"/>
  <c r="F162" i="8"/>
  <c r="G162" i="8" s="1"/>
  <c r="F182" i="8"/>
  <c r="G182" i="8" s="1"/>
  <c r="F194" i="8"/>
  <c r="G194" i="8" s="1"/>
  <c r="F200" i="8"/>
  <c r="G200" i="8" s="1"/>
  <c r="F230" i="8"/>
  <c r="G230" i="8" s="1"/>
  <c r="F232" i="8"/>
  <c r="G232" i="8" s="1"/>
  <c r="F237" i="8"/>
  <c r="G237" i="8" s="1"/>
  <c r="F243" i="8"/>
  <c r="G243" i="8" s="1"/>
  <c r="F250" i="8"/>
  <c r="G250" i="8" s="1"/>
  <c r="F256" i="8"/>
  <c r="G256" i="8" s="1"/>
  <c r="F266" i="8"/>
  <c r="G266" i="8" s="1"/>
  <c r="F303" i="8"/>
  <c r="G303" i="8" s="1"/>
  <c r="F315" i="8"/>
  <c r="G315" i="8" s="1"/>
  <c r="F318" i="8"/>
  <c r="G318" i="8" s="1"/>
  <c r="F463" i="8"/>
  <c r="G463" i="8" s="1"/>
  <c r="F480" i="8"/>
  <c r="G480" i="8" s="1"/>
  <c r="F528" i="8"/>
  <c r="F610" i="8"/>
  <c r="G610" i="8" s="1"/>
  <c r="F763" i="8"/>
  <c r="F764" i="8" s="1"/>
  <c r="G146" i="8"/>
  <c r="F154" i="8"/>
  <c r="G154" i="8" s="1"/>
  <c r="G170" i="8"/>
  <c r="G195" i="8"/>
  <c r="G225" i="8"/>
  <c r="G236" i="8"/>
  <c r="F254" i="8"/>
  <c r="G254" i="8" s="1"/>
  <c r="F262" i="8"/>
  <c r="G262" i="8" s="1"/>
  <c r="G296" i="8"/>
  <c r="G307" i="8"/>
  <c r="F413" i="8"/>
  <c r="G413" i="8" s="1"/>
  <c r="G447" i="8"/>
  <c r="F449" i="8"/>
  <c r="G449" i="8" s="1"/>
  <c r="F461" i="8"/>
  <c r="G461" i="8" s="1"/>
  <c r="F474" i="8"/>
  <c r="F475" i="8" s="1"/>
  <c r="F542" i="8"/>
  <c r="G542" i="8" s="1"/>
  <c r="F656" i="8"/>
  <c r="G656" i="8" s="1"/>
  <c r="E741" i="8"/>
  <c r="G740" i="8"/>
  <c r="G741" i="8" s="1"/>
  <c r="G417" i="8"/>
  <c r="G468" i="8"/>
  <c r="G253" i="8"/>
  <c r="F268" i="8"/>
  <c r="G268" i="8" s="1"/>
  <c r="F300" i="8"/>
  <c r="G300" i="8" s="1"/>
  <c r="F311" i="8"/>
  <c r="G311" i="8" s="1"/>
  <c r="G319" i="8"/>
  <c r="F286" i="8"/>
  <c r="G409" i="8"/>
  <c r="G448" i="8"/>
  <c r="G451" i="8"/>
  <c r="F453" i="8"/>
  <c r="G453" i="8" s="1"/>
  <c r="G459" i="8"/>
  <c r="G465" i="8"/>
  <c r="F497" i="8"/>
  <c r="G497" i="8" s="1"/>
  <c r="G439" i="8"/>
  <c r="F503" i="8"/>
  <c r="F516" i="8"/>
  <c r="F517" i="8" s="1"/>
  <c r="G529" i="8"/>
  <c r="F531" i="8"/>
  <c r="G531" i="8" s="1"/>
  <c r="G562" i="8"/>
  <c r="G589" i="8"/>
  <c r="F722" i="8"/>
  <c r="F135" i="8"/>
  <c r="G135" i="8" s="1"/>
  <c r="F145" i="8"/>
  <c r="G145" i="8" s="1"/>
  <c r="F153" i="8"/>
  <c r="G153" i="8" s="1"/>
  <c r="F210" i="8"/>
  <c r="G210" i="8" s="1"/>
  <c r="F408" i="8"/>
  <c r="G408" i="8" s="1"/>
  <c r="F8" i="8"/>
  <c r="G8" i="8" s="1"/>
  <c r="F13" i="8"/>
  <c r="G13" i="8" s="1"/>
  <c r="F17" i="8"/>
  <c r="G17" i="8" s="1"/>
  <c r="F20" i="8"/>
  <c r="G20" i="8" s="1"/>
  <c r="F23" i="8"/>
  <c r="G23" i="8" s="1"/>
  <c r="F28" i="8"/>
  <c r="G28" i="8" s="1"/>
  <c r="F33" i="8"/>
  <c r="G33" i="8" s="1"/>
  <c r="F37" i="8"/>
  <c r="G37" i="8" s="1"/>
  <c r="F64" i="8"/>
  <c r="G64" i="8" s="1"/>
  <c r="F41" i="8"/>
  <c r="G41" i="8" s="1"/>
  <c r="F47" i="8"/>
  <c r="G47" i="8" s="1"/>
  <c r="F51" i="8"/>
  <c r="G51" i="8" s="1"/>
  <c r="F54" i="8"/>
  <c r="G54" i="8" s="1"/>
  <c r="F58" i="8"/>
  <c r="G58" i="8" s="1"/>
  <c r="F72" i="8"/>
  <c r="G72" i="8" s="1"/>
  <c r="F75" i="8"/>
  <c r="G75" i="8" s="1"/>
  <c r="F79" i="8"/>
  <c r="G79" i="8" s="1"/>
  <c r="F83" i="8"/>
  <c r="G83" i="8" s="1"/>
  <c r="F87" i="8"/>
  <c r="G87" i="8" s="1"/>
  <c r="F90" i="8"/>
  <c r="G90" i="8" s="1"/>
  <c r="F98" i="8"/>
  <c r="G98" i="8" s="1"/>
  <c r="F105" i="8"/>
  <c r="G105" i="8" s="1"/>
  <c r="F109" i="8"/>
  <c r="G109" i="8" s="1"/>
  <c r="F116" i="8"/>
  <c r="G116" i="8" s="1"/>
  <c r="F120" i="8"/>
  <c r="G120" i="8" s="1"/>
  <c r="F124" i="8"/>
  <c r="G124" i="8" s="1"/>
  <c r="F176" i="8"/>
  <c r="G176" i="8" s="1"/>
  <c r="F185" i="8"/>
  <c r="G185" i="8" s="1"/>
  <c r="F207" i="8"/>
  <c r="G207" i="8" s="1"/>
  <c r="F218" i="8"/>
  <c r="G218" i="8" s="1"/>
  <c r="F231" i="8"/>
  <c r="G231" i="8" s="1"/>
  <c r="F242" i="8"/>
  <c r="G242" i="8" s="1"/>
  <c r="F249" i="8"/>
  <c r="G249" i="8" s="1"/>
  <c r="F261" i="8"/>
  <c r="G261" i="8" s="1"/>
  <c r="F272" i="8"/>
  <c r="G272" i="8" s="1"/>
  <c r="F297" i="8"/>
  <c r="G297" i="8" s="1"/>
  <c r="F312" i="8"/>
  <c r="G312" i="8" s="1"/>
  <c r="F365" i="8"/>
  <c r="F367" i="8" s="1"/>
  <c r="F392" i="8"/>
  <c r="G392" i="8" s="1"/>
  <c r="F446" i="8"/>
  <c r="G446" i="8" s="1"/>
  <c r="F506" i="8"/>
  <c r="G506" i="8" s="1"/>
  <c r="F181" i="8"/>
  <c r="G181" i="8" s="1"/>
  <c r="F215" i="8"/>
  <c r="G215" i="8" s="1"/>
  <c r="F252" i="8"/>
  <c r="G252" i="8" s="1"/>
  <c r="F265" i="8"/>
  <c r="G265" i="8" s="1"/>
  <c r="F378" i="8"/>
  <c r="F379" i="8" s="1"/>
  <c r="F483" i="8"/>
  <c r="G483" i="8" s="1"/>
  <c r="F71" i="8"/>
  <c r="F74" i="8"/>
  <c r="G74" i="8" s="1"/>
  <c r="F86" i="8"/>
  <c r="G86" i="8" s="1"/>
  <c r="F97" i="8"/>
  <c r="F101" i="8"/>
  <c r="G101" i="8" s="1"/>
  <c r="F104" i="8"/>
  <c r="G104" i="8" s="1"/>
  <c r="F108" i="8"/>
  <c r="G108" i="8" s="1"/>
  <c r="F115" i="8"/>
  <c r="F119" i="8"/>
  <c r="G119" i="8" s="1"/>
  <c r="F123" i="8"/>
  <c r="G123" i="8" s="1"/>
  <c r="F127" i="8"/>
  <c r="G127" i="8" s="1"/>
  <c r="F139" i="8"/>
  <c r="G139" i="8" s="1"/>
  <c r="F141" i="8"/>
  <c r="G141" i="8" s="1"/>
  <c r="F149" i="8"/>
  <c r="G149" i="8" s="1"/>
  <c r="F157" i="8"/>
  <c r="G157" i="8" s="1"/>
  <c r="F165" i="8"/>
  <c r="G165" i="8" s="1"/>
  <c r="F172" i="8"/>
  <c r="G172" i="8" s="1"/>
  <c r="G177" i="8"/>
  <c r="G184" i="8"/>
  <c r="F189" i="8"/>
  <c r="G189" i="8" s="1"/>
  <c r="F205" i="8"/>
  <c r="G208" i="8"/>
  <c r="F220" i="8"/>
  <c r="G220" i="8" s="1"/>
  <c r="F247" i="8"/>
  <c r="G247" i="8" s="1"/>
  <c r="F293" i="8"/>
  <c r="G298" i="8"/>
  <c r="F308" i="8"/>
  <c r="G308" i="8" s="1"/>
  <c r="F288" i="8"/>
  <c r="G288" i="8" s="1"/>
  <c r="F161" i="8"/>
  <c r="G161" i="8" s="1"/>
  <c r="F169" i="8"/>
  <c r="G169" i="8" s="1"/>
  <c r="F197" i="8"/>
  <c r="G197" i="8" s="1"/>
  <c r="F228" i="8"/>
  <c r="G228" i="8" s="1"/>
  <c r="F239" i="8"/>
  <c r="G239" i="8" s="1"/>
  <c r="F316" i="8"/>
  <c r="G316" i="8" s="1"/>
  <c r="F608" i="8"/>
  <c r="G142" i="8"/>
  <c r="G150" i="8"/>
  <c r="G158" i="8"/>
  <c r="G166" i="8"/>
  <c r="G173" i="8"/>
  <c r="G188" i="8"/>
  <c r="F193" i="8"/>
  <c r="G193" i="8" s="1"/>
  <c r="F206" i="8"/>
  <c r="G206" i="8" s="1"/>
  <c r="G217" i="8"/>
  <c r="G221" i="8"/>
  <c r="F224" i="8"/>
  <c r="G224" i="8" s="1"/>
  <c r="F235" i="8"/>
  <c r="G235" i="8" s="1"/>
  <c r="G269" i="8"/>
  <c r="G294" i="8"/>
  <c r="F304" i="8"/>
  <c r="G304" i="8" s="1"/>
  <c r="F320" i="8"/>
  <c r="G320" i="8" s="1"/>
  <c r="F372" i="8"/>
  <c r="G372" i="8" s="1"/>
  <c r="F357" i="8"/>
  <c r="G357" i="8" s="1"/>
  <c r="F397" i="8"/>
  <c r="F398" i="8" s="1"/>
  <c r="F496" i="8"/>
  <c r="F416" i="8"/>
  <c r="G416" i="8" s="1"/>
  <c r="F458" i="8"/>
  <c r="G458" i="8" s="1"/>
  <c r="F479" i="8"/>
  <c r="F437" i="8"/>
  <c r="G437" i="8" s="1"/>
  <c r="F560" i="8"/>
  <c r="G560" i="8" s="1"/>
  <c r="F579" i="8"/>
  <c r="G579" i="8" s="1"/>
  <c r="F134" i="8"/>
  <c r="G134" i="8" s="1"/>
  <c r="F140" i="8"/>
  <c r="G140" i="8" s="1"/>
  <c r="F144" i="8"/>
  <c r="G144" i="8" s="1"/>
  <c r="F148" i="8"/>
  <c r="G148" i="8" s="1"/>
  <c r="F152" i="8"/>
  <c r="G152" i="8" s="1"/>
  <c r="F156" i="8"/>
  <c r="G156" i="8" s="1"/>
  <c r="F160" i="8"/>
  <c r="G160" i="8" s="1"/>
  <c r="F164" i="8"/>
  <c r="G164" i="8" s="1"/>
  <c r="F168" i="8"/>
  <c r="G168" i="8" s="1"/>
  <c r="F171" i="8"/>
  <c r="G171" i="8" s="1"/>
  <c r="F279" i="8"/>
  <c r="G279" i="8" s="1"/>
  <c r="F287" i="8"/>
  <c r="G287" i="8" s="1"/>
  <c r="F371" i="8"/>
  <c r="G371" i="8" s="1"/>
  <c r="F356" i="8"/>
  <c r="F358" i="8"/>
  <c r="G358" i="8" s="1"/>
  <c r="F391" i="8"/>
  <c r="G391" i="8" s="1"/>
  <c r="F414" i="8"/>
  <c r="G414" i="8" s="1"/>
  <c r="F454" i="8"/>
  <c r="G454" i="8" s="1"/>
  <c r="F466" i="8"/>
  <c r="G466" i="8" s="1"/>
  <c r="F390" i="8"/>
  <c r="F410" i="8"/>
  <c r="G410" i="8" s="1"/>
  <c r="F450" i="8"/>
  <c r="G450" i="8" s="1"/>
  <c r="G455" i="8"/>
  <c r="F462" i="8"/>
  <c r="G462" i="8" s="1"/>
  <c r="G467" i="8"/>
  <c r="F469" i="8"/>
  <c r="G469" i="8" s="1"/>
  <c r="F498" i="8"/>
  <c r="G498" i="8" s="1"/>
  <c r="F530" i="8"/>
  <c r="G530" i="8" s="1"/>
  <c r="F541" i="8"/>
  <c r="G541" i="8" s="1"/>
  <c r="F585" i="8"/>
  <c r="G585" i="8" s="1"/>
  <c r="F523" i="8"/>
  <c r="F572" i="8"/>
  <c r="G572" i="8" s="1"/>
  <c r="F752" i="8"/>
  <c r="F753" i="8" s="1"/>
  <c r="E753" i="8"/>
  <c r="F568" i="8"/>
  <c r="G583" i="8"/>
  <c r="F663" i="8"/>
  <c r="G663" i="8" s="1"/>
  <c r="F675" i="8"/>
  <c r="F676" i="8" s="1"/>
  <c r="F686" i="8"/>
  <c r="F691" i="8"/>
  <c r="F692" i="8" s="1"/>
  <c r="F716" i="8"/>
  <c r="F559" i="8"/>
  <c r="G559" i="8" s="1"/>
  <c r="F596" i="8"/>
  <c r="F597" i="8" s="1"/>
  <c r="F611" i="8"/>
  <c r="G611" i="8" s="1"/>
  <c r="F617" i="8"/>
  <c r="F627" i="8"/>
  <c r="F628" i="8" s="1"/>
  <c r="F571" i="8"/>
  <c r="G571" i="8" s="1"/>
  <c r="F575" i="8"/>
  <c r="G575" i="8" s="1"/>
  <c r="F578" i="8"/>
  <c r="G578" i="8" s="1"/>
  <c r="F582" i="8"/>
  <c r="G582" i="8" s="1"/>
  <c r="F588" i="8"/>
  <c r="G588" i="8" s="1"/>
  <c r="G591" i="8"/>
  <c r="F632" i="8"/>
  <c r="F633" i="8" s="1"/>
  <c r="F654" i="8"/>
  <c r="G657" i="8"/>
  <c r="F728" i="8"/>
  <c r="F729" i="8" s="1"/>
  <c r="F735" i="8"/>
  <c r="F736" i="8" s="1"/>
  <c r="F662" i="8"/>
  <c r="F709" i="8"/>
  <c r="F710" i="8" s="1"/>
  <c r="F723" i="8"/>
  <c r="G723" i="8" s="1"/>
  <c r="G132" i="8" l="1"/>
  <c r="G201" i="8" s="1"/>
  <c r="F201" i="8"/>
  <c r="E769" i="8"/>
  <c r="G757" i="8"/>
  <c r="G759" i="8" s="1"/>
  <c r="G680" i="8"/>
  <c r="G681" i="8" s="1"/>
  <c r="F507" i="8"/>
  <c r="F67" i="8"/>
  <c r="G773" i="8"/>
  <c r="G774" i="8" s="1"/>
  <c r="G704" i="8"/>
  <c r="G705" i="8" s="1"/>
  <c r="G747" i="8"/>
  <c r="G748" i="8" s="1"/>
  <c r="F724" i="8"/>
  <c r="G716" i="8"/>
  <c r="G718" i="8" s="1"/>
  <c r="F718" i="8"/>
  <c r="G696" i="8"/>
  <c r="G697" i="8" s="1"/>
  <c r="F697" i="8"/>
  <c r="G685" i="8"/>
  <c r="F687" i="8"/>
  <c r="G642" i="8"/>
  <c r="G643" i="8" s="1"/>
  <c r="F664" i="8"/>
  <c r="F658" i="8"/>
  <c r="G637" i="8"/>
  <c r="G638" i="8" s="1"/>
  <c r="G647" i="8"/>
  <c r="G648" i="8" s="1"/>
  <c r="G568" i="8"/>
  <c r="G592" i="8" s="1"/>
  <c r="F592" i="8"/>
  <c r="G622" i="8"/>
  <c r="G623" i="8" s="1"/>
  <c r="F623" i="8"/>
  <c r="F612" i="8"/>
  <c r="G616" i="8"/>
  <c r="F618" i="8"/>
  <c r="G563" i="8"/>
  <c r="F563" i="8"/>
  <c r="G523" i="8"/>
  <c r="G524" i="8" s="1"/>
  <c r="F524" i="8"/>
  <c r="F544" i="8"/>
  <c r="G538" i="8"/>
  <c r="G544" i="8" s="1"/>
  <c r="G528" i="8"/>
  <c r="G534" i="8" s="1"/>
  <c r="F534" i="8"/>
  <c r="G503" i="8"/>
  <c r="G507" i="8" s="1"/>
  <c r="G436" i="8"/>
  <c r="G441" i="8" s="1"/>
  <c r="F441" i="8"/>
  <c r="F484" i="8"/>
  <c r="F499" i="8"/>
  <c r="G445" i="8"/>
  <c r="G470" i="8" s="1"/>
  <c r="F470" i="8"/>
  <c r="G383" i="8"/>
  <c r="G384" i="8" s="1"/>
  <c r="G407" i="8"/>
  <c r="G418" i="8" s="1"/>
  <c r="F418" i="8"/>
  <c r="F393" i="8"/>
  <c r="G356" i="8"/>
  <c r="G361" i="8" s="1"/>
  <c r="F361" i="8"/>
  <c r="G374" i="8"/>
  <c r="F374" i="8"/>
  <c r="G286" i="8"/>
  <c r="G289" i="8" s="1"/>
  <c r="F289" i="8"/>
  <c r="F321" i="8"/>
  <c r="F273" i="8"/>
  <c r="F280" i="8"/>
  <c r="G115" i="8"/>
  <c r="G128" i="8" s="1"/>
  <c r="F128" i="8"/>
  <c r="F111" i="8"/>
  <c r="G71" i="8"/>
  <c r="G91" i="8" s="1"/>
  <c r="F91" i="8"/>
  <c r="G4" i="8"/>
  <c r="G67" i="8" s="1"/>
  <c r="G675" i="8"/>
  <c r="G676" i="8" s="1"/>
  <c r="G668" i="8"/>
  <c r="G669" i="8" s="1"/>
  <c r="G516" i="8"/>
  <c r="G517" i="8" s="1"/>
  <c r="G277" i="8"/>
  <c r="G280" i="8" s="1"/>
  <c r="G691" i="8"/>
  <c r="G692" i="8" s="1"/>
  <c r="G397" i="8"/>
  <c r="G398" i="8" s="1"/>
  <c r="G365" i="8"/>
  <c r="G367" i="8" s="1"/>
  <c r="G709" i="8"/>
  <c r="G710" i="8" s="1"/>
  <c r="G97" i="8"/>
  <c r="G111" i="8" s="1"/>
  <c r="G378" i="8"/>
  <c r="G379" i="8" s="1"/>
  <c r="G722" i="8"/>
  <c r="G724" i="8" s="1"/>
  <c r="G474" i="8"/>
  <c r="G475" i="8" s="1"/>
  <c r="G632" i="8"/>
  <c r="G633" i="8" s="1"/>
  <c r="G752" i="8"/>
  <c r="G753" i="8" s="1"/>
  <c r="G763" i="8"/>
  <c r="G764" i="8" s="1"/>
  <c r="G686" i="8"/>
  <c r="G390" i="8"/>
  <c r="G393" i="8" s="1"/>
  <c r="G479" i="8"/>
  <c r="G484" i="8" s="1"/>
  <c r="G293" i="8"/>
  <c r="G321" i="8" s="1"/>
  <c r="G654" i="8"/>
  <c r="G658" i="8" s="1"/>
  <c r="G608" i="8"/>
  <c r="G612" i="8" s="1"/>
  <c r="G617" i="8"/>
  <c r="G728" i="8"/>
  <c r="G729" i="8" s="1"/>
  <c r="G662" i="8"/>
  <c r="G664" i="8" s="1"/>
  <c r="G735" i="8"/>
  <c r="G736" i="8" s="1"/>
  <c r="G596" i="8"/>
  <c r="G597" i="8" s="1"/>
  <c r="G627" i="8"/>
  <c r="G628" i="8" s="1"/>
  <c r="G496" i="8"/>
  <c r="G499" i="8" s="1"/>
  <c r="G205" i="8"/>
  <c r="G273" i="8" s="1"/>
  <c r="G687" i="8" l="1"/>
  <c r="G618" i="8"/>
  <c r="E72" i="5" l="1"/>
  <c r="D72" i="5"/>
  <c r="J4" i="7"/>
  <c r="J10" i="7"/>
  <c r="J12" i="7"/>
  <c r="J13" i="7"/>
  <c r="J14" i="7"/>
  <c r="J17" i="7"/>
  <c r="J18" i="7"/>
  <c r="J20" i="7"/>
  <c r="J22" i="7"/>
  <c r="J24" i="7"/>
  <c r="J26" i="7"/>
  <c r="J29" i="7"/>
  <c r="J30" i="7"/>
  <c r="J31" i="7"/>
  <c r="J32" i="7"/>
  <c r="J33" i="7"/>
  <c r="J34" i="7"/>
  <c r="J35" i="7"/>
  <c r="J38" i="7"/>
  <c r="J40" i="7"/>
  <c r="J41" i="7"/>
  <c r="J48" i="7"/>
  <c r="J51" i="7"/>
  <c r="H45" i="7"/>
  <c r="J45" i="7" s="1"/>
  <c r="H46" i="7"/>
  <c r="J46" i="7" s="1"/>
  <c r="H47" i="7"/>
  <c r="J47" i="7" s="1"/>
  <c r="H48" i="7"/>
  <c r="H49" i="7"/>
  <c r="J49" i="7" s="1"/>
  <c r="H50" i="7"/>
  <c r="J50" i="7" s="1"/>
  <c r="H51" i="7"/>
  <c r="AD93" i="7"/>
  <c r="AD74" i="7"/>
  <c r="AC74" i="7"/>
  <c r="X74" i="7"/>
  <c r="W74" i="7"/>
  <c r="R74" i="7"/>
  <c r="Q74" i="7"/>
  <c r="Q76" i="7" s="1"/>
  <c r="P74" i="7"/>
  <c r="O74" i="7"/>
  <c r="N74" i="7"/>
  <c r="G74" i="7"/>
  <c r="F74" i="7"/>
  <c r="E74" i="7"/>
  <c r="D74" i="7"/>
  <c r="C74" i="7"/>
  <c r="AE73" i="7"/>
  <c r="Y73" i="7"/>
  <c r="S73" i="7"/>
  <c r="N92" i="7" s="1"/>
  <c r="H73" i="7"/>
  <c r="E92" i="7" s="1"/>
  <c r="AE72" i="7"/>
  <c r="Y72" i="7"/>
  <c r="W91" i="7" s="1"/>
  <c r="S72" i="7"/>
  <c r="P91" i="7" s="1"/>
  <c r="H72" i="7"/>
  <c r="AE71" i="7"/>
  <c r="AF71" i="7" s="1"/>
  <c r="AE90" i="7" s="1"/>
  <c r="Y71" i="7"/>
  <c r="X90" i="7" s="1"/>
  <c r="S71" i="7"/>
  <c r="H71" i="7"/>
  <c r="F90" i="7" s="1"/>
  <c r="AE70" i="7"/>
  <c r="Y70" i="7"/>
  <c r="W89" i="7" s="1"/>
  <c r="S70" i="7"/>
  <c r="O89" i="7" s="1"/>
  <c r="H70" i="7"/>
  <c r="D89" i="7" s="1"/>
  <c r="AE69" i="7"/>
  <c r="AF69" i="7" s="1"/>
  <c r="AC88" i="7" s="1"/>
  <c r="Y69" i="7"/>
  <c r="X88" i="7" s="1"/>
  <c r="S69" i="7"/>
  <c r="O88" i="7" s="1"/>
  <c r="H69" i="7"/>
  <c r="G88" i="7" s="1"/>
  <c r="AE68" i="7"/>
  <c r="AF68" i="7" s="1"/>
  <c r="AC87" i="7" s="1"/>
  <c r="Y68" i="7"/>
  <c r="X87" i="7" s="1"/>
  <c r="S68" i="7"/>
  <c r="O87" i="7" s="1"/>
  <c r="H68" i="7"/>
  <c r="C87" i="7" s="1"/>
  <c r="AF67" i="7"/>
  <c r="AC86" i="7" s="1"/>
  <c r="AE67" i="7"/>
  <c r="Y67" i="7"/>
  <c r="X86" i="7" s="1"/>
  <c r="S67" i="7"/>
  <c r="N86" i="7" s="1"/>
  <c r="H67" i="7"/>
  <c r="AE66" i="7"/>
  <c r="AF66" i="7" s="1"/>
  <c r="AC85" i="7" s="1"/>
  <c r="Y66" i="7"/>
  <c r="W85" i="7" s="1"/>
  <c r="S66" i="7"/>
  <c r="O85" i="7" s="1"/>
  <c r="H66" i="7"/>
  <c r="D85" i="7" s="1"/>
  <c r="AE65" i="7"/>
  <c r="AF65" i="7" s="1"/>
  <c r="AC84" i="7" s="1"/>
  <c r="Y65" i="7"/>
  <c r="X84" i="7" s="1"/>
  <c r="S65" i="7"/>
  <c r="O84" i="7" s="1"/>
  <c r="H65" i="7"/>
  <c r="G84" i="7" s="1"/>
  <c r="AF64" i="7"/>
  <c r="AC83" i="7" s="1"/>
  <c r="AE64" i="7"/>
  <c r="Y64" i="7"/>
  <c r="X83" i="7" s="1"/>
  <c r="S64" i="7"/>
  <c r="O83" i="7" s="1"/>
  <c r="H64" i="7"/>
  <c r="AE63" i="7"/>
  <c r="AF63" i="7" s="1"/>
  <c r="AC82" i="7" s="1"/>
  <c r="Y63" i="7"/>
  <c r="X82" i="7" s="1"/>
  <c r="S63" i="7"/>
  <c r="N82" i="7" s="1"/>
  <c r="H63" i="7"/>
  <c r="F82" i="7" s="1"/>
  <c r="AF62" i="7"/>
  <c r="AE81" i="7" s="1"/>
  <c r="Y62" i="7"/>
  <c r="W81" i="7" s="1"/>
  <c r="S62" i="7"/>
  <c r="H62" i="7"/>
  <c r="E81" i="7" s="1"/>
  <c r="G52" i="7"/>
  <c r="F52" i="7"/>
  <c r="E52" i="7"/>
  <c r="D52" i="7"/>
  <c r="C52" i="7"/>
  <c r="H44" i="7"/>
  <c r="J44" i="7" s="1"/>
  <c r="H43" i="7"/>
  <c r="J43" i="7" s="1"/>
  <c r="H42" i="7"/>
  <c r="J42" i="7" s="1"/>
  <c r="H41" i="7"/>
  <c r="H40" i="7"/>
  <c r="H39" i="7"/>
  <c r="J39" i="7" s="1"/>
  <c r="H38" i="7"/>
  <c r="H37" i="7"/>
  <c r="J37" i="7" s="1"/>
  <c r="H36" i="7"/>
  <c r="J36" i="7" s="1"/>
  <c r="H35" i="7"/>
  <c r="H34" i="7"/>
  <c r="H33" i="7"/>
  <c r="H32" i="7"/>
  <c r="H31" i="7"/>
  <c r="H30" i="7"/>
  <c r="H29" i="7"/>
  <c r="H28" i="7"/>
  <c r="J28" i="7" s="1"/>
  <c r="H27" i="7"/>
  <c r="J27" i="7" s="1"/>
  <c r="H26" i="7"/>
  <c r="H25" i="7"/>
  <c r="J25" i="7" s="1"/>
  <c r="H24" i="7"/>
  <c r="H23" i="7"/>
  <c r="J23" i="7" s="1"/>
  <c r="H22" i="7"/>
  <c r="H21" i="7"/>
  <c r="J21" i="7" s="1"/>
  <c r="H20" i="7"/>
  <c r="H19" i="7"/>
  <c r="J19" i="7" s="1"/>
  <c r="H18" i="7"/>
  <c r="H17" i="7"/>
  <c r="H16" i="7"/>
  <c r="J16" i="7" s="1"/>
  <c r="H15" i="7"/>
  <c r="J15" i="7" s="1"/>
  <c r="H14" i="7"/>
  <c r="H13" i="7"/>
  <c r="X12" i="7"/>
  <c r="W12" i="7"/>
  <c r="R12" i="7"/>
  <c r="Q12" i="7"/>
  <c r="P12" i="7"/>
  <c r="O12" i="7"/>
  <c r="N12" i="7"/>
  <c r="H12" i="7"/>
  <c r="Y11" i="7"/>
  <c r="S11" i="7"/>
  <c r="H11" i="7"/>
  <c r="J11" i="7" s="1"/>
  <c r="Y10" i="7"/>
  <c r="S10" i="7"/>
  <c r="H10" i="7"/>
  <c r="Y9" i="7"/>
  <c r="S9" i="7"/>
  <c r="H9" i="7"/>
  <c r="J9" i="7" s="1"/>
  <c r="Y8" i="7"/>
  <c r="S8" i="7"/>
  <c r="H8" i="7"/>
  <c r="J8" i="7" s="1"/>
  <c r="AE7" i="7"/>
  <c r="AD7" i="7"/>
  <c r="AC7" i="7"/>
  <c r="Y7" i="7"/>
  <c r="S7" i="7"/>
  <c r="H7" i="7"/>
  <c r="J7" i="7" s="1"/>
  <c r="AF6" i="7"/>
  <c r="Y6" i="7"/>
  <c r="S6" i="7"/>
  <c r="H6" i="7"/>
  <c r="J6" i="7" s="1"/>
  <c r="AF5" i="7"/>
  <c r="Y5" i="7"/>
  <c r="S5" i="7"/>
  <c r="H5" i="7"/>
  <c r="J5" i="7" s="1"/>
  <c r="AF4" i="7"/>
  <c r="Y4" i="7"/>
  <c r="S4" i="7"/>
  <c r="H4" i="7"/>
  <c r="AF3" i="7"/>
  <c r="Y3" i="7"/>
  <c r="S3" i="7"/>
  <c r="H3" i="7"/>
  <c r="J3" i="7" s="1"/>
  <c r="F37" i="3"/>
  <c r="F42" i="3"/>
  <c r="F51" i="3"/>
  <c r="F17" i="3"/>
  <c r="F38" i="3"/>
  <c r="F48" i="3"/>
  <c r="F45" i="3"/>
  <c r="F36" i="3"/>
  <c r="F27" i="3"/>
  <c r="F33" i="3"/>
  <c r="F32" i="3"/>
  <c r="F46" i="3"/>
  <c r="F39" i="3"/>
  <c r="F30" i="3"/>
  <c r="F26" i="3"/>
  <c r="F21" i="3"/>
  <c r="F47" i="3"/>
  <c r="F49" i="3"/>
  <c r="F41" i="3"/>
  <c r="F24" i="3"/>
  <c r="F8" i="3"/>
  <c r="F10" i="3"/>
  <c r="F12" i="3"/>
  <c r="F34" i="3"/>
  <c r="F50" i="3"/>
  <c r="F28" i="3"/>
  <c r="F25" i="3"/>
  <c r="F40" i="3"/>
  <c r="F44" i="3"/>
  <c r="F35" i="3"/>
  <c r="F18" i="3"/>
  <c r="F22" i="3"/>
  <c r="F20" i="3"/>
  <c r="F9" i="3"/>
  <c r="F29" i="3"/>
  <c r="F16" i="3"/>
  <c r="F15" i="3"/>
  <c r="F13" i="3"/>
  <c r="F23" i="3"/>
  <c r="F31" i="3"/>
  <c r="F14" i="3"/>
  <c r="F11" i="3"/>
  <c r="F43" i="3"/>
  <c r="F19" i="3"/>
  <c r="F6" i="3"/>
  <c r="F7" i="3"/>
  <c r="F5" i="3"/>
  <c r="F3" i="3"/>
  <c r="F4" i="3"/>
  <c r="C739" i="6"/>
  <c r="E739" i="6"/>
  <c r="C672" i="6"/>
  <c r="E671" i="6"/>
  <c r="F671" i="6" s="1"/>
  <c r="E130" i="6"/>
  <c r="C243" i="6"/>
  <c r="E242" i="6"/>
  <c r="F242" i="6" s="1"/>
  <c r="E240" i="6"/>
  <c r="F240" i="6" s="1"/>
  <c r="E241" i="6"/>
  <c r="C735" i="6"/>
  <c r="C722" i="6"/>
  <c r="E722" i="6" s="1"/>
  <c r="C721" i="6"/>
  <c r="E721" i="6" s="1"/>
  <c r="C713" i="6"/>
  <c r="E703" i="6"/>
  <c r="C643" i="6"/>
  <c r="E643" i="6" s="1"/>
  <c r="C543" i="6"/>
  <c r="C531" i="6"/>
  <c r="C528" i="6"/>
  <c r="E528" i="6" s="1"/>
  <c r="E529" i="6"/>
  <c r="E532" i="6"/>
  <c r="E535" i="6"/>
  <c r="D534" i="6"/>
  <c r="E534" i="6" s="1"/>
  <c r="D533" i="6"/>
  <c r="E533" i="6" s="1"/>
  <c r="D531" i="6"/>
  <c r="D530" i="6"/>
  <c r="E530" i="6" s="1"/>
  <c r="D527" i="6"/>
  <c r="E527" i="6" s="1"/>
  <c r="E525" i="6"/>
  <c r="D524" i="6"/>
  <c r="E524" i="6" s="1"/>
  <c r="D523" i="6"/>
  <c r="E523" i="6" s="1"/>
  <c r="E522" i="6"/>
  <c r="D521" i="6"/>
  <c r="E521" i="6" s="1"/>
  <c r="C502" i="6"/>
  <c r="C495" i="6"/>
  <c r="E486" i="6"/>
  <c r="E485" i="6"/>
  <c r="E484" i="6"/>
  <c r="E483" i="6"/>
  <c r="E482" i="6"/>
  <c r="C455" i="6"/>
  <c r="C454" i="6"/>
  <c r="E454" i="6" s="1"/>
  <c r="C458" i="6"/>
  <c r="E458" i="6" s="1"/>
  <c r="C452" i="6"/>
  <c r="E452" i="6" s="1"/>
  <c r="C451" i="6"/>
  <c r="E451" i="6" s="1"/>
  <c r="E459" i="6"/>
  <c r="E457" i="6"/>
  <c r="E456" i="6"/>
  <c r="D455" i="6"/>
  <c r="E453" i="6"/>
  <c r="C427" i="6"/>
  <c r="E427" i="6" s="1"/>
  <c r="C426" i="6"/>
  <c r="E426" i="6" s="1"/>
  <c r="E428" i="6"/>
  <c r="F52" i="3" l="1"/>
  <c r="N88" i="7"/>
  <c r="D84" i="7"/>
  <c r="G92" i="7"/>
  <c r="E85" i="7"/>
  <c r="O86" i="7"/>
  <c r="R91" i="7"/>
  <c r="AE74" i="7"/>
  <c r="X81" i="7"/>
  <c r="Y81" i="7" s="1"/>
  <c r="E84" i="7"/>
  <c r="F85" i="7"/>
  <c r="W87" i="7"/>
  <c r="AE88" i="7"/>
  <c r="AF88" i="7" s="1"/>
  <c r="W90" i="7"/>
  <c r="Y90" i="7" s="1"/>
  <c r="X91" i="7"/>
  <c r="O92" i="7"/>
  <c r="AE85" i="7"/>
  <c r="N84" i="7"/>
  <c r="S84" i="7" s="1"/>
  <c r="N85" i="7"/>
  <c r="S85" i="7" s="1"/>
  <c r="D88" i="7"/>
  <c r="E89" i="7"/>
  <c r="N91" i="7"/>
  <c r="C92" i="7"/>
  <c r="X89" i="7"/>
  <c r="AF85" i="7"/>
  <c r="AE86" i="7"/>
  <c r="AF86" i="7" s="1"/>
  <c r="W83" i="7"/>
  <c r="W84" i="7"/>
  <c r="Y84" i="7" s="1"/>
  <c r="X85" i="7"/>
  <c r="E88" i="7"/>
  <c r="F89" i="7"/>
  <c r="Q91" i="7"/>
  <c r="F92" i="7"/>
  <c r="S12" i="7"/>
  <c r="F83" i="7"/>
  <c r="E83" i="7"/>
  <c r="D83" i="7"/>
  <c r="X92" i="7"/>
  <c r="W92" i="7"/>
  <c r="Y92" i="7" s="1"/>
  <c r="G83" i="7"/>
  <c r="G91" i="7"/>
  <c r="C91" i="7"/>
  <c r="F91" i="7"/>
  <c r="E91" i="7"/>
  <c r="AF73" i="7"/>
  <c r="AC92" i="7" s="1"/>
  <c r="O82" i="7"/>
  <c r="S82" i="7" s="1"/>
  <c r="Y87" i="7"/>
  <c r="H52" i="7"/>
  <c r="AF7" i="7"/>
  <c r="AE82" i="7"/>
  <c r="AE93" i="7" s="1"/>
  <c r="E86" i="7"/>
  <c r="D86" i="7"/>
  <c r="G86" i="7"/>
  <c r="C86" i="7"/>
  <c r="AE87" i="7"/>
  <c r="AF87" i="7" s="1"/>
  <c r="Y89" i="7"/>
  <c r="Y83" i="7"/>
  <c r="S88" i="7"/>
  <c r="AC90" i="7"/>
  <c r="AF90" i="7" s="1"/>
  <c r="O81" i="7"/>
  <c r="O93" i="7" s="1"/>
  <c r="S74" i="7"/>
  <c r="R76" i="7" s="1"/>
  <c r="E90" i="7"/>
  <c r="G90" i="7"/>
  <c r="D90" i="7"/>
  <c r="C90" i="7"/>
  <c r="N81" i="7"/>
  <c r="Y12" i="7"/>
  <c r="X14" i="7" s="1"/>
  <c r="R90" i="7"/>
  <c r="N90" i="7"/>
  <c r="Q90" i="7"/>
  <c r="P90" i="7"/>
  <c r="AF72" i="7"/>
  <c r="AC91" i="7" s="1"/>
  <c r="AE84" i="7"/>
  <c r="AF84" i="7" s="1"/>
  <c r="T11" i="7"/>
  <c r="D81" i="7"/>
  <c r="G81" i="7"/>
  <c r="C81" i="7"/>
  <c r="E82" i="7"/>
  <c r="E93" i="7" s="1"/>
  <c r="G82" i="7"/>
  <c r="D82" i="7"/>
  <c r="AF82" i="7"/>
  <c r="AE83" i="7"/>
  <c r="AF83" i="7" s="1"/>
  <c r="Y85" i="7"/>
  <c r="S86" i="7"/>
  <c r="F87" i="7"/>
  <c r="D87" i="7"/>
  <c r="E87" i="7"/>
  <c r="Y91" i="7"/>
  <c r="S92" i="7"/>
  <c r="H74" i="7"/>
  <c r="F76" i="7" s="1"/>
  <c r="Y74" i="7"/>
  <c r="F81" i="7"/>
  <c r="F93" i="7" s="1"/>
  <c r="C82" i="7"/>
  <c r="C83" i="7"/>
  <c r="F86" i="7"/>
  <c r="G87" i="7"/>
  <c r="W88" i="7"/>
  <c r="Y88" i="7" s="1"/>
  <c r="N89" i="7"/>
  <c r="S89" i="7" s="1"/>
  <c r="O90" i="7"/>
  <c r="D91" i="7"/>
  <c r="AC81" i="7"/>
  <c r="W82" i="7"/>
  <c r="Y82" i="7" s="1"/>
  <c r="N83" i="7"/>
  <c r="S83" i="7" s="1"/>
  <c r="F84" i="7"/>
  <c r="C85" i="7"/>
  <c r="G85" i="7"/>
  <c r="W86" i="7"/>
  <c r="Y86" i="7" s="1"/>
  <c r="N87" i="7"/>
  <c r="S87" i="7" s="1"/>
  <c r="F88" i="7"/>
  <c r="C89" i="7"/>
  <c r="G89" i="7"/>
  <c r="O91" i="7"/>
  <c r="D92" i="7"/>
  <c r="AF70" i="7"/>
  <c r="AC89" i="7" s="1"/>
  <c r="C84" i="7"/>
  <c r="C88" i="7"/>
  <c r="E672" i="6"/>
  <c r="G671" i="6"/>
  <c r="F672" i="6"/>
  <c r="E243" i="6"/>
  <c r="F722" i="6"/>
  <c r="F130" i="6"/>
  <c r="G130" i="6" s="1"/>
  <c r="G242" i="6"/>
  <c r="G240" i="6"/>
  <c r="F241" i="6"/>
  <c r="G241" i="6" s="1"/>
  <c r="E531" i="6"/>
  <c r="F426" i="6"/>
  <c r="E455" i="6"/>
  <c r="F454" i="6" s="1"/>
  <c r="C448" i="1"/>
  <c r="C271" i="6"/>
  <c r="K12" i="7" l="1"/>
  <c r="J52" i="7"/>
  <c r="H92" i="7"/>
  <c r="G93" i="7"/>
  <c r="X93" i="7"/>
  <c r="S90" i="7"/>
  <c r="H88" i="7"/>
  <c r="S91" i="7"/>
  <c r="H82" i="7"/>
  <c r="AE92" i="7"/>
  <c r="AF92" i="7" s="1"/>
  <c r="W14" i="7"/>
  <c r="N76" i="7"/>
  <c r="AE89" i="7"/>
  <c r="AF89" i="7" s="1"/>
  <c r="H87" i="7"/>
  <c r="H86" i="7"/>
  <c r="H81" i="7"/>
  <c r="C93" i="7"/>
  <c r="C76" i="7"/>
  <c r="T8" i="7"/>
  <c r="T10" i="7"/>
  <c r="T9" i="7"/>
  <c r="T6" i="7"/>
  <c r="N14" i="7"/>
  <c r="R14" i="7"/>
  <c r="Q14" i="7"/>
  <c r="T4" i="7"/>
  <c r="H84" i="7"/>
  <c r="D76" i="7"/>
  <c r="K9" i="7"/>
  <c r="G54" i="7"/>
  <c r="P14" i="7"/>
  <c r="H89" i="7"/>
  <c r="AF74" i="7"/>
  <c r="D93" i="7"/>
  <c r="Y93" i="7"/>
  <c r="H90" i="7"/>
  <c r="O14" i="7"/>
  <c r="T5" i="7"/>
  <c r="K10" i="7"/>
  <c r="T7" i="7"/>
  <c r="E76" i="7"/>
  <c r="K7" i="7"/>
  <c r="K3" i="7"/>
  <c r="K5" i="7"/>
  <c r="E54" i="7"/>
  <c r="K11" i="7"/>
  <c r="D54" i="7"/>
  <c r="C54" i="7"/>
  <c r="K4" i="7"/>
  <c r="AE91" i="7"/>
  <c r="AF91" i="7" s="1"/>
  <c r="H85" i="7"/>
  <c r="AC93" i="7"/>
  <c r="AF81" i="7"/>
  <c r="AF93" i="7" s="1"/>
  <c r="H83" i="7"/>
  <c r="X76" i="7"/>
  <c r="W76" i="7"/>
  <c r="F54" i="7"/>
  <c r="W93" i="7"/>
  <c r="N93" i="7"/>
  <c r="S81" i="7"/>
  <c r="S93" i="7" s="1"/>
  <c r="P76" i="7"/>
  <c r="O76" i="7"/>
  <c r="G76" i="7"/>
  <c r="H91" i="7"/>
  <c r="K6" i="7"/>
  <c r="T3" i="7"/>
  <c r="K8" i="7"/>
  <c r="G672" i="6"/>
  <c r="G243" i="6"/>
  <c r="F243" i="6"/>
  <c r="C576" i="6"/>
  <c r="C423" i="6"/>
  <c r="C316" i="6"/>
  <c r="C302" i="6"/>
  <c r="C296" i="6"/>
  <c r="C289" i="6"/>
  <c r="C256" i="6"/>
  <c r="C181" i="6"/>
  <c r="C132" i="6"/>
  <c r="C53" i="6"/>
  <c r="H93" i="7" l="1"/>
  <c r="E734" i="6"/>
  <c r="F734" i="6" s="1"/>
  <c r="E733" i="6"/>
  <c r="C728" i="6"/>
  <c r="E727" i="6"/>
  <c r="E728" i="6" s="1"/>
  <c r="C719" i="6"/>
  <c r="E718" i="6"/>
  <c r="E717" i="6"/>
  <c r="E712" i="6"/>
  <c r="F712" i="6" s="1"/>
  <c r="G712" i="6" s="1"/>
  <c r="E711" i="6"/>
  <c r="E710" i="6"/>
  <c r="F710" i="6" s="1"/>
  <c r="E709" i="6"/>
  <c r="C701" i="6"/>
  <c r="C704" i="6" s="1"/>
  <c r="E704" i="6" s="1"/>
  <c r="F703" i="6" s="1"/>
  <c r="E700" i="6"/>
  <c r="E701" i="6" s="1"/>
  <c r="C696" i="6"/>
  <c r="E695" i="6"/>
  <c r="C691" i="6"/>
  <c r="E690" i="6"/>
  <c r="C686" i="6"/>
  <c r="E685" i="6"/>
  <c r="E684" i="6"/>
  <c r="C680" i="6"/>
  <c r="E679" i="6"/>
  <c r="E678" i="6"/>
  <c r="E677" i="6"/>
  <c r="F677" i="6" s="1"/>
  <c r="C667" i="6"/>
  <c r="E666" i="6"/>
  <c r="F666" i="6" s="1"/>
  <c r="G666" i="6" s="1"/>
  <c r="E665" i="6"/>
  <c r="C659" i="6"/>
  <c r="C661" i="6" s="1"/>
  <c r="E661" i="6" s="1"/>
  <c r="E658" i="6"/>
  <c r="C654" i="6"/>
  <c r="C649" i="6"/>
  <c r="E648" i="6"/>
  <c r="F648" i="6" s="1"/>
  <c r="F649" i="6" s="1"/>
  <c r="C640" i="6"/>
  <c r="C642" i="6" s="1"/>
  <c r="E642" i="6" s="1"/>
  <c r="F643" i="6" s="1"/>
  <c r="E639" i="6"/>
  <c r="F639" i="6" s="1"/>
  <c r="G639" i="6" s="1"/>
  <c r="E638" i="6"/>
  <c r="C633" i="6"/>
  <c r="E632" i="6"/>
  <c r="F632" i="6" s="1"/>
  <c r="G632" i="6" s="1"/>
  <c r="E631" i="6"/>
  <c r="C627" i="6"/>
  <c r="E626" i="6"/>
  <c r="F626" i="6" s="1"/>
  <c r="E625" i="6"/>
  <c r="F625" i="6" s="1"/>
  <c r="G625" i="6" s="1"/>
  <c r="E624" i="6"/>
  <c r="E623" i="6"/>
  <c r="F623" i="6" s="1"/>
  <c r="C615" i="6"/>
  <c r="C617" i="6" s="1"/>
  <c r="E617" i="6" s="1"/>
  <c r="E614" i="6"/>
  <c r="C606" i="6"/>
  <c r="C608" i="6" s="1"/>
  <c r="E608" i="6" s="1"/>
  <c r="E605" i="6"/>
  <c r="C598" i="6"/>
  <c r="C600" i="6" s="1"/>
  <c r="E600" i="6" s="1"/>
  <c r="E597" i="6"/>
  <c r="E598" i="6" s="1"/>
  <c r="C592" i="6"/>
  <c r="E591" i="6"/>
  <c r="E592" i="6" s="1"/>
  <c r="C585" i="6"/>
  <c r="E584" i="6"/>
  <c r="F584" i="6" s="1"/>
  <c r="E583" i="6"/>
  <c r="F583" i="6" s="1"/>
  <c r="E582" i="6"/>
  <c r="E581" i="6"/>
  <c r="F581" i="6" s="1"/>
  <c r="G581" i="6" s="1"/>
  <c r="E575" i="6"/>
  <c r="F575" i="6" s="1"/>
  <c r="G575" i="6" s="1"/>
  <c r="E574" i="6"/>
  <c r="E573" i="6"/>
  <c r="F573" i="6" s="1"/>
  <c r="E572" i="6"/>
  <c r="F572" i="6" s="1"/>
  <c r="G572" i="6" s="1"/>
  <c r="E571" i="6"/>
  <c r="E570" i="6"/>
  <c r="F570" i="6" s="1"/>
  <c r="E569" i="6"/>
  <c r="F569" i="6" s="1"/>
  <c r="E568" i="6"/>
  <c r="F568" i="6" s="1"/>
  <c r="E567" i="6"/>
  <c r="F567" i="6" s="1"/>
  <c r="G567" i="6" s="1"/>
  <c r="E566" i="6"/>
  <c r="E565" i="6"/>
  <c r="E564" i="6"/>
  <c r="F564" i="6" s="1"/>
  <c r="G564" i="6" s="1"/>
  <c r="E563" i="6"/>
  <c r="F563" i="6" s="1"/>
  <c r="E562" i="6"/>
  <c r="F562" i="6" s="1"/>
  <c r="E561" i="6"/>
  <c r="E560" i="6"/>
  <c r="F560" i="6" s="1"/>
  <c r="G560" i="6" s="1"/>
  <c r="E559" i="6"/>
  <c r="F559" i="6" s="1"/>
  <c r="G559" i="6" s="1"/>
  <c r="E558" i="6"/>
  <c r="F558" i="6" s="1"/>
  <c r="E557" i="6"/>
  <c r="F557" i="6" s="1"/>
  <c r="E556" i="6"/>
  <c r="E555" i="6"/>
  <c r="F555" i="6" s="1"/>
  <c r="E554" i="6"/>
  <c r="F554" i="6" s="1"/>
  <c r="E553" i="6"/>
  <c r="F553" i="6" s="1"/>
  <c r="E552" i="6"/>
  <c r="F552" i="6" s="1"/>
  <c r="E551" i="6"/>
  <c r="E550" i="6"/>
  <c r="F550" i="6" s="1"/>
  <c r="E549" i="6"/>
  <c r="E548" i="6"/>
  <c r="E542" i="6"/>
  <c r="E541" i="6"/>
  <c r="C519" i="6"/>
  <c r="E526" i="6" s="1"/>
  <c r="F535" i="6" s="1"/>
  <c r="E518" i="6"/>
  <c r="E517" i="6"/>
  <c r="E516" i="6"/>
  <c r="F516" i="6" s="1"/>
  <c r="C509" i="6"/>
  <c r="E508" i="6"/>
  <c r="F508" i="6" s="1"/>
  <c r="F509" i="6" s="1"/>
  <c r="E501" i="6"/>
  <c r="E500" i="6"/>
  <c r="E494" i="6"/>
  <c r="F494" i="6" s="1"/>
  <c r="G494" i="6" s="1"/>
  <c r="E493" i="6"/>
  <c r="F493" i="6" s="1"/>
  <c r="E492" i="6"/>
  <c r="E491" i="6"/>
  <c r="C479" i="6"/>
  <c r="C481" i="6" s="1"/>
  <c r="E481" i="6" s="1"/>
  <c r="F482" i="6" s="1"/>
  <c r="E478" i="6"/>
  <c r="C473" i="6"/>
  <c r="E472" i="6"/>
  <c r="C468" i="6"/>
  <c r="E467" i="6"/>
  <c r="F467" i="6" s="1"/>
  <c r="E466" i="6"/>
  <c r="C449" i="6"/>
  <c r="E448" i="6"/>
  <c r="E447" i="6"/>
  <c r="E446" i="6"/>
  <c r="F446" i="6" s="1"/>
  <c r="G446" i="6" s="1"/>
  <c r="E445" i="6"/>
  <c r="E444" i="6"/>
  <c r="F444" i="6" s="1"/>
  <c r="C439" i="6"/>
  <c r="E438" i="6"/>
  <c r="F438" i="6" s="1"/>
  <c r="G438" i="6" s="1"/>
  <c r="E437" i="6"/>
  <c r="F437" i="6" s="1"/>
  <c r="E436" i="6"/>
  <c r="F436" i="6" s="1"/>
  <c r="E435" i="6"/>
  <c r="E434" i="6"/>
  <c r="E422" i="6"/>
  <c r="E421" i="6"/>
  <c r="F421" i="6" s="1"/>
  <c r="E420" i="6"/>
  <c r="C415" i="6"/>
  <c r="E414" i="6"/>
  <c r="F414" i="6" s="1"/>
  <c r="E413" i="6"/>
  <c r="F413" i="6" s="1"/>
  <c r="E412" i="6"/>
  <c r="E411" i="6"/>
  <c r="E410" i="6"/>
  <c r="F410" i="6" s="1"/>
  <c r="E409" i="6"/>
  <c r="F409" i="6" s="1"/>
  <c r="G409" i="6" s="1"/>
  <c r="E408" i="6"/>
  <c r="F408" i="6" s="1"/>
  <c r="G408" i="6" s="1"/>
  <c r="E407" i="6"/>
  <c r="F407" i="6" s="1"/>
  <c r="E406" i="6"/>
  <c r="F406" i="6" s="1"/>
  <c r="E405" i="6"/>
  <c r="F405" i="6" s="1"/>
  <c r="G405" i="6" s="1"/>
  <c r="E404" i="6"/>
  <c r="E403" i="6"/>
  <c r="C395" i="6"/>
  <c r="C397" i="6" s="1"/>
  <c r="E397" i="6" s="1"/>
  <c r="E394" i="6"/>
  <c r="E395" i="6" s="1"/>
  <c r="C390" i="6"/>
  <c r="E389" i="6"/>
  <c r="F389" i="6" s="1"/>
  <c r="G389" i="6" s="1"/>
  <c r="E388" i="6"/>
  <c r="E387" i="6"/>
  <c r="E386" i="6"/>
  <c r="F386" i="6" s="1"/>
  <c r="E385" i="6"/>
  <c r="F385" i="6" s="1"/>
  <c r="C381" i="6"/>
  <c r="C373" i="6"/>
  <c r="E372" i="6"/>
  <c r="F372" i="6" s="1"/>
  <c r="G372" i="6" s="1"/>
  <c r="E371" i="6"/>
  <c r="F371" i="6" s="1"/>
  <c r="G371" i="6" s="1"/>
  <c r="E370" i="6"/>
  <c r="E369" i="6"/>
  <c r="F369" i="6" s="1"/>
  <c r="E368" i="6"/>
  <c r="C363" i="6"/>
  <c r="E362" i="6"/>
  <c r="E361" i="6"/>
  <c r="F361" i="6" s="1"/>
  <c r="E360" i="6"/>
  <c r="E359" i="6"/>
  <c r="F359" i="6" s="1"/>
  <c r="E358" i="6"/>
  <c r="F358" i="6" s="1"/>
  <c r="G358" i="6" s="1"/>
  <c r="E357" i="6"/>
  <c r="E356" i="6"/>
  <c r="F356" i="6" s="1"/>
  <c r="E355" i="6"/>
  <c r="F355" i="6" s="1"/>
  <c r="G355" i="6" s="1"/>
  <c r="E354" i="6"/>
  <c r="E353" i="6"/>
  <c r="F353" i="6" s="1"/>
  <c r="E352" i="6"/>
  <c r="E351" i="6"/>
  <c r="F351" i="6" s="1"/>
  <c r="G351" i="6" s="1"/>
  <c r="E350" i="6"/>
  <c r="F350" i="6" s="1"/>
  <c r="G350" i="6" s="1"/>
  <c r="E349" i="6"/>
  <c r="E348" i="6"/>
  <c r="E347" i="6"/>
  <c r="F347" i="6" s="1"/>
  <c r="G347" i="6" s="1"/>
  <c r="E346" i="6"/>
  <c r="E345" i="6"/>
  <c r="F345" i="6" s="1"/>
  <c r="E344" i="6"/>
  <c r="E343" i="6"/>
  <c r="E342" i="6"/>
  <c r="E341" i="6"/>
  <c r="E340" i="6"/>
  <c r="F340" i="6" s="1"/>
  <c r="E339" i="6"/>
  <c r="F339" i="6" s="1"/>
  <c r="G339" i="6" s="1"/>
  <c r="E338" i="6"/>
  <c r="E337" i="6"/>
  <c r="F337" i="6" s="1"/>
  <c r="E336" i="6"/>
  <c r="E335" i="6"/>
  <c r="E334" i="6"/>
  <c r="F334" i="6" s="1"/>
  <c r="G334" i="6" s="1"/>
  <c r="E333" i="6"/>
  <c r="E332" i="6"/>
  <c r="F332" i="6" s="1"/>
  <c r="C328" i="6"/>
  <c r="E315" i="6"/>
  <c r="E314" i="6"/>
  <c r="E313" i="6"/>
  <c r="F313" i="6" s="1"/>
  <c r="G313" i="6" s="1"/>
  <c r="E312" i="6"/>
  <c r="E311" i="6"/>
  <c r="F311" i="6" s="1"/>
  <c r="E310" i="6"/>
  <c r="F310" i="6" s="1"/>
  <c r="G310" i="6" s="1"/>
  <c r="E309" i="6"/>
  <c r="E308" i="6"/>
  <c r="F308" i="6" s="1"/>
  <c r="E307" i="6"/>
  <c r="E295" i="6"/>
  <c r="F295" i="6" s="1"/>
  <c r="E294" i="6"/>
  <c r="E288" i="6"/>
  <c r="E287" i="6"/>
  <c r="C281" i="6"/>
  <c r="E280" i="6"/>
  <c r="F280" i="6" s="1"/>
  <c r="F281" i="6" s="1"/>
  <c r="C276" i="6"/>
  <c r="E275" i="6"/>
  <c r="E276" i="6" s="1"/>
  <c r="E270" i="6"/>
  <c r="E269" i="6"/>
  <c r="F269" i="6" s="1"/>
  <c r="G269" i="6" s="1"/>
  <c r="E268" i="6"/>
  <c r="F268" i="6" s="1"/>
  <c r="G268" i="6" s="1"/>
  <c r="E267" i="6"/>
  <c r="E266" i="6"/>
  <c r="C262" i="6"/>
  <c r="E261" i="6"/>
  <c r="E262" i="6" s="1"/>
  <c r="E255" i="6"/>
  <c r="E254" i="6"/>
  <c r="C249" i="6"/>
  <c r="E248" i="6"/>
  <c r="F248" i="6" s="1"/>
  <c r="F249" i="6" s="1"/>
  <c r="C236" i="6"/>
  <c r="C209" i="6"/>
  <c r="E208" i="6"/>
  <c r="F208" i="6" s="1"/>
  <c r="E207" i="6"/>
  <c r="E206" i="6"/>
  <c r="F206" i="6" s="1"/>
  <c r="E205" i="6"/>
  <c r="F205" i="6" s="1"/>
  <c r="G205" i="6" s="1"/>
  <c r="E204" i="6"/>
  <c r="E201" i="6"/>
  <c r="F201" i="6" s="1"/>
  <c r="E203" i="6"/>
  <c r="F203" i="6" s="1"/>
  <c r="G203" i="6" s="1"/>
  <c r="E202" i="6"/>
  <c r="E200" i="6"/>
  <c r="F200" i="6" s="1"/>
  <c r="E198" i="6"/>
  <c r="E199" i="6"/>
  <c r="F199" i="6" s="1"/>
  <c r="E197" i="6"/>
  <c r="F197" i="6" s="1"/>
  <c r="G197" i="6" s="1"/>
  <c r="E196" i="6"/>
  <c r="E195" i="6"/>
  <c r="E194" i="6"/>
  <c r="F194" i="6" s="1"/>
  <c r="G194" i="6" s="1"/>
  <c r="E193" i="6"/>
  <c r="E192" i="6"/>
  <c r="F192" i="6" s="1"/>
  <c r="E191" i="6"/>
  <c r="E190" i="6"/>
  <c r="F190" i="6" s="1"/>
  <c r="E189" i="6"/>
  <c r="E188" i="6"/>
  <c r="E187" i="6"/>
  <c r="F187" i="6" s="1"/>
  <c r="E186" i="6"/>
  <c r="F186" i="6" s="1"/>
  <c r="G186" i="6" s="1"/>
  <c r="E185" i="6"/>
  <c r="E180" i="6"/>
  <c r="E179" i="6"/>
  <c r="F179" i="6" s="1"/>
  <c r="G179" i="6" s="1"/>
  <c r="E178" i="6"/>
  <c r="E177" i="6"/>
  <c r="F177" i="6" s="1"/>
  <c r="G177" i="6" s="1"/>
  <c r="E176" i="6"/>
  <c r="E175" i="6"/>
  <c r="E174" i="6"/>
  <c r="E173" i="6"/>
  <c r="F173" i="6" s="1"/>
  <c r="G173" i="6" s="1"/>
  <c r="E172" i="6"/>
  <c r="F172" i="6" s="1"/>
  <c r="G172" i="6" s="1"/>
  <c r="E171" i="6"/>
  <c r="E170" i="6"/>
  <c r="E169" i="6"/>
  <c r="F169" i="6" s="1"/>
  <c r="G169" i="6" s="1"/>
  <c r="E168" i="6"/>
  <c r="E167" i="6"/>
  <c r="E166" i="6"/>
  <c r="E165" i="6"/>
  <c r="F165" i="6" s="1"/>
  <c r="G165" i="6" s="1"/>
  <c r="E164" i="6"/>
  <c r="F164" i="6" s="1"/>
  <c r="G164" i="6" s="1"/>
  <c r="E163" i="6"/>
  <c r="E162" i="6"/>
  <c r="E161" i="6"/>
  <c r="F161" i="6" s="1"/>
  <c r="G161" i="6" s="1"/>
  <c r="E160" i="6"/>
  <c r="E159" i="6"/>
  <c r="F159" i="6" s="1"/>
  <c r="E158" i="6"/>
  <c r="E156" i="6"/>
  <c r="F156" i="6" s="1"/>
  <c r="G156" i="6" s="1"/>
  <c r="E155" i="6"/>
  <c r="F155" i="6" s="1"/>
  <c r="G155" i="6" s="1"/>
  <c r="E157" i="6"/>
  <c r="E154" i="6"/>
  <c r="E153" i="6"/>
  <c r="F153" i="6" s="1"/>
  <c r="G153" i="6" s="1"/>
  <c r="E152" i="6"/>
  <c r="E151" i="6"/>
  <c r="F151" i="6" s="1"/>
  <c r="E150" i="6"/>
  <c r="E149" i="6"/>
  <c r="F149" i="6" s="1"/>
  <c r="G149" i="6" s="1"/>
  <c r="E148" i="6"/>
  <c r="F148" i="6" s="1"/>
  <c r="G148" i="6" s="1"/>
  <c r="E142" i="6"/>
  <c r="F142" i="6" s="1"/>
  <c r="G142" i="6" s="1"/>
  <c r="E147" i="6"/>
  <c r="E146" i="6"/>
  <c r="F146" i="6" s="1"/>
  <c r="E145" i="6"/>
  <c r="F145" i="6" s="1"/>
  <c r="E141" i="6"/>
  <c r="E140" i="6"/>
  <c r="E144" i="6"/>
  <c r="F144" i="6" s="1"/>
  <c r="E143" i="6"/>
  <c r="F143" i="6" s="1"/>
  <c r="G143" i="6" s="1"/>
  <c r="E139" i="6"/>
  <c r="E138" i="6"/>
  <c r="E137" i="6"/>
  <c r="F137" i="6" s="1"/>
  <c r="E136" i="6"/>
  <c r="E131" i="6"/>
  <c r="F131" i="6" s="1"/>
  <c r="G131" i="6" s="1"/>
  <c r="E129" i="6"/>
  <c r="F129" i="6" s="1"/>
  <c r="E128" i="6"/>
  <c r="F128" i="6" s="1"/>
  <c r="E127" i="6"/>
  <c r="F127" i="6" s="1"/>
  <c r="G127" i="6" s="1"/>
  <c r="E126" i="6"/>
  <c r="E125" i="6"/>
  <c r="E124" i="6"/>
  <c r="F124" i="6" s="1"/>
  <c r="E123" i="6"/>
  <c r="F123" i="6" s="1"/>
  <c r="G123" i="6" s="1"/>
  <c r="E122" i="6"/>
  <c r="F122" i="6" s="1"/>
  <c r="G122" i="6" s="1"/>
  <c r="E121" i="6"/>
  <c r="E120" i="6"/>
  <c r="F120" i="6" s="1"/>
  <c r="E119" i="6"/>
  <c r="F119" i="6" s="1"/>
  <c r="G119" i="6" s="1"/>
  <c r="E118" i="6"/>
  <c r="E117" i="6"/>
  <c r="E116" i="6"/>
  <c r="E115" i="6"/>
  <c r="F115" i="6" s="1"/>
  <c r="G115" i="6" s="1"/>
  <c r="E114" i="6"/>
  <c r="F114" i="6" s="1"/>
  <c r="E113" i="6"/>
  <c r="E112" i="6"/>
  <c r="F112" i="6" s="1"/>
  <c r="E111" i="6"/>
  <c r="C107" i="6"/>
  <c r="E106" i="6"/>
  <c r="F106" i="6" s="1"/>
  <c r="G106" i="6" s="1"/>
  <c r="E105" i="6"/>
  <c r="F105" i="6" s="1"/>
  <c r="G105" i="6" s="1"/>
  <c r="E104" i="6"/>
  <c r="E103" i="6"/>
  <c r="E102" i="6"/>
  <c r="F102" i="6" s="1"/>
  <c r="G102" i="6" s="1"/>
  <c r="E101" i="6"/>
  <c r="C97" i="6"/>
  <c r="E96" i="6"/>
  <c r="E95" i="6"/>
  <c r="F95" i="6" s="1"/>
  <c r="E94" i="6"/>
  <c r="F94" i="6" s="1"/>
  <c r="G94" i="6" s="1"/>
  <c r="E93" i="6"/>
  <c r="E92" i="6"/>
  <c r="E91" i="6"/>
  <c r="E90" i="6"/>
  <c r="F90" i="6" s="1"/>
  <c r="G90" i="6" s="1"/>
  <c r="E89" i="6"/>
  <c r="F89" i="6" s="1"/>
  <c r="E88" i="6"/>
  <c r="E87" i="6"/>
  <c r="F87" i="6" s="1"/>
  <c r="E86" i="6"/>
  <c r="F86" i="6" s="1"/>
  <c r="G86" i="6" s="1"/>
  <c r="E85" i="6"/>
  <c r="E84" i="6"/>
  <c r="E83" i="6"/>
  <c r="E82" i="6"/>
  <c r="F82" i="6" s="1"/>
  <c r="G82" i="6" s="1"/>
  <c r="E81" i="6"/>
  <c r="C77" i="6"/>
  <c r="E76" i="6"/>
  <c r="F76" i="6" s="1"/>
  <c r="E75" i="6"/>
  <c r="F75" i="6" s="1"/>
  <c r="G75" i="6" s="1"/>
  <c r="E74" i="6"/>
  <c r="F74" i="6" s="1"/>
  <c r="G74" i="6" s="1"/>
  <c r="E73" i="6"/>
  <c r="E72" i="6"/>
  <c r="F72" i="6" s="1"/>
  <c r="E71" i="6"/>
  <c r="F71" i="6" s="1"/>
  <c r="E70" i="6"/>
  <c r="F70" i="6" s="1"/>
  <c r="G70" i="6" s="1"/>
  <c r="E69" i="6"/>
  <c r="F69" i="6" s="1"/>
  <c r="G69" i="6" s="1"/>
  <c r="E68" i="6"/>
  <c r="F68" i="6" s="1"/>
  <c r="E67" i="6"/>
  <c r="E66" i="6"/>
  <c r="F66" i="6" s="1"/>
  <c r="G66" i="6" s="1"/>
  <c r="E65" i="6"/>
  <c r="E64" i="6"/>
  <c r="F64" i="6" s="1"/>
  <c r="E63" i="6"/>
  <c r="F63" i="6" s="1"/>
  <c r="E62" i="6"/>
  <c r="E61" i="6"/>
  <c r="F61" i="6" s="1"/>
  <c r="G61" i="6" s="1"/>
  <c r="E60" i="6"/>
  <c r="E59" i="6"/>
  <c r="F59" i="6" s="1"/>
  <c r="E58" i="6"/>
  <c r="E50" i="6"/>
  <c r="E49" i="6"/>
  <c r="F49" i="6" s="1"/>
  <c r="E48" i="6"/>
  <c r="F48" i="6" s="1"/>
  <c r="E47" i="6"/>
  <c r="E46" i="6"/>
  <c r="F46" i="6" s="1"/>
  <c r="G46" i="6" s="1"/>
  <c r="E45" i="6"/>
  <c r="E44" i="6"/>
  <c r="F44" i="6" s="1"/>
  <c r="E43" i="6"/>
  <c r="F43" i="6" s="1"/>
  <c r="G43" i="6" s="1"/>
  <c r="E42" i="6"/>
  <c r="E41" i="6"/>
  <c r="F41" i="6" s="1"/>
  <c r="E40" i="6"/>
  <c r="F40" i="6" s="1"/>
  <c r="E39" i="6"/>
  <c r="E38" i="6"/>
  <c r="F38" i="6" s="1"/>
  <c r="G38" i="6" s="1"/>
  <c r="E37" i="6"/>
  <c r="F37" i="6" s="1"/>
  <c r="E36" i="6"/>
  <c r="F36" i="6" s="1"/>
  <c r="E35" i="6"/>
  <c r="F35" i="6" s="1"/>
  <c r="G35" i="6" s="1"/>
  <c r="E52" i="6"/>
  <c r="E51" i="6"/>
  <c r="F51" i="6" s="1"/>
  <c r="E34" i="6"/>
  <c r="F34" i="6" s="1"/>
  <c r="E33" i="6"/>
  <c r="E32" i="6"/>
  <c r="F32" i="6" s="1"/>
  <c r="G32" i="6" s="1"/>
  <c r="E31" i="6"/>
  <c r="E30" i="6"/>
  <c r="F30" i="6" s="1"/>
  <c r="E29" i="6"/>
  <c r="F29" i="6" s="1"/>
  <c r="G29" i="6" s="1"/>
  <c r="E28" i="6"/>
  <c r="E27" i="6"/>
  <c r="F27" i="6" s="1"/>
  <c r="E26" i="6"/>
  <c r="F26" i="6" s="1"/>
  <c r="E25" i="6"/>
  <c r="F25" i="6" s="1"/>
  <c r="G25" i="6" s="1"/>
  <c r="E24" i="6"/>
  <c r="F24" i="6" s="1"/>
  <c r="G24" i="6" s="1"/>
  <c r="E23" i="6"/>
  <c r="F23" i="6" s="1"/>
  <c r="E22" i="6"/>
  <c r="F22" i="6" s="1"/>
  <c r="E21" i="6"/>
  <c r="F21" i="6" s="1"/>
  <c r="G21" i="6" s="1"/>
  <c r="E20" i="6"/>
  <c r="E19" i="6"/>
  <c r="F19" i="6" s="1"/>
  <c r="E18" i="6"/>
  <c r="F18" i="6" s="1"/>
  <c r="E17" i="6"/>
  <c r="F17" i="6" s="1"/>
  <c r="E16" i="6"/>
  <c r="F16" i="6" s="1"/>
  <c r="G16" i="6" s="1"/>
  <c r="E15" i="6"/>
  <c r="E14" i="6"/>
  <c r="F14" i="6" s="1"/>
  <c r="E13" i="6"/>
  <c r="F13" i="6" s="1"/>
  <c r="G13" i="6" s="1"/>
  <c r="E11" i="6"/>
  <c r="E12" i="6"/>
  <c r="F12" i="6" s="1"/>
  <c r="E10" i="6"/>
  <c r="F10" i="6" s="1"/>
  <c r="E9" i="6"/>
  <c r="F9" i="6" s="1"/>
  <c r="E8" i="6"/>
  <c r="F8" i="6" s="1"/>
  <c r="G8" i="6" s="1"/>
  <c r="E7" i="6"/>
  <c r="F7" i="6" s="1"/>
  <c r="E6" i="6"/>
  <c r="F6" i="6" s="1"/>
  <c r="E5" i="6"/>
  <c r="F5" i="6" s="1"/>
  <c r="G5" i="6" s="1"/>
  <c r="E4" i="6"/>
  <c r="E735" i="6" l="1"/>
  <c r="E53" i="6"/>
  <c r="F422" i="6"/>
  <c r="G422" i="6" s="1"/>
  <c r="E423" i="6"/>
  <c r="E713" i="6"/>
  <c r="F500" i="6"/>
  <c r="E502" i="6"/>
  <c r="C511" i="6"/>
  <c r="E511" i="6" s="1"/>
  <c r="E495" i="6"/>
  <c r="E271" i="6"/>
  <c r="C283" i="6"/>
  <c r="E283" i="6" s="1"/>
  <c r="E181" i="6"/>
  <c r="E543" i="6"/>
  <c r="F548" i="6"/>
  <c r="E576" i="6"/>
  <c r="E316" i="6"/>
  <c r="F287" i="6"/>
  <c r="G287" i="6" s="1"/>
  <c r="E289" i="6"/>
  <c r="F266" i="6"/>
  <c r="G266" i="6" s="1"/>
  <c r="E296" i="6"/>
  <c r="F254" i="6"/>
  <c r="G254" i="6" s="1"/>
  <c r="E256" i="6"/>
  <c r="F591" i="6"/>
  <c r="F592" i="6" s="1"/>
  <c r="E209" i="6"/>
  <c r="G187" i="6"/>
  <c r="G311" i="6"/>
  <c r="G332" i="6"/>
  <c r="G356" i="6"/>
  <c r="G573" i="6"/>
  <c r="F111" i="6"/>
  <c r="G111" i="6" s="1"/>
  <c r="E132" i="6"/>
  <c r="F136" i="6"/>
  <c r="G136" i="6" s="1"/>
  <c r="G199" i="6"/>
  <c r="G248" i="6"/>
  <c r="G249" i="6" s="1"/>
  <c r="G30" i="6"/>
  <c r="G201" i="6"/>
  <c r="E373" i="6"/>
  <c r="G553" i="6"/>
  <c r="F733" i="6"/>
  <c r="G733" i="6" s="1"/>
  <c r="G6" i="6"/>
  <c r="F39" i="6"/>
  <c r="G39" i="6" s="1"/>
  <c r="G568" i="6"/>
  <c r="F727" i="6"/>
  <c r="G727" i="6" s="1"/>
  <c r="G728" i="6" s="1"/>
  <c r="E77" i="6"/>
  <c r="G59" i="6"/>
  <c r="G421" i="6"/>
  <c r="G557" i="6"/>
  <c r="F597" i="6"/>
  <c r="F598" i="6" s="1"/>
  <c r="E627" i="6"/>
  <c r="F33" i="6"/>
  <c r="G33" i="6" s="1"/>
  <c r="F103" i="6"/>
  <c r="G103" i="6" s="1"/>
  <c r="F160" i="6"/>
  <c r="G160" i="6" s="1"/>
  <c r="F176" i="6"/>
  <c r="G176" i="6" s="1"/>
  <c r="F565" i="6"/>
  <c r="G565" i="6" s="1"/>
  <c r="G14" i="6"/>
  <c r="F67" i="6"/>
  <c r="G67" i="6" s="1"/>
  <c r="G295" i="6"/>
  <c r="F314" i="6"/>
  <c r="G314" i="6" s="1"/>
  <c r="E659" i="6"/>
  <c r="F658" i="6"/>
  <c r="F659" i="6" s="1"/>
  <c r="G9" i="6"/>
  <c r="G44" i="6"/>
  <c r="F47" i="6"/>
  <c r="G47" i="6" s="1"/>
  <c r="F62" i="6"/>
  <c r="G62" i="6" s="1"/>
  <c r="F141" i="6"/>
  <c r="G141" i="6" s="1"/>
  <c r="F152" i="6"/>
  <c r="G152" i="6" s="1"/>
  <c r="F168" i="6"/>
  <c r="G168" i="6" s="1"/>
  <c r="F180" i="6"/>
  <c r="G180" i="6" s="1"/>
  <c r="F189" i="6"/>
  <c r="G189" i="6" s="1"/>
  <c r="E390" i="6"/>
  <c r="F551" i="6"/>
  <c r="G551" i="6" s="1"/>
  <c r="F556" i="6"/>
  <c r="G556" i="6" s="1"/>
  <c r="F561" i="6"/>
  <c r="G561" i="6" s="1"/>
  <c r="F685" i="6"/>
  <c r="G685" i="6" s="1"/>
  <c r="F348" i="6"/>
  <c r="G348" i="6" s="1"/>
  <c r="F501" i="6"/>
  <c r="F502" i="6" s="1"/>
  <c r="G17" i="6"/>
  <c r="G114" i="6"/>
  <c r="G206" i="6"/>
  <c r="F343" i="6"/>
  <c r="G343" i="6" s="1"/>
  <c r="G359" i="6"/>
  <c r="F368" i="6"/>
  <c r="G368" i="6" s="1"/>
  <c r="F435" i="6"/>
  <c r="G435" i="6" s="1"/>
  <c r="F518" i="6"/>
  <c r="G518" i="6" s="1"/>
  <c r="E649" i="6"/>
  <c r="G648" i="6"/>
  <c r="G649" i="6" s="1"/>
  <c r="F58" i="6"/>
  <c r="G58" i="6" s="1"/>
  <c r="E97" i="6"/>
  <c r="G145" i="6"/>
  <c r="G190" i="6"/>
  <c r="F195" i="6"/>
  <c r="G195" i="6" s="1"/>
  <c r="E281" i="6"/>
  <c r="G280" i="6"/>
  <c r="G281" i="6" s="1"/>
  <c r="F335" i="6"/>
  <c r="G335" i="6" s="1"/>
  <c r="F342" i="6"/>
  <c r="G342" i="6" s="1"/>
  <c r="G413" i="6"/>
  <c r="G444" i="6"/>
  <c r="F447" i="6"/>
  <c r="G447" i="6" s="1"/>
  <c r="E479" i="6"/>
  <c r="F478" i="6"/>
  <c r="F479" i="6" s="1"/>
  <c r="F541" i="6"/>
  <c r="F549" i="6"/>
  <c r="G549" i="6" s="1"/>
  <c r="G552" i="6"/>
  <c r="F624" i="6"/>
  <c r="F627" i="6" s="1"/>
  <c r="E107" i="6"/>
  <c r="E680" i="6"/>
  <c r="E686" i="6"/>
  <c r="G22" i="6"/>
  <c r="G36" i="6"/>
  <c r="G89" i="6"/>
  <c r="G144" i="6"/>
  <c r="F261" i="6"/>
  <c r="F294" i="6"/>
  <c r="G340" i="6"/>
  <c r="G369" i="6"/>
  <c r="G386" i="6"/>
  <c r="G516" i="6"/>
  <c r="F684" i="6"/>
  <c r="F700" i="6"/>
  <c r="F96" i="6"/>
  <c r="G96" i="6" s="1"/>
  <c r="F118" i="6"/>
  <c r="G118" i="6" s="1"/>
  <c r="F85" i="6"/>
  <c r="G85" i="6" s="1"/>
  <c r="F88" i="6"/>
  <c r="G88" i="6" s="1"/>
  <c r="F113" i="6"/>
  <c r="G113" i="6" s="1"/>
  <c r="F83" i="6"/>
  <c r="G83" i="6" s="1"/>
  <c r="F93" i="6"/>
  <c r="G93" i="6" s="1"/>
  <c r="F121" i="6"/>
  <c r="G121" i="6" s="1"/>
  <c r="F91" i="6"/>
  <c r="G91" i="6" s="1"/>
  <c r="F116" i="6"/>
  <c r="G116" i="6" s="1"/>
  <c r="F185" i="6"/>
  <c r="G185" i="6" s="1"/>
  <c r="F466" i="6"/>
  <c r="F468" i="6" s="1"/>
  <c r="E468" i="6"/>
  <c r="F679" i="6"/>
  <c r="G679" i="6" s="1"/>
  <c r="F126" i="6"/>
  <c r="G126" i="6" s="1"/>
  <c r="F139" i="6"/>
  <c r="G139" i="6" s="1"/>
  <c r="F157" i="6"/>
  <c r="G157" i="6" s="1"/>
  <c r="F163" i="6"/>
  <c r="G163" i="6" s="1"/>
  <c r="F255" i="6"/>
  <c r="G255" i="6" s="1"/>
  <c r="F333" i="6"/>
  <c r="F360" i="6"/>
  <c r="G360" i="6" s="1"/>
  <c r="F448" i="6"/>
  <c r="G448" i="6" s="1"/>
  <c r="G500" i="6"/>
  <c r="F709" i="6"/>
  <c r="G709" i="6" s="1"/>
  <c r="F4" i="6"/>
  <c r="G10" i="6"/>
  <c r="F11" i="6"/>
  <c r="G11" i="6" s="1"/>
  <c r="F15" i="6"/>
  <c r="G15" i="6" s="1"/>
  <c r="G18" i="6"/>
  <c r="F20" i="6"/>
  <c r="G20" i="6" s="1"/>
  <c r="G26" i="6"/>
  <c r="F28" i="6"/>
  <c r="G28" i="6" s="1"/>
  <c r="F31" i="6"/>
  <c r="G31" i="6" s="1"/>
  <c r="G34" i="6"/>
  <c r="F52" i="6"/>
  <c r="G52" i="6" s="1"/>
  <c r="G40" i="6"/>
  <c r="F42" i="6"/>
  <c r="G42" i="6" s="1"/>
  <c r="F45" i="6"/>
  <c r="G45" i="6" s="1"/>
  <c r="G48" i="6"/>
  <c r="F50" i="6"/>
  <c r="G50" i="6" s="1"/>
  <c r="F60" i="6"/>
  <c r="G60" i="6" s="1"/>
  <c r="G63" i="6"/>
  <c r="F65" i="6"/>
  <c r="G65" i="6" s="1"/>
  <c r="G71" i="6"/>
  <c r="F73" i="6"/>
  <c r="G73" i="6" s="1"/>
  <c r="F101" i="6"/>
  <c r="G101" i="6" s="1"/>
  <c r="F104" i="6"/>
  <c r="G104" i="6" s="1"/>
  <c r="F147" i="6"/>
  <c r="G147" i="6" s="1"/>
  <c r="F202" i="6"/>
  <c r="G202" i="6" s="1"/>
  <c r="F207" i="6"/>
  <c r="G207" i="6" s="1"/>
  <c r="F270" i="6"/>
  <c r="G270" i="6" s="1"/>
  <c r="F309" i="6"/>
  <c r="G309" i="6" s="1"/>
  <c r="F315" i="6"/>
  <c r="G315" i="6" s="1"/>
  <c r="F346" i="6"/>
  <c r="G346" i="6" s="1"/>
  <c r="F352" i="6"/>
  <c r="G352" i="6" s="1"/>
  <c r="F357" i="6"/>
  <c r="G357" i="6" s="1"/>
  <c r="E363" i="6"/>
  <c r="F388" i="6"/>
  <c r="G388" i="6" s="1"/>
  <c r="F404" i="6"/>
  <c r="G404" i="6" s="1"/>
  <c r="G410" i="6"/>
  <c r="G437" i="6"/>
  <c r="F445" i="6"/>
  <c r="G508" i="6"/>
  <c r="G509" i="6" s="1"/>
  <c r="E509" i="6"/>
  <c r="F582" i="6"/>
  <c r="E585" i="6"/>
  <c r="G584" i="6"/>
  <c r="E633" i="6"/>
  <c r="F631" i="6"/>
  <c r="F633" i="6" s="1"/>
  <c r="F711" i="6"/>
  <c r="G711" i="6" s="1"/>
  <c r="G129" i="6"/>
  <c r="G151" i="6"/>
  <c r="G159" i="6"/>
  <c r="F191" i="6"/>
  <c r="G191" i="6" s="1"/>
  <c r="F196" i="6"/>
  <c r="G196" i="6" s="1"/>
  <c r="F336" i="6"/>
  <c r="G336" i="6" s="1"/>
  <c r="F341" i="6"/>
  <c r="G341" i="6" s="1"/>
  <c r="F362" i="6"/>
  <c r="G362" i="6" s="1"/>
  <c r="F394" i="6"/>
  <c r="F395" i="6" s="1"/>
  <c r="E439" i="6"/>
  <c r="F491" i="6"/>
  <c r="F605" i="6"/>
  <c r="F606" i="6" s="1"/>
  <c r="E606" i="6"/>
  <c r="F614" i="6"/>
  <c r="F615" i="6" s="1"/>
  <c r="E615" i="6"/>
  <c r="F718" i="6"/>
  <c r="G718" i="6" s="1"/>
  <c r="G7" i="6"/>
  <c r="G23" i="6"/>
  <c r="G37" i="6"/>
  <c r="G68" i="6"/>
  <c r="G76" i="6"/>
  <c r="G124" i="6"/>
  <c r="G137" i="6"/>
  <c r="F140" i="6"/>
  <c r="G140" i="6" s="1"/>
  <c r="G146" i="6"/>
  <c r="F167" i="6"/>
  <c r="G167" i="6" s="1"/>
  <c r="F171" i="6"/>
  <c r="G171" i="6" s="1"/>
  <c r="F175" i="6"/>
  <c r="G175" i="6" s="1"/>
  <c r="F188" i="6"/>
  <c r="G188" i="6" s="1"/>
  <c r="F288" i="6"/>
  <c r="G288" i="6" s="1"/>
  <c r="F354" i="6"/>
  <c r="G354" i="6" s="1"/>
  <c r="F412" i="6"/>
  <c r="G412" i="6" s="1"/>
  <c r="F420" i="6"/>
  <c r="F434" i="6"/>
  <c r="F472" i="6"/>
  <c r="F473" i="6" s="1"/>
  <c r="F517" i="6"/>
  <c r="F574" i="6"/>
  <c r="G574" i="6" s="1"/>
  <c r="E696" i="6"/>
  <c r="F695" i="6"/>
  <c r="F696" i="6" s="1"/>
  <c r="G12" i="6"/>
  <c r="G19" i="6"/>
  <c r="G27" i="6"/>
  <c r="G51" i="6"/>
  <c r="G41" i="6"/>
  <c r="G49" i="6"/>
  <c r="G64" i="6"/>
  <c r="G72" i="6"/>
  <c r="F81" i="6"/>
  <c r="F84" i="6"/>
  <c r="G84" i="6" s="1"/>
  <c r="G87" i="6"/>
  <c r="F92" i="6"/>
  <c r="G92" i="6" s="1"/>
  <c r="G95" i="6"/>
  <c r="G112" i="6"/>
  <c r="F117" i="6"/>
  <c r="G117" i="6" s="1"/>
  <c r="G120" i="6"/>
  <c r="F125" i="6"/>
  <c r="G125" i="6" s="1"/>
  <c r="G128" i="6"/>
  <c r="F138" i="6"/>
  <c r="G138" i="6" s="1"/>
  <c r="F150" i="6"/>
  <c r="G150" i="6" s="1"/>
  <c r="F154" i="6"/>
  <c r="G154" i="6" s="1"/>
  <c r="F158" i="6"/>
  <c r="G158" i="6" s="1"/>
  <c r="F162" i="6"/>
  <c r="G162" i="6" s="1"/>
  <c r="F166" i="6"/>
  <c r="G166" i="6" s="1"/>
  <c r="F170" i="6"/>
  <c r="G170" i="6" s="1"/>
  <c r="F174" i="6"/>
  <c r="G174" i="6" s="1"/>
  <c r="F178" i="6"/>
  <c r="G178" i="6" s="1"/>
  <c r="F193" i="6"/>
  <c r="G193" i="6" s="1"/>
  <c r="F198" i="6"/>
  <c r="G198" i="6" s="1"/>
  <c r="F204" i="6"/>
  <c r="G204" i="6" s="1"/>
  <c r="F267" i="6"/>
  <c r="G267" i="6" s="1"/>
  <c r="F307" i="6"/>
  <c r="F312" i="6"/>
  <c r="G312" i="6" s="1"/>
  <c r="F338" i="6"/>
  <c r="G338" i="6" s="1"/>
  <c r="F344" i="6"/>
  <c r="G344" i="6" s="1"/>
  <c r="F349" i="6"/>
  <c r="G349" i="6" s="1"/>
  <c r="F370" i="6"/>
  <c r="G370" i="6" s="1"/>
  <c r="G407" i="6"/>
  <c r="E415" i="6"/>
  <c r="E449" i="6"/>
  <c r="E473" i="6"/>
  <c r="G493" i="6"/>
  <c r="F542" i="6"/>
  <c r="G542" i="6" s="1"/>
  <c r="G550" i="6"/>
  <c r="G555" i="6"/>
  <c r="E667" i="6"/>
  <c r="F665" i="6"/>
  <c r="F667" i="6" s="1"/>
  <c r="F678" i="6"/>
  <c r="F717" i="6"/>
  <c r="G717" i="6" s="1"/>
  <c r="E719" i="6"/>
  <c r="E249" i="6"/>
  <c r="F638" i="6"/>
  <c r="F640" i="6" s="1"/>
  <c r="F690" i="6"/>
  <c r="F691" i="6" s="1"/>
  <c r="E691" i="6"/>
  <c r="G192" i="6"/>
  <c r="G200" i="6"/>
  <c r="G208" i="6"/>
  <c r="F275" i="6"/>
  <c r="F276" i="6" s="1"/>
  <c r="G308" i="6"/>
  <c r="G337" i="6"/>
  <c r="G345" i="6"/>
  <c r="G353" i="6"/>
  <c r="G361" i="6"/>
  <c r="G385" i="6"/>
  <c r="F387" i="6"/>
  <c r="F403" i="6"/>
  <c r="G403" i="6" s="1"/>
  <c r="G406" i="6"/>
  <c r="F411" i="6"/>
  <c r="G411" i="6" s="1"/>
  <c r="G414" i="6"/>
  <c r="G436" i="6"/>
  <c r="G467" i="6"/>
  <c r="F492" i="6"/>
  <c r="G492" i="6" s="1"/>
  <c r="E519" i="6"/>
  <c r="G558" i="6"/>
  <c r="G563" i="6"/>
  <c r="F566" i="6"/>
  <c r="G569" i="6"/>
  <c r="F571" i="6"/>
  <c r="G571" i="6" s="1"/>
  <c r="G623" i="6"/>
  <c r="E640" i="6"/>
  <c r="G677" i="6"/>
  <c r="G734" i="6"/>
  <c r="G554" i="6"/>
  <c r="G562" i="6"/>
  <c r="G570" i="6"/>
  <c r="G583" i="6"/>
  <c r="G626" i="6"/>
  <c r="G710" i="6"/>
  <c r="F423" i="6" l="1"/>
  <c r="G289" i="6"/>
  <c r="G548" i="6"/>
  <c r="F576" i="6"/>
  <c r="F543" i="6"/>
  <c r="F519" i="6"/>
  <c r="G307" i="6"/>
  <c r="G316" i="6" s="1"/>
  <c r="F316" i="6"/>
  <c r="G294" i="6"/>
  <c r="G296" i="6" s="1"/>
  <c r="F296" i="6"/>
  <c r="F289" i="6"/>
  <c r="F449" i="6"/>
  <c r="G256" i="6"/>
  <c r="G591" i="6"/>
  <c r="G592" i="6" s="1"/>
  <c r="F256" i="6"/>
  <c r="F735" i="6"/>
  <c r="F390" i="6"/>
  <c r="G735" i="6"/>
  <c r="F728" i="6"/>
  <c r="G597" i="6"/>
  <c r="G598" i="6" s="1"/>
  <c r="G501" i="6"/>
  <c r="G502" i="6" s="1"/>
  <c r="F680" i="6"/>
  <c r="G394" i="6"/>
  <c r="G395" i="6" s="1"/>
  <c r="G624" i="6"/>
  <c r="G627" i="6" s="1"/>
  <c r="F53" i="6"/>
  <c r="G420" i="6"/>
  <c r="G423" i="6" s="1"/>
  <c r="G271" i="6"/>
  <c r="F439" i="6"/>
  <c r="G466" i="6"/>
  <c r="G468" i="6" s="1"/>
  <c r="G261" i="6"/>
  <c r="G262" i="6" s="1"/>
  <c r="F262" i="6"/>
  <c r="F495" i="6"/>
  <c r="G478" i="6"/>
  <c r="G479" i="6" s="1"/>
  <c r="G638" i="6"/>
  <c r="G640" i="6" s="1"/>
  <c r="G695" i="6"/>
  <c r="G696" i="6" s="1"/>
  <c r="G445" i="6"/>
  <c r="G449" i="6" s="1"/>
  <c r="G605" i="6"/>
  <c r="G606" i="6" s="1"/>
  <c r="G658" i="6"/>
  <c r="G659" i="6" s="1"/>
  <c r="G678" i="6"/>
  <c r="G680" i="6" s="1"/>
  <c r="G517" i="6"/>
  <c r="G519" i="6" s="1"/>
  <c r="G684" i="6"/>
  <c r="G686" i="6" s="1"/>
  <c r="F686" i="6"/>
  <c r="G566" i="6"/>
  <c r="G77" i="6"/>
  <c r="F701" i="6"/>
  <c r="G700" i="6"/>
  <c r="G701" i="6" s="1"/>
  <c r="G541" i="6"/>
  <c r="G543" i="6" s="1"/>
  <c r="G415" i="6"/>
  <c r="G107" i="6"/>
  <c r="F363" i="6"/>
  <c r="F77" i="6"/>
  <c r="F132" i="6"/>
  <c r="G387" i="6"/>
  <c r="G390" i="6" s="1"/>
  <c r="G614" i="6"/>
  <c r="G615" i="6" s="1"/>
  <c r="F107" i="6"/>
  <c r="G333" i="6"/>
  <c r="G363" i="6" s="1"/>
  <c r="G209" i="6"/>
  <c r="G275" i="6"/>
  <c r="G276" i="6" s="1"/>
  <c r="F719" i="6"/>
  <c r="G181" i="6"/>
  <c r="G472" i="6"/>
  <c r="G473" i="6" s="1"/>
  <c r="G582" i="6"/>
  <c r="G585" i="6" s="1"/>
  <c r="F585" i="6"/>
  <c r="F373" i="6"/>
  <c r="G719" i="6"/>
  <c r="F181" i="6"/>
  <c r="G4" i="6"/>
  <c r="G53" i="6" s="1"/>
  <c r="G690" i="6"/>
  <c r="G691" i="6" s="1"/>
  <c r="F271" i="6"/>
  <c r="F97" i="6"/>
  <c r="G81" i="6"/>
  <c r="G97" i="6" s="1"/>
  <c r="G631" i="6"/>
  <c r="G633" i="6" s="1"/>
  <c r="G373" i="6"/>
  <c r="F415" i="6"/>
  <c r="G665" i="6"/>
  <c r="G667" i="6" s="1"/>
  <c r="G491" i="6"/>
  <c r="G495" i="6" s="1"/>
  <c r="G434" i="6"/>
  <c r="G439" i="6" s="1"/>
  <c r="G713" i="6"/>
  <c r="F713" i="6"/>
  <c r="F209" i="6"/>
  <c r="G132" i="6"/>
  <c r="G576" i="6" l="1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O70" i="4" l="1"/>
  <c r="P70" i="4"/>
  <c r="Q70" i="4"/>
  <c r="R70" i="4"/>
  <c r="N70" i="4"/>
  <c r="Q72" i="4"/>
  <c r="R14" i="4"/>
  <c r="Q14" i="4"/>
  <c r="P14" i="4"/>
  <c r="Q12" i="4"/>
  <c r="S77" i="4"/>
  <c r="S70" i="4"/>
  <c r="S59" i="4"/>
  <c r="S60" i="4"/>
  <c r="S61" i="4"/>
  <c r="S62" i="4"/>
  <c r="S63" i="4"/>
  <c r="S64" i="4"/>
  <c r="S65" i="4"/>
  <c r="S66" i="4"/>
  <c r="S67" i="4"/>
  <c r="S68" i="4"/>
  <c r="S69" i="4"/>
  <c r="S58" i="4"/>
  <c r="T3" i="4"/>
  <c r="S12" i="4"/>
  <c r="S4" i="4"/>
  <c r="S5" i="4"/>
  <c r="S6" i="4"/>
  <c r="S7" i="4"/>
  <c r="S8" i="4"/>
  <c r="S9" i="4"/>
  <c r="S10" i="4"/>
  <c r="S11" i="4"/>
  <c r="S3" i="4"/>
  <c r="AC7" i="4"/>
  <c r="AE7" i="4"/>
  <c r="AD7" i="4"/>
  <c r="AF6" i="4"/>
  <c r="AF5" i="4"/>
  <c r="AF4" i="4"/>
  <c r="AF3" i="4"/>
  <c r="AF7" i="4" s="1"/>
  <c r="W12" i="4"/>
  <c r="R12" i="4"/>
  <c r="P12" i="4"/>
  <c r="O12" i="4"/>
  <c r="N12" i="4"/>
  <c r="G48" i="4"/>
  <c r="F48" i="4"/>
  <c r="E48" i="4"/>
  <c r="D48" i="4"/>
  <c r="C48" i="4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" i="4"/>
  <c r="H3" i="4"/>
  <c r="N78" i="4"/>
  <c r="N82" i="4"/>
  <c r="AE59" i="4"/>
  <c r="AF59" i="4" s="1"/>
  <c r="AC78" i="4" s="1"/>
  <c r="AE60" i="4"/>
  <c r="AF60" i="4" s="1"/>
  <c r="AC79" i="4" s="1"/>
  <c r="AE61" i="4"/>
  <c r="AE62" i="4"/>
  <c r="AF62" i="4" s="1"/>
  <c r="AE63" i="4"/>
  <c r="AF63" i="4" s="1"/>
  <c r="AC82" i="4" s="1"/>
  <c r="AE64" i="4"/>
  <c r="AE65" i="4"/>
  <c r="AE66" i="4"/>
  <c r="AF66" i="4" s="1"/>
  <c r="AE67" i="4"/>
  <c r="AF67" i="4" s="1"/>
  <c r="AE68" i="4"/>
  <c r="AF68" i="4" s="1"/>
  <c r="AE69" i="4"/>
  <c r="Y59" i="4"/>
  <c r="W78" i="4" s="1"/>
  <c r="Y60" i="4"/>
  <c r="X79" i="4" s="1"/>
  <c r="Y61" i="4"/>
  <c r="W80" i="4" s="1"/>
  <c r="Y62" i="4"/>
  <c r="X81" i="4" s="1"/>
  <c r="Y63" i="4"/>
  <c r="Y64" i="4"/>
  <c r="X83" i="4" s="1"/>
  <c r="Y65" i="4"/>
  <c r="W84" i="4" s="1"/>
  <c r="Y66" i="4"/>
  <c r="X85" i="4" s="1"/>
  <c r="Y67" i="4"/>
  <c r="Y68" i="4"/>
  <c r="Y69" i="4"/>
  <c r="W88" i="4" s="1"/>
  <c r="Y58" i="4"/>
  <c r="X77" i="4" s="1"/>
  <c r="Y4" i="4"/>
  <c r="Y5" i="4"/>
  <c r="Y6" i="4"/>
  <c r="Y7" i="4"/>
  <c r="Y8" i="4"/>
  <c r="Y9" i="4"/>
  <c r="Y10" i="4"/>
  <c r="Y11" i="4"/>
  <c r="Y3" i="4"/>
  <c r="AD89" i="4"/>
  <c r="AD70" i="4"/>
  <c r="AC70" i="4"/>
  <c r="X70" i="4"/>
  <c r="W70" i="4"/>
  <c r="AF69" i="4"/>
  <c r="AC88" i="4" s="1"/>
  <c r="H68" i="4"/>
  <c r="E87" i="4" s="1"/>
  <c r="H67" i="4"/>
  <c r="F86" i="4" s="1"/>
  <c r="O85" i="4"/>
  <c r="H66" i="4"/>
  <c r="D85" i="4" s="1"/>
  <c r="AF65" i="4"/>
  <c r="AE84" i="4" s="1"/>
  <c r="H65" i="4"/>
  <c r="E84" i="4" s="1"/>
  <c r="AF64" i="4"/>
  <c r="AE83" i="4" s="1"/>
  <c r="H64" i="4"/>
  <c r="F83" i="4" s="1"/>
  <c r="W82" i="4"/>
  <c r="H63" i="4"/>
  <c r="G82" i="4" s="1"/>
  <c r="O81" i="4"/>
  <c r="H62" i="4"/>
  <c r="D81" i="4" s="1"/>
  <c r="AF61" i="4"/>
  <c r="AE80" i="4" s="1"/>
  <c r="H61" i="4"/>
  <c r="E80" i="4" s="1"/>
  <c r="H60" i="4"/>
  <c r="F79" i="4" s="1"/>
  <c r="H59" i="4"/>
  <c r="C78" i="4" s="1"/>
  <c r="F70" i="4"/>
  <c r="X12" i="4"/>
  <c r="H48" i="4" l="1"/>
  <c r="O79" i="4"/>
  <c r="D80" i="4"/>
  <c r="C87" i="4"/>
  <c r="AC80" i="4"/>
  <c r="AF80" i="4" s="1"/>
  <c r="G85" i="4"/>
  <c r="F78" i="4"/>
  <c r="C82" i="4"/>
  <c r="O83" i="4"/>
  <c r="R87" i="4"/>
  <c r="P87" i="4"/>
  <c r="O86" i="4"/>
  <c r="X78" i="4"/>
  <c r="Y78" i="4" s="1"/>
  <c r="G78" i="4"/>
  <c r="E79" i="4"/>
  <c r="W79" i="4"/>
  <c r="Y79" i="4" s="1"/>
  <c r="C81" i="4"/>
  <c r="AE82" i="4"/>
  <c r="AF82" i="4" s="1"/>
  <c r="W83" i="4"/>
  <c r="Y83" i="4" s="1"/>
  <c r="N84" i="4"/>
  <c r="F87" i="4"/>
  <c r="T7" i="4"/>
  <c r="O78" i="4"/>
  <c r="N80" i="4"/>
  <c r="O82" i="4"/>
  <c r="C86" i="4"/>
  <c r="G87" i="4"/>
  <c r="X88" i="4"/>
  <c r="Y88" i="4" s="1"/>
  <c r="X82" i="4"/>
  <c r="Y82" i="4" s="1"/>
  <c r="Y70" i="4"/>
  <c r="W72" i="4" s="1"/>
  <c r="S78" i="4"/>
  <c r="N79" i="4"/>
  <c r="S79" i="4" s="1"/>
  <c r="AE79" i="4"/>
  <c r="AF79" i="4" s="1"/>
  <c r="N83" i="4"/>
  <c r="AC83" i="4"/>
  <c r="AF83" i="4" s="1"/>
  <c r="O87" i="4"/>
  <c r="Y12" i="4"/>
  <c r="W14" i="4" s="1"/>
  <c r="F50" i="4"/>
  <c r="O77" i="4"/>
  <c r="N77" i="4"/>
  <c r="X86" i="4"/>
  <c r="W86" i="4"/>
  <c r="Y86" i="4" s="1"/>
  <c r="X87" i="4"/>
  <c r="W87" i="4"/>
  <c r="Y87" i="4" s="1"/>
  <c r="AE86" i="4"/>
  <c r="AC86" i="4"/>
  <c r="AE87" i="4"/>
  <c r="AC87" i="4"/>
  <c r="AE81" i="4"/>
  <c r="AC81" i="4"/>
  <c r="AE85" i="4"/>
  <c r="AC85" i="4"/>
  <c r="E70" i="4"/>
  <c r="AC84" i="4"/>
  <c r="AF84" i="4" s="1"/>
  <c r="AE88" i="4"/>
  <c r="AF88" i="4" s="1"/>
  <c r="E78" i="4"/>
  <c r="D78" i="4"/>
  <c r="D79" i="4"/>
  <c r="G79" i="4"/>
  <c r="C79" i="4"/>
  <c r="G80" i="4"/>
  <c r="C80" i="4"/>
  <c r="F80" i="4"/>
  <c r="F81" i="4"/>
  <c r="E81" i="4"/>
  <c r="E82" i="4"/>
  <c r="D82" i="4"/>
  <c r="D83" i="4"/>
  <c r="G83" i="4"/>
  <c r="C83" i="4"/>
  <c r="G84" i="4"/>
  <c r="C84" i="4"/>
  <c r="F84" i="4"/>
  <c r="F85" i="4"/>
  <c r="E85" i="4"/>
  <c r="E86" i="4"/>
  <c r="G86" i="4"/>
  <c r="D86" i="4"/>
  <c r="AE78" i="4"/>
  <c r="AF78" i="4" s="1"/>
  <c r="G81" i="4"/>
  <c r="F82" i="4"/>
  <c r="E83" i="4"/>
  <c r="D84" i="4"/>
  <c r="C85" i="4"/>
  <c r="W77" i="4"/>
  <c r="Y77" i="4" s="1"/>
  <c r="O80" i="4"/>
  <c r="X80" i="4"/>
  <c r="Y80" i="4" s="1"/>
  <c r="N81" i="4"/>
  <c r="W81" i="4"/>
  <c r="Y81" i="4" s="1"/>
  <c r="O84" i="4"/>
  <c r="X84" i="4"/>
  <c r="Y84" i="4" s="1"/>
  <c r="N85" i="4"/>
  <c r="W85" i="4"/>
  <c r="Y85" i="4" s="1"/>
  <c r="D87" i="4"/>
  <c r="Q87" i="4"/>
  <c r="N87" i="4"/>
  <c r="H87" i="4" l="1"/>
  <c r="R86" i="4"/>
  <c r="T11" i="4"/>
  <c r="T6" i="4"/>
  <c r="J7" i="4"/>
  <c r="J10" i="4"/>
  <c r="J6" i="4"/>
  <c r="S85" i="4"/>
  <c r="J3" i="4"/>
  <c r="T8" i="4"/>
  <c r="D50" i="4"/>
  <c r="C50" i="4"/>
  <c r="T4" i="4"/>
  <c r="T10" i="4"/>
  <c r="T9" i="4"/>
  <c r="S83" i="4"/>
  <c r="S81" i="4"/>
  <c r="G50" i="4"/>
  <c r="T5" i="4"/>
  <c r="J4" i="4"/>
  <c r="N14" i="4"/>
  <c r="J9" i="4"/>
  <c r="O14" i="4"/>
  <c r="H86" i="4"/>
  <c r="H78" i="4"/>
  <c r="P86" i="4"/>
  <c r="Q86" i="4"/>
  <c r="N72" i="4"/>
  <c r="N86" i="4"/>
  <c r="S82" i="4"/>
  <c r="S84" i="4"/>
  <c r="AF81" i="4"/>
  <c r="X72" i="4"/>
  <c r="S80" i="4"/>
  <c r="AF87" i="4"/>
  <c r="J5" i="4"/>
  <c r="H82" i="4"/>
  <c r="AF85" i="4"/>
  <c r="S87" i="4"/>
  <c r="X14" i="4"/>
  <c r="O88" i="4"/>
  <c r="J8" i="4"/>
  <c r="J11" i="4"/>
  <c r="E50" i="4"/>
  <c r="J12" i="4"/>
  <c r="H69" i="4"/>
  <c r="C88" i="4" s="1"/>
  <c r="C70" i="4"/>
  <c r="H83" i="4"/>
  <c r="X89" i="4"/>
  <c r="H81" i="4"/>
  <c r="H58" i="4"/>
  <c r="G77" i="4" s="1"/>
  <c r="G89" i="4" s="1"/>
  <c r="G70" i="4"/>
  <c r="D70" i="4"/>
  <c r="O89" i="4"/>
  <c r="H85" i="4"/>
  <c r="H80" i="4"/>
  <c r="Y89" i="4"/>
  <c r="W89" i="4"/>
  <c r="H84" i="4"/>
  <c r="H79" i="4"/>
  <c r="AF86" i="4"/>
  <c r="N88" i="4"/>
  <c r="O72" i="4" l="1"/>
  <c r="S86" i="4"/>
  <c r="G88" i="4"/>
  <c r="R72" i="4"/>
  <c r="P72" i="4"/>
  <c r="D88" i="4"/>
  <c r="S88" i="4"/>
  <c r="S89" i="4"/>
  <c r="F77" i="4"/>
  <c r="E77" i="4"/>
  <c r="H70" i="4"/>
  <c r="C72" i="4" s="1"/>
  <c r="C77" i="4"/>
  <c r="D77" i="4"/>
  <c r="D89" i="4" s="1"/>
  <c r="F88" i="4"/>
  <c r="E88" i="4"/>
  <c r="N89" i="4"/>
  <c r="H88" i="4" l="1"/>
  <c r="G72" i="4"/>
  <c r="D72" i="4"/>
  <c r="E89" i="4"/>
  <c r="F89" i="4"/>
  <c r="F72" i="4"/>
  <c r="E72" i="4"/>
  <c r="C89" i="4"/>
  <c r="H77" i="4"/>
  <c r="H89" i="4" s="1"/>
  <c r="C474" i="1" l="1"/>
  <c r="C477" i="1"/>
  <c r="C471" i="1"/>
  <c r="C470" i="1"/>
  <c r="C469" i="1"/>
  <c r="C410" i="1"/>
  <c r="C13" i="3" s="1"/>
  <c r="E652" i="1"/>
  <c r="C656" i="1"/>
  <c r="C332" i="1"/>
  <c r="C334" i="1" s="1"/>
  <c r="E334" i="1" s="1"/>
  <c r="C17" i="3" s="1"/>
  <c r="E329" i="1"/>
  <c r="F329" i="1" s="1"/>
  <c r="C659" i="1"/>
  <c r="E659" i="1" s="1"/>
  <c r="C658" i="1"/>
  <c r="E658" i="1" s="1"/>
  <c r="E634" i="1"/>
  <c r="C708" i="1"/>
  <c r="C31" i="3" s="1"/>
  <c r="E707" i="1"/>
  <c r="C627" i="1"/>
  <c r="C28" i="3" s="1"/>
  <c r="C620" i="1"/>
  <c r="C36" i="3" s="1"/>
  <c r="C613" i="1"/>
  <c r="C615" i="1" s="1"/>
  <c r="E615" i="1" s="1"/>
  <c r="C40" i="3" s="1"/>
  <c r="C608" i="1"/>
  <c r="C26" i="3" s="1"/>
  <c r="C603" i="1"/>
  <c r="C30" i="3" s="1"/>
  <c r="C598" i="1"/>
  <c r="C9" i="3" s="1"/>
  <c r="C590" i="1"/>
  <c r="C8" i="3" s="1"/>
  <c r="C559" i="1"/>
  <c r="C32" i="3" s="1"/>
  <c r="C554" i="1"/>
  <c r="C16" i="3" s="1"/>
  <c r="E549" i="1"/>
  <c r="D548" i="1"/>
  <c r="E548" i="1" s="1"/>
  <c r="D547" i="1"/>
  <c r="E547" i="1" s="1"/>
  <c r="E546" i="1"/>
  <c r="D545" i="1"/>
  <c r="E545" i="1" s="1"/>
  <c r="D544" i="1"/>
  <c r="E544" i="1" s="1"/>
  <c r="E543" i="1"/>
  <c r="D542" i="1"/>
  <c r="E542" i="1" s="1"/>
  <c r="E540" i="1"/>
  <c r="D539" i="1"/>
  <c r="E539" i="1" s="1"/>
  <c r="D538" i="1"/>
  <c r="E538" i="1" s="1"/>
  <c r="E537" i="1"/>
  <c r="D536" i="1"/>
  <c r="E536" i="1" s="1"/>
  <c r="C516" i="1"/>
  <c r="C24" i="3" s="1"/>
  <c r="E507" i="1"/>
  <c r="E506" i="1"/>
  <c r="E505" i="1"/>
  <c r="E504" i="1"/>
  <c r="E503" i="1"/>
  <c r="C427" i="1"/>
  <c r="C20" i="3" s="1"/>
  <c r="C419" i="1"/>
  <c r="F658" i="1" l="1"/>
  <c r="C41" i="3" s="1"/>
  <c r="F652" i="1"/>
  <c r="G652" i="1" s="1"/>
  <c r="G329" i="1"/>
  <c r="E708" i="1"/>
  <c r="F707" i="1"/>
  <c r="F708" i="1" s="1"/>
  <c r="G707" i="1" l="1"/>
  <c r="G708" i="1" s="1"/>
  <c r="C55" i="1" l="1"/>
  <c r="C701" i="1"/>
  <c r="C703" i="1" s="1"/>
  <c r="E703" i="1" s="1"/>
  <c r="C47" i="3" s="1"/>
  <c r="C696" i="1"/>
  <c r="C45" i="3" s="1"/>
  <c r="C688" i="1"/>
  <c r="C690" i="1" s="1"/>
  <c r="E690" i="1" s="1"/>
  <c r="C39" i="3" s="1"/>
  <c r="C681" i="1"/>
  <c r="C676" i="1"/>
  <c r="C42" i="3" s="1"/>
  <c r="C669" i="1"/>
  <c r="C671" i="1" s="1"/>
  <c r="E671" i="1" s="1"/>
  <c r="C46" i="3" s="1"/>
  <c r="C664" i="1"/>
  <c r="C37" i="3" s="1"/>
  <c r="C647" i="1"/>
  <c r="C19" i="3" s="1"/>
  <c r="C641" i="1"/>
  <c r="C34" i="3" s="1"/>
  <c r="C632" i="1"/>
  <c r="C534" i="1"/>
  <c r="C541" i="1" s="1"/>
  <c r="E541" i="1" s="1"/>
  <c r="F549" i="1" s="1"/>
  <c r="C44" i="3" s="1"/>
  <c r="C529" i="1"/>
  <c r="C23" i="3" s="1"/>
  <c r="C522" i="1"/>
  <c r="C33" i="3" s="1"/>
  <c r="C500" i="1"/>
  <c r="C495" i="1"/>
  <c r="C21" i="3" s="1"/>
  <c r="C488" i="1"/>
  <c r="C22" i="3" s="1"/>
  <c r="C467" i="1"/>
  <c r="C456" i="1"/>
  <c r="C25" i="3" s="1"/>
  <c r="C14" i="3"/>
  <c r="C439" i="1"/>
  <c r="C27" i="3" s="1"/>
  <c r="C374" i="1"/>
  <c r="C357" i="1"/>
  <c r="C339" i="1"/>
  <c r="C10" i="3" s="1"/>
  <c r="C324" i="1"/>
  <c r="C29" i="3" s="1"/>
  <c r="C319" i="1"/>
  <c r="C12" i="3" s="1"/>
  <c r="C307" i="1"/>
  <c r="C302" i="1"/>
  <c r="C297" i="1"/>
  <c r="C292" i="1"/>
  <c r="C18" i="3" s="1"/>
  <c r="C283" i="1"/>
  <c r="C6" i="3" s="1"/>
  <c r="C259" i="1"/>
  <c r="C232" i="1"/>
  <c r="C234" i="1" s="1"/>
  <c r="E234" i="1" s="1"/>
  <c r="C226" i="1"/>
  <c r="C154" i="1"/>
  <c r="C5" i="3" s="1"/>
  <c r="C115" i="1"/>
  <c r="C110" i="1"/>
  <c r="C95" i="1"/>
  <c r="C76" i="1"/>
  <c r="E257" i="1"/>
  <c r="F257" i="1" s="1"/>
  <c r="G257" i="1" s="1"/>
  <c r="E120" i="1"/>
  <c r="F120" i="1" s="1"/>
  <c r="G120" i="1" s="1"/>
  <c r="E123" i="1"/>
  <c r="E109" i="1"/>
  <c r="F109" i="1" s="1"/>
  <c r="G109" i="1" s="1"/>
  <c r="E246" i="1"/>
  <c r="E445" i="1"/>
  <c r="F445" i="1" s="1"/>
  <c r="E331" i="1"/>
  <c r="F331" i="1" s="1"/>
  <c r="G331" i="1" s="1"/>
  <c r="E175" i="1"/>
  <c r="F175" i="1" s="1"/>
  <c r="G175" i="1" s="1"/>
  <c r="E179" i="1"/>
  <c r="F179" i="1" s="1"/>
  <c r="G179" i="1" s="1"/>
  <c r="E231" i="1"/>
  <c r="F231" i="1" s="1"/>
  <c r="E5" i="1"/>
  <c r="F5" i="1" s="1"/>
  <c r="G5" i="1" s="1"/>
  <c r="E245" i="1"/>
  <c r="E695" i="1"/>
  <c r="E696" i="1" s="1"/>
  <c r="E87" i="1"/>
  <c r="F87" i="1" s="1"/>
  <c r="E108" i="1"/>
  <c r="F108" i="1" s="1"/>
  <c r="E52" i="1"/>
  <c r="F52" i="1" s="1"/>
  <c r="G52" i="1" s="1"/>
  <c r="E577" i="1"/>
  <c r="F577" i="1" s="1"/>
  <c r="E578" i="1"/>
  <c r="F578" i="1" s="1"/>
  <c r="E435" i="1"/>
  <c r="F435" i="1" s="1"/>
  <c r="G435" i="1" s="1"/>
  <c r="E438" i="1"/>
  <c r="F438" i="1" s="1"/>
  <c r="E437" i="1"/>
  <c r="F437" i="1" s="1"/>
  <c r="E463" i="1"/>
  <c r="E165" i="1"/>
  <c r="F165" i="1" s="1"/>
  <c r="E38" i="1"/>
  <c r="F38" i="1" s="1"/>
  <c r="G38" i="1" s="1"/>
  <c r="E159" i="1"/>
  <c r="F159" i="1" s="1"/>
  <c r="G159" i="1" s="1"/>
  <c r="E687" i="1"/>
  <c r="E688" i="1" s="1"/>
  <c r="E139" i="1"/>
  <c r="E121" i="1"/>
  <c r="F121" i="1" s="1"/>
  <c r="G121" i="1" s="1"/>
  <c r="E383" i="1"/>
  <c r="F383" i="1" s="1"/>
  <c r="E169" i="1"/>
  <c r="F169" i="1" s="1"/>
  <c r="G169" i="1" s="1"/>
  <c r="E214" i="1"/>
  <c r="F214" i="1" s="1"/>
  <c r="E194" i="1"/>
  <c r="F194" i="1" s="1"/>
  <c r="E211" i="1"/>
  <c r="E203" i="1"/>
  <c r="F203" i="1" s="1"/>
  <c r="E418" i="1"/>
  <c r="E81" i="1"/>
  <c r="F81" i="1" s="1"/>
  <c r="E91" i="1"/>
  <c r="F91" i="1" s="1"/>
  <c r="E485" i="1"/>
  <c r="E487" i="1"/>
  <c r="F487" i="1" s="1"/>
  <c r="E138" i="1"/>
  <c r="F138" i="1" s="1"/>
  <c r="G138" i="1" s="1"/>
  <c r="E345" i="1"/>
  <c r="F345" i="1" s="1"/>
  <c r="G345" i="1" s="1"/>
  <c r="E244" i="1"/>
  <c r="F244" i="1" s="1"/>
  <c r="G244" i="1" s="1"/>
  <c r="E318" i="1"/>
  <c r="F318" i="1" s="1"/>
  <c r="E315" i="1"/>
  <c r="F315" i="1" s="1"/>
  <c r="G315" i="1" s="1"/>
  <c r="E314" i="1"/>
  <c r="F314" i="1" s="1"/>
  <c r="E31" i="1"/>
  <c r="F31" i="1" s="1"/>
  <c r="G31" i="1" s="1"/>
  <c r="E90" i="1"/>
  <c r="F90" i="1" s="1"/>
  <c r="E655" i="1"/>
  <c r="F655" i="1" s="1"/>
  <c r="E436" i="1"/>
  <c r="F436" i="1" s="1"/>
  <c r="G436" i="1" s="1"/>
  <c r="E163" i="1"/>
  <c r="F163" i="1" s="1"/>
  <c r="G163" i="1" s="1"/>
  <c r="E243" i="1"/>
  <c r="E86" i="1"/>
  <c r="F86" i="1" s="1"/>
  <c r="G86" i="1" s="1"/>
  <c r="E88" i="1"/>
  <c r="F88" i="1" s="1"/>
  <c r="G88" i="1" s="1"/>
  <c r="E66" i="1"/>
  <c r="E432" i="1"/>
  <c r="F432" i="1" s="1"/>
  <c r="E680" i="1"/>
  <c r="E681" i="1" s="1"/>
  <c r="E137" i="1"/>
  <c r="F137" i="1" s="1"/>
  <c r="G137" i="1" s="1"/>
  <c r="E553" i="1"/>
  <c r="E597" i="1"/>
  <c r="F597" i="1" s="1"/>
  <c r="G597" i="1" s="1"/>
  <c r="E30" i="1"/>
  <c r="F30" i="1" s="1"/>
  <c r="G30" i="1" s="1"/>
  <c r="E401" i="1"/>
  <c r="F401" i="1" s="1"/>
  <c r="E409" i="1"/>
  <c r="F409" i="1" s="1"/>
  <c r="G409" i="1" s="1"/>
  <c r="E140" i="1"/>
  <c r="F140" i="1" s="1"/>
  <c r="G140" i="1" s="1"/>
  <c r="E29" i="1"/>
  <c r="F29" i="1" s="1"/>
  <c r="E161" i="1"/>
  <c r="E313" i="1"/>
  <c r="F313" i="1" s="1"/>
  <c r="G313" i="1" s="1"/>
  <c r="C7" i="3" l="1"/>
  <c r="C3" i="3"/>
  <c r="C11" i="3"/>
  <c r="C4" i="3"/>
  <c r="C635" i="1"/>
  <c r="E635" i="1" s="1"/>
  <c r="F634" i="1" s="1"/>
  <c r="C38" i="3" s="1"/>
  <c r="C683" i="1"/>
  <c r="E683" i="1" s="1"/>
  <c r="C43" i="3" s="1"/>
  <c r="F553" i="1"/>
  <c r="G553" i="1" s="1"/>
  <c r="G554" i="1" s="1"/>
  <c r="E554" i="1"/>
  <c r="C502" i="1"/>
  <c r="E502" i="1" s="1"/>
  <c r="F503" i="1" s="1"/>
  <c r="C35" i="3" s="1"/>
  <c r="F123" i="1"/>
  <c r="G123" i="1" s="1"/>
  <c r="F246" i="1"/>
  <c r="G246" i="1" s="1"/>
  <c r="G445" i="1"/>
  <c r="G231" i="1"/>
  <c r="F245" i="1"/>
  <c r="G245" i="1" s="1"/>
  <c r="F695" i="1"/>
  <c r="F696" i="1" s="1"/>
  <c r="G87" i="1"/>
  <c r="G108" i="1"/>
  <c r="G577" i="1"/>
  <c r="G578" i="1"/>
  <c r="G438" i="1"/>
  <c r="G437" i="1"/>
  <c r="F463" i="1"/>
  <c r="G463" i="1" s="1"/>
  <c r="G165" i="1"/>
  <c r="F687" i="1"/>
  <c r="F688" i="1" s="1"/>
  <c r="F139" i="1"/>
  <c r="G139" i="1" s="1"/>
  <c r="G383" i="1"/>
  <c r="G214" i="1"/>
  <c r="G194" i="1"/>
  <c r="F211" i="1"/>
  <c r="G211" i="1" s="1"/>
  <c r="G203" i="1"/>
  <c r="F418" i="1"/>
  <c r="G418" i="1" s="1"/>
  <c r="G81" i="1"/>
  <c r="G91" i="1"/>
  <c r="F485" i="1"/>
  <c r="G485" i="1" s="1"/>
  <c r="G487" i="1"/>
  <c r="G318" i="1"/>
  <c r="G314" i="1"/>
  <c r="G655" i="1"/>
  <c r="G90" i="1"/>
  <c r="F243" i="1"/>
  <c r="G243" i="1" s="1"/>
  <c r="F66" i="1"/>
  <c r="G66" i="1" s="1"/>
  <c r="G432" i="1"/>
  <c r="F680" i="1"/>
  <c r="F681" i="1" s="1"/>
  <c r="G401" i="1"/>
  <c r="G29" i="1"/>
  <c r="F161" i="1"/>
  <c r="G161" i="1" s="1"/>
  <c r="F554" i="1" l="1"/>
  <c r="G695" i="1"/>
  <c r="G696" i="1" s="1"/>
  <c r="G687" i="1"/>
  <c r="G688" i="1" s="1"/>
  <c r="G680" i="1"/>
  <c r="G681" i="1" s="1"/>
  <c r="E596" i="1"/>
  <c r="F596" i="1" s="1"/>
  <c r="G596" i="1" s="1"/>
  <c r="E433" i="1" l="1"/>
  <c r="E626" i="1"/>
  <c r="F626" i="1" s="1"/>
  <c r="G626" i="1" s="1"/>
  <c r="E654" i="1"/>
  <c r="F654" i="1" s="1"/>
  <c r="E153" i="1"/>
  <c r="F153" i="1" s="1"/>
  <c r="E576" i="1"/>
  <c r="F576" i="1" s="1"/>
  <c r="E580" i="1"/>
  <c r="F580" i="1" s="1"/>
  <c r="E581" i="1"/>
  <c r="F581" i="1" s="1"/>
  <c r="E218" i="1"/>
  <c r="F218" i="1" s="1"/>
  <c r="E190" i="1"/>
  <c r="F190" i="1" s="1"/>
  <c r="E675" i="1"/>
  <c r="E676" i="1" s="1"/>
  <c r="E107" i="1"/>
  <c r="F107" i="1" s="1"/>
  <c r="E668" i="1"/>
  <c r="E669" i="1" s="1"/>
  <c r="E174" i="1"/>
  <c r="F174" i="1" s="1"/>
  <c r="E106" i="1"/>
  <c r="F106" i="1" s="1"/>
  <c r="E39" i="1"/>
  <c r="E663" i="1"/>
  <c r="E664" i="1" s="1"/>
  <c r="E493" i="1"/>
  <c r="F493" i="1" s="1"/>
  <c r="G493" i="1" s="1"/>
  <c r="E105" i="1"/>
  <c r="F105" i="1" s="1"/>
  <c r="E136" i="1"/>
  <c r="F136" i="1" s="1"/>
  <c r="E288" i="1"/>
  <c r="F288" i="1" s="1"/>
  <c r="G288" i="1" s="1"/>
  <c r="E198" i="1"/>
  <c r="F198" i="1" s="1"/>
  <c r="E192" i="1"/>
  <c r="F192" i="1" s="1"/>
  <c r="E205" i="1"/>
  <c r="F205" i="1" s="1"/>
  <c r="G205" i="1" s="1"/>
  <c r="E43" i="1"/>
  <c r="F43" i="1" s="1"/>
  <c r="E44" i="1"/>
  <c r="F44" i="1" s="1"/>
  <c r="E178" i="1"/>
  <c r="F178" i="1" s="1"/>
  <c r="E223" i="1"/>
  <c r="F223" i="1" s="1"/>
  <c r="E197" i="1"/>
  <c r="F197" i="1" s="1"/>
  <c r="E222" i="1"/>
  <c r="F222" i="1" s="1"/>
  <c r="E219" i="1"/>
  <c r="E104" i="1"/>
  <c r="F104" i="1" s="1"/>
  <c r="E483" i="1"/>
  <c r="F483" i="1" s="1"/>
  <c r="E484" i="1"/>
  <c r="F484" i="1" s="1"/>
  <c r="E486" i="1"/>
  <c r="F486" i="1" s="1"/>
  <c r="G486" i="1" s="1"/>
  <c r="E316" i="1"/>
  <c r="F316" i="1" s="1"/>
  <c r="E317" i="1"/>
  <c r="F317" i="1" s="1"/>
  <c r="G317" i="1" s="1"/>
  <c r="E166" i="1"/>
  <c r="F166" i="1" s="1"/>
  <c r="G166" i="1" s="1"/>
  <c r="E173" i="1"/>
  <c r="F173" i="1" s="1"/>
  <c r="G173" i="1" s="1"/>
  <c r="E172" i="1"/>
  <c r="F172" i="1" s="1"/>
  <c r="G172" i="1" s="1"/>
  <c r="E164" i="1"/>
  <c r="F164" i="1" s="1"/>
  <c r="E45" i="1"/>
  <c r="F45" i="1" s="1"/>
  <c r="E200" i="1"/>
  <c r="F200" i="1" s="1"/>
  <c r="G200" i="1" s="1"/>
  <c r="E204" i="1"/>
  <c r="F204" i="1" s="1"/>
  <c r="E595" i="1"/>
  <c r="E171" i="1"/>
  <c r="F171" i="1" s="1"/>
  <c r="E102" i="1"/>
  <c r="F102" i="1" s="1"/>
  <c r="G102" i="1" s="1"/>
  <c r="E135" i="1"/>
  <c r="F135" i="1" s="1"/>
  <c r="E60" i="1"/>
  <c r="F60" i="1" s="1"/>
  <c r="G60" i="1" s="1"/>
  <c r="E63" i="1"/>
  <c r="F63" i="1" s="1"/>
  <c r="E291" i="1"/>
  <c r="F291" i="1" s="1"/>
  <c r="G291" i="1" s="1"/>
  <c r="E330" i="1"/>
  <c r="F330" i="1" s="1"/>
  <c r="G330" i="1" s="1"/>
  <c r="E208" i="1"/>
  <c r="F208" i="1" s="1"/>
  <c r="G208" i="1" s="1"/>
  <c r="E572" i="1"/>
  <c r="F572" i="1" s="1"/>
  <c r="G572" i="1" s="1"/>
  <c r="E573" i="1"/>
  <c r="F573" i="1" s="1"/>
  <c r="E570" i="1"/>
  <c r="F570" i="1" s="1"/>
  <c r="G570" i="1" s="1"/>
  <c r="E569" i="1"/>
  <c r="F569" i="1" s="1"/>
  <c r="E568" i="1"/>
  <c r="E464" i="1"/>
  <c r="E653" i="1"/>
  <c r="F653" i="1" s="1"/>
  <c r="G653" i="1" s="1"/>
  <c r="E114" i="1"/>
  <c r="E115" i="1" s="1"/>
  <c r="E494" i="1"/>
  <c r="F494" i="1" s="1"/>
  <c r="E124" i="1"/>
  <c r="F124" i="1" s="1"/>
  <c r="E141" i="1"/>
  <c r="F141" i="1" s="1"/>
  <c r="F675" i="1" l="1"/>
  <c r="F676" i="1" s="1"/>
  <c r="F433" i="1"/>
  <c r="G433" i="1" s="1"/>
  <c r="G654" i="1"/>
  <c r="G153" i="1"/>
  <c r="G576" i="1"/>
  <c r="G580" i="1"/>
  <c r="G581" i="1"/>
  <c r="G218" i="1"/>
  <c r="G190" i="1"/>
  <c r="G107" i="1"/>
  <c r="F668" i="1"/>
  <c r="F669" i="1" s="1"/>
  <c r="G174" i="1"/>
  <c r="G106" i="1"/>
  <c r="F39" i="1"/>
  <c r="G39" i="1" s="1"/>
  <c r="F663" i="1"/>
  <c r="F664" i="1" s="1"/>
  <c r="G105" i="1"/>
  <c r="G136" i="1"/>
  <c r="G198" i="1"/>
  <c r="G192" i="1"/>
  <c r="G43" i="1"/>
  <c r="G44" i="1"/>
  <c r="G178" i="1"/>
  <c r="G223" i="1"/>
  <c r="G197" i="1"/>
  <c r="G222" i="1"/>
  <c r="F219" i="1"/>
  <c r="G219" i="1" s="1"/>
  <c r="G104" i="1"/>
  <c r="G483" i="1"/>
  <c r="G484" i="1"/>
  <c r="G316" i="1"/>
  <c r="G164" i="1"/>
  <c r="G45" i="1"/>
  <c r="G204" i="1"/>
  <c r="F595" i="1"/>
  <c r="G595" i="1" s="1"/>
  <c r="G171" i="1"/>
  <c r="G135" i="1"/>
  <c r="G63" i="1"/>
  <c r="G573" i="1"/>
  <c r="G569" i="1"/>
  <c r="F568" i="1"/>
  <c r="G568" i="1" s="1"/>
  <c r="F464" i="1"/>
  <c r="G464" i="1" s="1"/>
  <c r="F114" i="1"/>
  <c r="F115" i="1" s="1"/>
  <c r="G494" i="1"/>
  <c r="G124" i="1"/>
  <c r="G141" i="1"/>
  <c r="G675" i="1" l="1"/>
  <c r="G676" i="1" s="1"/>
  <c r="G668" i="1"/>
  <c r="G669" i="1" s="1"/>
  <c r="G663" i="1"/>
  <c r="G664" i="1" s="1"/>
  <c r="G114" i="1"/>
  <c r="G115" i="1" s="1"/>
  <c r="E21" i="1" l="1"/>
  <c r="F21" i="1" s="1"/>
  <c r="E344" i="1"/>
  <c r="F344" i="1" s="1"/>
  <c r="E625" i="1"/>
  <c r="F625" i="1" s="1"/>
  <c r="G625" i="1" s="1"/>
  <c r="E462" i="1"/>
  <c r="F462" i="1" s="1"/>
  <c r="G462" i="1" s="1"/>
  <c r="E20" i="1"/>
  <c r="F20" i="1" s="1"/>
  <c r="E54" i="1"/>
  <c r="E348" i="1"/>
  <c r="F348" i="1" s="1"/>
  <c r="G348" i="1" s="1"/>
  <c r="E347" i="1"/>
  <c r="F347" i="1" s="1"/>
  <c r="G347" i="1" s="1"/>
  <c r="E646" i="1"/>
  <c r="F646" i="1" s="1"/>
  <c r="G646" i="1" s="1"/>
  <c r="E134" i="1"/>
  <c r="F134" i="1" s="1"/>
  <c r="G134" i="1" s="1"/>
  <c r="E311" i="1"/>
  <c r="E24" i="1"/>
  <c r="F24" i="1" s="1"/>
  <c r="E290" i="1"/>
  <c r="E651" i="1"/>
  <c r="E656" i="1" s="1"/>
  <c r="F311" i="1" l="1"/>
  <c r="G21" i="1"/>
  <c r="G344" i="1"/>
  <c r="G20" i="1"/>
  <c r="F54" i="1"/>
  <c r="G54" i="1" s="1"/>
  <c r="G24" i="1"/>
  <c r="F290" i="1"/>
  <c r="G290" i="1" s="1"/>
  <c r="F651" i="1"/>
  <c r="F656" i="1" s="1"/>
  <c r="G311" i="1" l="1"/>
  <c r="G651" i="1"/>
  <c r="G656" i="1" s="1"/>
  <c r="E99" i="1" l="1"/>
  <c r="E392" i="1"/>
  <c r="E645" i="1"/>
  <c r="E647" i="1" s="1"/>
  <c r="E75" i="1"/>
  <c r="F75" i="1" s="1"/>
  <c r="G75" i="1" s="1"/>
  <c r="E640" i="1"/>
  <c r="F640" i="1" s="1"/>
  <c r="G640" i="1" s="1"/>
  <c r="E639" i="1"/>
  <c r="E408" i="1"/>
  <c r="F408" i="1" s="1"/>
  <c r="E101" i="1"/>
  <c r="F101" i="1" s="1"/>
  <c r="E48" i="1"/>
  <c r="E289" i="1"/>
  <c r="F289" i="1" s="1"/>
  <c r="E466" i="1"/>
  <c r="F466" i="1" s="1"/>
  <c r="G466" i="1" s="1"/>
  <c r="E521" i="1"/>
  <c r="F521" i="1" s="1"/>
  <c r="G521" i="1" s="1"/>
  <c r="E53" i="1"/>
  <c r="F53" i="1" s="1"/>
  <c r="E461" i="1"/>
  <c r="F461" i="1" s="1"/>
  <c r="G461" i="1" s="1"/>
  <c r="E631" i="1"/>
  <c r="E33" i="1"/>
  <c r="F33" i="1" s="1"/>
  <c r="E641" i="1" l="1"/>
  <c r="F639" i="1"/>
  <c r="F641" i="1" s="1"/>
  <c r="F99" i="1"/>
  <c r="F392" i="1"/>
  <c r="G392" i="1" s="1"/>
  <c r="F645" i="1"/>
  <c r="F647" i="1" s="1"/>
  <c r="G408" i="1"/>
  <c r="G101" i="1"/>
  <c r="F48" i="1"/>
  <c r="G48" i="1" s="1"/>
  <c r="G289" i="1"/>
  <c r="G53" i="1"/>
  <c r="E632" i="1"/>
  <c r="F631" i="1"/>
  <c r="F632" i="1" s="1"/>
  <c r="G33" i="1"/>
  <c r="G639" i="1" l="1"/>
  <c r="G641" i="1" s="1"/>
  <c r="G99" i="1"/>
  <c r="G645" i="1"/>
  <c r="G647" i="1" s="1"/>
  <c r="G631" i="1"/>
  <c r="G632" i="1" s="1"/>
  <c r="E571" i="1" l="1"/>
  <c r="F571" i="1" s="1"/>
  <c r="E460" i="1"/>
  <c r="E32" i="1"/>
  <c r="F32" i="1" s="1"/>
  <c r="E46" i="1"/>
  <c r="F46" i="1" s="1"/>
  <c r="F460" i="1" l="1"/>
  <c r="G571" i="1"/>
  <c r="G32" i="1"/>
  <c r="G46" i="1"/>
  <c r="G460" i="1" l="1"/>
  <c r="E92" i="1" l="1"/>
  <c r="F92" i="1" s="1"/>
  <c r="G92" i="1" s="1"/>
  <c r="E41" i="1"/>
  <c r="F41" i="1" s="1"/>
  <c r="G41" i="1" s="1"/>
  <c r="E26" i="1"/>
  <c r="E49" i="1" l="1"/>
  <c r="F49" i="1" s="1"/>
  <c r="E587" i="1"/>
  <c r="F587" i="1" s="1"/>
  <c r="G587" i="1" s="1"/>
  <c r="E588" i="1"/>
  <c r="F588" i="1" s="1"/>
  <c r="E585" i="1"/>
  <c r="F585" i="1" s="1"/>
  <c r="E586" i="1"/>
  <c r="F586" i="1" s="1"/>
  <c r="E589" i="1"/>
  <c r="F589" i="1" s="1"/>
  <c r="E195" i="1"/>
  <c r="F195" i="1" s="1"/>
  <c r="E160" i="1"/>
  <c r="F160" i="1" s="1"/>
  <c r="E199" i="1"/>
  <c r="F199" i="1" s="1"/>
  <c r="G199" i="1" s="1"/>
  <c r="E196" i="1"/>
  <c r="F196" i="1" s="1"/>
  <c r="E51" i="1"/>
  <c r="F51" i="1" s="1"/>
  <c r="G51" i="1" s="1"/>
  <c r="E391" i="1"/>
  <c r="F391" i="1" s="1"/>
  <c r="G391" i="1" s="1"/>
  <c r="E184" i="1"/>
  <c r="F184" i="1" s="1"/>
  <c r="G184" i="1" s="1"/>
  <c r="E170" i="1"/>
  <c r="F170" i="1" s="1"/>
  <c r="G170" i="1" s="1"/>
  <c r="E74" i="1"/>
  <c r="F74" i="1" s="1"/>
  <c r="E152" i="1"/>
  <c r="F152" i="1" s="1"/>
  <c r="E447" i="1"/>
  <c r="F447" i="1" s="1"/>
  <c r="E515" i="1"/>
  <c r="F515" i="1" s="1"/>
  <c r="E151" i="1"/>
  <c r="F151" i="1" s="1"/>
  <c r="G151" i="1" s="1"/>
  <c r="E59" i="1"/>
  <c r="E406" i="1"/>
  <c r="F406" i="1" s="1"/>
  <c r="G406" i="1" s="1"/>
  <c r="E405" i="1"/>
  <c r="F405" i="1" s="1"/>
  <c r="G405" i="1" s="1"/>
  <c r="E191" i="1"/>
  <c r="F191" i="1" s="1"/>
  <c r="G191" i="1" s="1"/>
  <c r="E73" i="1"/>
  <c r="E354" i="1"/>
  <c r="F354" i="1" s="1"/>
  <c r="E225" i="1"/>
  <c r="F225" i="1" s="1"/>
  <c r="E353" i="1"/>
  <c r="F353" i="1" s="1"/>
  <c r="G353" i="1" s="1"/>
  <c r="E514" i="1"/>
  <c r="F514" i="1" s="1"/>
  <c r="E221" i="1"/>
  <c r="F221" i="1" s="1"/>
  <c r="E28" i="1"/>
  <c r="F28" i="1" s="1"/>
  <c r="E25" i="1"/>
  <c r="F25" i="1" s="1"/>
  <c r="G25" i="1" s="1"/>
  <c r="E346" i="1"/>
  <c r="F346" i="1" s="1"/>
  <c r="E624" i="1"/>
  <c r="E627" i="1" s="1"/>
  <c r="E398" i="1"/>
  <c r="E72" i="1"/>
  <c r="F72" i="1" s="1"/>
  <c r="E352" i="1"/>
  <c r="F352" i="1" s="1"/>
  <c r="E306" i="1"/>
  <c r="E307" i="1" s="1"/>
  <c r="E230" i="1"/>
  <c r="E232" i="1" s="1"/>
  <c r="E338" i="1"/>
  <c r="E339" i="1" s="1"/>
  <c r="F338" i="1" l="1"/>
  <c r="F339" i="1" s="1"/>
  <c r="F59" i="1"/>
  <c r="G49" i="1"/>
  <c r="G588" i="1"/>
  <c r="G585" i="1"/>
  <c r="G586" i="1"/>
  <c r="G589" i="1"/>
  <c r="G195" i="1"/>
  <c r="G160" i="1"/>
  <c r="G196" i="1"/>
  <c r="G74" i="1"/>
  <c r="G152" i="1"/>
  <c r="G447" i="1"/>
  <c r="G515" i="1"/>
  <c r="F73" i="1"/>
  <c r="G73" i="1" s="1"/>
  <c r="G354" i="1"/>
  <c r="G225" i="1"/>
  <c r="G514" i="1"/>
  <c r="G221" i="1"/>
  <c r="G28" i="1"/>
  <c r="G346" i="1"/>
  <c r="F624" i="1"/>
  <c r="F627" i="1" s="1"/>
  <c r="F398" i="1"/>
  <c r="G398" i="1" s="1"/>
  <c r="G72" i="1"/>
  <c r="G352" i="1"/>
  <c r="F306" i="1"/>
  <c r="F307" i="1" s="1"/>
  <c r="F230" i="1"/>
  <c r="F232" i="1" s="1"/>
  <c r="G338" i="1"/>
  <c r="G339" i="1" s="1"/>
  <c r="G59" i="1" l="1"/>
  <c r="G230" i="1"/>
  <c r="G232" i="1" s="1"/>
  <c r="G624" i="1"/>
  <c r="G627" i="1" s="1"/>
  <c r="G306" i="1"/>
  <c r="G307" i="1" s="1"/>
  <c r="E351" i="1" l="1"/>
  <c r="F351" i="1" s="1"/>
  <c r="G351" i="1" s="1"/>
  <c r="E27" i="1"/>
  <c r="F27" i="1" s="1"/>
  <c r="E619" i="1"/>
  <c r="E620" i="1" s="1"/>
  <c r="E350" i="1"/>
  <c r="G27" i="1" l="1"/>
  <c r="F619" i="1"/>
  <c r="F620" i="1" s="1"/>
  <c r="F350" i="1"/>
  <c r="G350" i="1" s="1"/>
  <c r="G619" i="1" l="1"/>
  <c r="G620" i="1" s="1"/>
  <c r="E42" i="1" l="1"/>
  <c r="F42" i="1" s="1"/>
  <c r="E4" i="1"/>
  <c r="F26" i="1"/>
  <c r="G26" i="1" s="1"/>
  <c r="E71" i="1"/>
  <c r="F71" i="1" s="1"/>
  <c r="E206" i="1"/>
  <c r="F206" i="1" s="1"/>
  <c r="G206" i="1" s="1"/>
  <c r="E397" i="1"/>
  <c r="F397" i="1" s="1"/>
  <c r="G397" i="1" s="1"/>
  <c r="E70" i="1"/>
  <c r="F70" i="1" s="1"/>
  <c r="G70" i="1" s="1"/>
  <c r="E7" i="1"/>
  <c r="F7" i="1" s="1"/>
  <c r="E356" i="1"/>
  <c r="F356" i="1" s="1"/>
  <c r="E23" i="1"/>
  <c r="F23" i="1" s="1"/>
  <c r="G23" i="1" s="1"/>
  <c r="F4" i="1" l="1"/>
  <c r="G42" i="1"/>
  <c r="G71" i="1"/>
  <c r="G7" i="1"/>
  <c r="G356" i="1"/>
  <c r="G4" i="1" l="1"/>
  <c r="E180" i="1" l="1"/>
  <c r="F180" i="1" s="1"/>
  <c r="E477" i="1"/>
  <c r="E476" i="1"/>
  <c r="D474" i="1"/>
  <c r="E474" i="1" s="1"/>
  <c r="E470" i="1"/>
  <c r="E100" i="1"/>
  <c r="F100" i="1" l="1"/>
  <c r="G180" i="1"/>
  <c r="E168" i="1"/>
  <c r="F168" i="1" s="1"/>
  <c r="G168" i="1" s="1"/>
  <c r="E216" i="1"/>
  <c r="F216" i="1" s="1"/>
  <c r="E612" i="1"/>
  <c r="E613" i="1" s="1"/>
  <c r="G100" i="1" l="1"/>
  <c r="G216" i="1"/>
  <c r="F612" i="1"/>
  <c r="F613" i="1" s="1"/>
  <c r="G612" i="1" l="1"/>
  <c r="G613" i="1" s="1"/>
  <c r="E212" i="1" l="1"/>
  <c r="F212" i="1" s="1"/>
  <c r="E287" i="1"/>
  <c r="E292" i="1" s="1"/>
  <c r="E482" i="1"/>
  <c r="E488" i="1" s="1"/>
  <c r="F482" i="1" l="1"/>
  <c r="F488" i="1" s="1"/>
  <c r="F287" i="1"/>
  <c r="F292" i="1" s="1"/>
  <c r="G212" i="1"/>
  <c r="E215" i="1"/>
  <c r="F215" i="1" s="1"/>
  <c r="G482" i="1" l="1"/>
  <c r="G488" i="1" s="1"/>
  <c r="G287" i="1"/>
  <c r="G292" i="1" s="1"/>
  <c r="G215" i="1"/>
  <c r="E607" i="1" l="1"/>
  <c r="E608" i="1" s="1"/>
  <c r="E400" i="1"/>
  <c r="F400" i="1" s="1"/>
  <c r="G400" i="1" s="1"/>
  <c r="E181" i="1"/>
  <c r="F181" i="1" s="1"/>
  <c r="E343" i="1"/>
  <c r="E700" i="1"/>
  <c r="E701" i="1" s="1"/>
  <c r="E602" i="1"/>
  <c r="E603" i="1" s="1"/>
  <c r="E594" i="1"/>
  <c r="E598" i="1" s="1"/>
  <c r="E584" i="1"/>
  <c r="F584" i="1" s="1"/>
  <c r="E583" i="1"/>
  <c r="E582" i="1"/>
  <c r="F582" i="1" s="1"/>
  <c r="G582" i="1" s="1"/>
  <c r="E579" i="1"/>
  <c r="F579" i="1" s="1"/>
  <c r="E575" i="1"/>
  <c r="E574" i="1"/>
  <c r="E567" i="1"/>
  <c r="E566" i="1"/>
  <c r="E565" i="1"/>
  <c r="E564" i="1"/>
  <c r="F564" i="1" s="1"/>
  <c r="E563" i="1"/>
  <c r="E558" i="1"/>
  <c r="E559" i="1" s="1"/>
  <c r="E533" i="1"/>
  <c r="E534" i="1" s="1"/>
  <c r="E528" i="1"/>
  <c r="E527" i="1"/>
  <c r="E526" i="1"/>
  <c r="E520" i="1"/>
  <c r="E522" i="1" s="1"/>
  <c r="E513" i="1"/>
  <c r="F513" i="1" s="1"/>
  <c r="E512" i="1"/>
  <c r="E511" i="1"/>
  <c r="E499" i="1"/>
  <c r="E500" i="1" s="1"/>
  <c r="E492" i="1"/>
  <c r="E495" i="1" s="1"/>
  <c r="E478" i="1"/>
  <c r="E475" i="1"/>
  <c r="D473" i="1"/>
  <c r="E472" i="1"/>
  <c r="E471" i="1"/>
  <c r="E469" i="1"/>
  <c r="E465" i="1"/>
  <c r="E467" i="1" s="1"/>
  <c r="E455" i="1"/>
  <c r="E454" i="1"/>
  <c r="E453" i="1"/>
  <c r="F453" i="1" s="1"/>
  <c r="G453" i="1" s="1"/>
  <c r="E452" i="1"/>
  <c r="E446" i="1"/>
  <c r="F446" i="1" s="1"/>
  <c r="G446" i="1" s="1"/>
  <c r="E444" i="1"/>
  <c r="E443" i="1"/>
  <c r="E434" i="1"/>
  <c r="F434" i="1" s="1"/>
  <c r="G434" i="1" s="1"/>
  <c r="E431" i="1"/>
  <c r="E417" i="1"/>
  <c r="E416" i="1"/>
  <c r="E415" i="1"/>
  <c r="F415" i="1" s="1"/>
  <c r="E414" i="1"/>
  <c r="E407" i="1"/>
  <c r="F407" i="1" s="1"/>
  <c r="E404" i="1"/>
  <c r="E403" i="1"/>
  <c r="E402" i="1"/>
  <c r="F402" i="1" s="1"/>
  <c r="G402" i="1" s="1"/>
  <c r="E399" i="1"/>
  <c r="F399" i="1" s="1"/>
  <c r="G399" i="1" s="1"/>
  <c r="E396" i="1"/>
  <c r="E395" i="1"/>
  <c r="F395" i="1" s="1"/>
  <c r="E394" i="1"/>
  <c r="F394" i="1" s="1"/>
  <c r="G394" i="1" s="1"/>
  <c r="E393" i="1"/>
  <c r="E390" i="1"/>
  <c r="E389" i="1"/>
  <c r="F389" i="1" s="1"/>
  <c r="G389" i="1" s="1"/>
  <c r="E388" i="1"/>
  <c r="F388" i="1" s="1"/>
  <c r="G388" i="1" s="1"/>
  <c r="E387" i="1"/>
  <c r="E386" i="1"/>
  <c r="E385" i="1"/>
  <c r="F385" i="1" s="1"/>
  <c r="E384" i="1"/>
  <c r="F384" i="1" s="1"/>
  <c r="G384" i="1" s="1"/>
  <c r="E382" i="1"/>
  <c r="E381" i="1"/>
  <c r="F381" i="1" s="1"/>
  <c r="G381" i="1" s="1"/>
  <c r="E380" i="1"/>
  <c r="F380" i="1" s="1"/>
  <c r="E379" i="1"/>
  <c r="F379" i="1" s="1"/>
  <c r="G379" i="1" s="1"/>
  <c r="E378" i="1"/>
  <c r="E355" i="1"/>
  <c r="E349" i="1"/>
  <c r="E328" i="1"/>
  <c r="E332" i="1" s="1"/>
  <c r="E323" i="1"/>
  <c r="E324" i="1" s="1"/>
  <c r="E312" i="1"/>
  <c r="E319" i="1" s="1"/>
  <c r="E301" i="1"/>
  <c r="E302" i="1" s="1"/>
  <c r="E296" i="1"/>
  <c r="E297" i="1" s="1"/>
  <c r="E258" i="1"/>
  <c r="F258" i="1" s="1"/>
  <c r="G258" i="1" s="1"/>
  <c r="E256" i="1"/>
  <c r="E255" i="1"/>
  <c r="E254" i="1"/>
  <c r="F254" i="1" s="1"/>
  <c r="G254" i="1" s="1"/>
  <c r="E253" i="1"/>
  <c r="F253" i="1" s="1"/>
  <c r="G253" i="1" s="1"/>
  <c r="E252" i="1"/>
  <c r="E251" i="1"/>
  <c r="E250" i="1"/>
  <c r="F250" i="1" s="1"/>
  <c r="E249" i="1"/>
  <c r="F249" i="1" s="1"/>
  <c r="G249" i="1" s="1"/>
  <c r="E248" i="1"/>
  <c r="E247" i="1"/>
  <c r="E242" i="1"/>
  <c r="F242" i="1" s="1"/>
  <c r="G242" i="1" s="1"/>
  <c r="E241" i="1"/>
  <c r="E240" i="1"/>
  <c r="E239" i="1"/>
  <c r="F239" i="1" s="1"/>
  <c r="G239" i="1" s="1"/>
  <c r="E238" i="1"/>
  <c r="E224" i="1"/>
  <c r="E220" i="1"/>
  <c r="E217" i="1"/>
  <c r="E213" i="1"/>
  <c r="F213" i="1" s="1"/>
  <c r="G213" i="1" s="1"/>
  <c r="E210" i="1"/>
  <c r="E209" i="1"/>
  <c r="F209" i="1" s="1"/>
  <c r="G209" i="1" s="1"/>
  <c r="E207" i="1"/>
  <c r="E202" i="1"/>
  <c r="E201" i="1"/>
  <c r="F201" i="1" s="1"/>
  <c r="E193" i="1"/>
  <c r="F193" i="1" s="1"/>
  <c r="G193" i="1" s="1"/>
  <c r="E189" i="1"/>
  <c r="E188" i="1"/>
  <c r="F188" i="1" s="1"/>
  <c r="E187" i="1"/>
  <c r="F187" i="1" s="1"/>
  <c r="G187" i="1" s="1"/>
  <c r="E186" i="1"/>
  <c r="E185" i="1"/>
  <c r="E183" i="1"/>
  <c r="F183" i="1" s="1"/>
  <c r="E182" i="1"/>
  <c r="F182" i="1" s="1"/>
  <c r="G182" i="1" s="1"/>
  <c r="E177" i="1"/>
  <c r="F177" i="1" s="1"/>
  <c r="E176" i="1"/>
  <c r="E167" i="1"/>
  <c r="F167" i="1" s="1"/>
  <c r="E162" i="1"/>
  <c r="E158" i="1"/>
  <c r="E150" i="1"/>
  <c r="F150" i="1" s="1"/>
  <c r="G150" i="1" s="1"/>
  <c r="E149" i="1"/>
  <c r="F149" i="1" s="1"/>
  <c r="G149" i="1" s="1"/>
  <c r="E148" i="1"/>
  <c r="E147" i="1"/>
  <c r="E146" i="1"/>
  <c r="F146" i="1" s="1"/>
  <c r="G146" i="1" s="1"/>
  <c r="E145" i="1"/>
  <c r="F145" i="1" s="1"/>
  <c r="G145" i="1" s="1"/>
  <c r="E144" i="1"/>
  <c r="F144" i="1" s="1"/>
  <c r="G144" i="1" s="1"/>
  <c r="E143" i="1"/>
  <c r="F143" i="1" s="1"/>
  <c r="G143" i="1" s="1"/>
  <c r="E142" i="1"/>
  <c r="E133" i="1"/>
  <c r="E132" i="1"/>
  <c r="E131" i="1"/>
  <c r="E130" i="1"/>
  <c r="F130" i="1" s="1"/>
  <c r="G130" i="1" s="1"/>
  <c r="E129" i="1"/>
  <c r="F129" i="1" s="1"/>
  <c r="E128" i="1"/>
  <c r="E127" i="1"/>
  <c r="E126" i="1"/>
  <c r="F126" i="1" s="1"/>
  <c r="G126" i="1" s="1"/>
  <c r="E125" i="1"/>
  <c r="E122" i="1"/>
  <c r="E119" i="1"/>
  <c r="E103" i="1"/>
  <c r="E110" i="1" s="1"/>
  <c r="E94" i="1"/>
  <c r="F94" i="1" s="1"/>
  <c r="E93" i="1"/>
  <c r="E89" i="1"/>
  <c r="F89" i="1" s="1"/>
  <c r="G89" i="1" s="1"/>
  <c r="E85" i="1"/>
  <c r="E84" i="1"/>
  <c r="E83" i="1"/>
  <c r="E82" i="1"/>
  <c r="F82" i="1" s="1"/>
  <c r="E80" i="1"/>
  <c r="E69" i="1"/>
  <c r="F69" i="1" s="1"/>
  <c r="E68" i="1"/>
  <c r="F68" i="1" s="1"/>
  <c r="E67" i="1"/>
  <c r="E65" i="1"/>
  <c r="E64" i="1"/>
  <c r="E62" i="1"/>
  <c r="E61" i="1"/>
  <c r="E50" i="1"/>
  <c r="F50" i="1" s="1"/>
  <c r="E47" i="1"/>
  <c r="F47" i="1" s="1"/>
  <c r="G47" i="1" s="1"/>
  <c r="E40" i="1"/>
  <c r="F40" i="1" s="1"/>
  <c r="E37" i="1"/>
  <c r="E36" i="1"/>
  <c r="F36" i="1" s="1"/>
  <c r="E35" i="1"/>
  <c r="F35" i="1" s="1"/>
  <c r="G35" i="1" s="1"/>
  <c r="E34" i="1"/>
  <c r="F34" i="1" s="1"/>
  <c r="G34" i="1" s="1"/>
  <c r="E22" i="1"/>
  <c r="F22" i="1" s="1"/>
  <c r="G22" i="1" s="1"/>
  <c r="E19" i="1"/>
  <c r="F19" i="1" s="1"/>
  <c r="G19" i="1" s="1"/>
  <c r="E18" i="1"/>
  <c r="F18" i="1" s="1"/>
  <c r="G18" i="1" s="1"/>
  <c r="E17" i="1"/>
  <c r="E16" i="1"/>
  <c r="F16" i="1" s="1"/>
  <c r="E15" i="1"/>
  <c r="F15" i="1" s="1"/>
  <c r="G15" i="1" s="1"/>
  <c r="E14" i="1"/>
  <c r="F14" i="1" s="1"/>
  <c r="G14" i="1" s="1"/>
  <c r="E13" i="1"/>
  <c r="E12" i="1"/>
  <c r="F12" i="1" s="1"/>
  <c r="E11" i="1"/>
  <c r="F11" i="1" s="1"/>
  <c r="G11" i="1" s="1"/>
  <c r="E10" i="1"/>
  <c r="F10" i="1" s="1"/>
  <c r="G10" i="1" s="1"/>
  <c r="E9" i="1"/>
  <c r="E8" i="1"/>
  <c r="E6" i="1"/>
  <c r="E154" i="1" l="1"/>
  <c r="E410" i="1"/>
  <c r="E259" i="1"/>
  <c r="E590" i="1"/>
  <c r="E516" i="1"/>
  <c r="E357" i="1"/>
  <c r="E419" i="1"/>
  <c r="E226" i="1"/>
  <c r="E439" i="1"/>
  <c r="E529" i="1"/>
  <c r="E456" i="1"/>
  <c r="E448" i="1"/>
  <c r="E55" i="1"/>
  <c r="E95" i="1"/>
  <c r="E76" i="1"/>
  <c r="F443" i="1"/>
  <c r="F6" i="1"/>
  <c r="F533" i="1"/>
  <c r="F534" i="1" s="1"/>
  <c r="F492" i="1"/>
  <c r="F495" i="1" s="1"/>
  <c r="F343" i="1"/>
  <c r="F323" i="1"/>
  <c r="F324" i="1" s="1"/>
  <c r="F158" i="1"/>
  <c r="F565" i="1"/>
  <c r="G565" i="1" s="1"/>
  <c r="F499" i="1"/>
  <c r="F500" i="1" s="1"/>
  <c r="F520" i="1"/>
  <c r="F522" i="1" s="1"/>
  <c r="F301" i="1"/>
  <c r="F302" i="1" s="1"/>
  <c r="F238" i="1"/>
  <c r="F80" i="1"/>
  <c r="F607" i="1"/>
  <c r="F608" i="1" s="1"/>
  <c r="G181" i="1"/>
  <c r="G385" i="1"/>
  <c r="E473" i="1"/>
  <c r="F472" i="1" s="1"/>
  <c r="G167" i="1"/>
  <c r="F65" i="1"/>
  <c r="G65" i="1" s="1"/>
  <c r="F85" i="1"/>
  <c r="G85" i="1" s="1"/>
  <c r="G250" i="1"/>
  <c r="F700" i="1"/>
  <c r="G407" i="1"/>
  <c r="F465" i="1"/>
  <c r="F602" i="1"/>
  <c r="F603" i="1" s="1"/>
  <c r="F61" i="1"/>
  <c r="F64" i="1"/>
  <c r="G64" i="1" s="1"/>
  <c r="G69" i="1"/>
  <c r="F84" i="1"/>
  <c r="G84" i="1" s="1"/>
  <c r="G177" i="1"/>
  <c r="G188" i="1"/>
  <c r="G201" i="1"/>
  <c r="G395" i="1"/>
  <c r="F414" i="1"/>
  <c r="F416" i="1"/>
  <c r="G416" i="1" s="1"/>
  <c r="F83" i="1"/>
  <c r="G83" i="1" s="1"/>
  <c r="F122" i="1"/>
  <c r="G122" i="1" s="1"/>
  <c r="F455" i="1"/>
  <c r="G455" i="1" s="1"/>
  <c r="G584" i="1"/>
  <c r="F125" i="1"/>
  <c r="G125" i="1" s="1"/>
  <c r="G129" i="1"/>
  <c r="G183" i="1"/>
  <c r="F296" i="1"/>
  <c r="F297" i="1" s="1"/>
  <c r="F355" i="1"/>
  <c r="G355" i="1" s="1"/>
  <c r="G380" i="1"/>
  <c r="G415" i="1"/>
  <c r="F431" i="1"/>
  <c r="F439" i="1" s="1"/>
  <c r="F528" i="1"/>
  <c r="G528" i="1" s="1"/>
  <c r="F8" i="1"/>
  <c r="G8" i="1" s="1"/>
  <c r="G16" i="1"/>
  <c r="G12" i="1"/>
  <c r="G36" i="1"/>
  <c r="G40" i="1"/>
  <c r="G50" i="1"/>
  <c r="F93" i="1"/>
  <c r="G93" i="1" s="1"/>
  <c r="F224" i="1"/>
  <c r="G224" i="1" s="1"/>
  <c r="F241" i="1"/>
  <c r="G241" i="1" s="1"/>
  <c r="F248" i="1"/>
  <c r="G248" i="1" s="1"/>
  <c r="F256" i="1"/>
  <c r="G256" i="1" s="1"/>
  <c r="F567" i="1"/>
  <c r="G567" i="1" s="1"/>
  <c r="F9" i="1"/>
  <c r="G9" i="1" s="1"/>
  <c r="F13" i="1"/>
  <c r="G13" i="1" s="1"/>
  <c r="F17" i="1"/>
  <c r="G17" i="1" s="1"/>
  <c r="F37" i="1"/>
  <c r="G37" i="1" s="1"/>
  <c r="F62" i="1"/>
  <c r="G62" i="1" s="1"/>
  <c r="G68" i="1"/>
  <c r="G94" i="1"/>
  <c r="F142" i="1"/>
  <c r="G142" i="1" s="1"/>
  <c r="F148" i="1"/>
  <c r="G148" i="1" s="1"/>
  <c r="F220" i="1"/>
  <c r="G220" i="1" s="1"/>
  <c r="F378" i="1"/>
  <c r="F67" i="1"/>
  <c r="G67" i="1" s="1"/>
  <c r="F252" i="1"/>
  <c r="G252" i="1" s="1"/>
  <c r="F349" i="1"/>
  <c r="G349" i="1" s="1"/>
  <c r="F404" i="1"/>
  <c r="G404" i="1" s="1"/>
  <c r="F186" i="1"/>
  <c r="G186" i="1" s="1"/>
  <c r="F207" i="1"/>
  <c r="G207" i="1" s="1"/>
  <c r="F328" i="1"/>
  <c r="F332" i="1" s="1"/>
  <c r="G82" i="1"/>
  <c r="F103" i="1"/>
  <c r="F110" i="1" s="1"/>
  <c r="F119" i="1"/>
  <c r="F128" i="1"/>
  <c r="G128" i="1" s="1"/>
  <c r="F133" i="1"/>
  <c r="G133" i="1" s="1"/>
  <c r="F393" i="1"/>
  <c r="G393" i="1" s="1"/>
  <c r="F594" i="1"/>
  <c r="F598" i="1" s="1"/>
  <c r="F127" i="1"/>
  <c r="G127" i="1" s="1"/>
  <c r="F131" i="1"/>
  <c r="G131" i="1" s="1"/>
  <c r="F132" i="1"/>
  <c r="G132" i="1" s="1"/>
  <c r="F147" i="1"/>
  <c r="G147" i="1" s="1"/>
  <c r="F162" i="1"/>
  <c r="G162" i="1" s="1"/>
  <c r="F176" i="1"/>
  <c r="G176" i="1" s="1"/>
  <c r="F185" i="1"/>
  <c r="G185" i="1" s="1"/>
  <c r="F189" i="1"/>
  <c r="G189" i="1" s="1"/>
  <c r="F202" i="1"/>
  <c r="G202" i="1" s="1"/>
  <c r="F210" i="1"/>
  <c r="G210" i="1" s="1"/>
  <c r="F217" i="1"/>
  <c r="G217" i="1" s="1"/>
  <c r="F240" i="1"/>
  <c r="F247" i="1"/>
  <c r="G247" i="1" s="1"/>
  <c r="F251" i="1"/>
  <c r="G251" i="1" s="1"/>
  <c r="F255" i="1"/>
  <c r="G255" i="1" s="1"/>
  <c r="F312" i="1"/>
  <c r="F319" i="1" s="1"/>
  <c r="F387" i="1"/>
  <c r="G387" i="1" s="1"/>
  <c r="F417" i="1"/>
  <c r="F444" i="1"/>
  <c r="G444" i="1" s="1"/>
  <c r="F583" i="1"/>
  <c r="G583" i="1" s="1"/>
  <c r="F382" i="1"/>
  <c r="G382" i="1" s="1"/>
  <c r="F386" i="1"/>
  <c r="G386" i="1" s="1"/>
  <c r="F390" i="1"/>
  <c r="G390" i="1" s="1"/>
  <c r="F396" i="1"/>
  <c r="G396" i="1" s="1"/>
  <c r="F403" i="1"/>
  <c r="G403" i="1" s="1"/>
  <c r="F512" i="1"/>
  <c r="G512" i="1" s="1"/>
  <c r="F563" i="1"/>
  <c r="F575" i="1"/>
  <c r="G575" i="1" s="1"/>
  <c r="F452" i="1"/>
  <c r="F454" i="1"/>
  <c r="G454" i="1" s="1"/>
  <c r="G513" i="1"/>
  <c r="F527" i="1"/>
  <c r="G527" i="1" s="1"/>
  <c r="G564" i="1"/>
  <c r="G579" i="1"/>
  <c r="F511" i="1"/>
  <c r="F526" i="1"/>
  <c r="F558" i="1"/>
  <c r="F559" i="1" s="1"/>
  <c r="F566" i="1"/>
  <c r="G566" i="1" s="1"/>
  <c r="F574" i="1"/>
  <c r="G574" i="1" s="1"/>
  <c r="E712" i="1" l="1"/>
  <c r="C15" i="3"/>
  <c r="C48" i="3" s="1"/>
  <c r="C712" i="1"/>
  <c r="F516" i="1"/>
  <c r="F590" i="1"/>
  <c r="F419" i="1"/>
  <c r="G700" i="1"/>
  <c r="G701" i="1" s="1"/>
  <c r="F701" i="1"/>
  <c r="G607" i="1"/>
  <c r="G608" i="1" s="1"/>
  <c r="F529" i="1"/>
  <c r="F456" i="1"/>
  <c r="G465" i="1"/>
  <c r="G467" i="1" s="1"/>
  <c r="F467" i="1"/>
  <c r="G443" i="1"/>
  <c r="G448" i="1" s="1"/>
  <c r="F448" i="1"/>
  <c r="G343" i="1"/>
  <c r="G357" i="1" s="1"/>
  <c r="F357" i="1"/>
  <c r="F410" i="1"/>
  <c r="F259" i="1"/>
  <c r="F226" i="1"/>
  <c r="F154" i="1"/>
  <c r="F76" i="1"/>
  <c r="F95" i="1"/>
  <c r="F55" i="1"/>
  <c r="G431" i="1"/>
  <c r="G439" i="1" s="1"/>
  <c r="G312" i="1"/>
  <c r="G319" i="1" s="1"/>
  <c r="G6" i="1"/>
  <c r="G55" i="1" s="1"/>
  <c r="G103" i="1"/>
  <c r="G110" i="1" s="1"/>
  <c r="G533" i="1"/>
  <c r="G534" i="1" s="1"/>
  <c r="G492" i="1"/>
  <c r="G495" i="1" s="1"/>
  <c r="G323" i="1"/>
  <c r="G324" i="1" s="1"/>
  <c r="G238" i="1"/>
  <c r="G61" i="1"/>
  <c r="G76" i="1" s="1"/>
  <c r="G158" i="1"/>
  <c r="G226" i="1" s="1"/>
  <c r="G119" i="1"/>
  <c r="G154" i="1" s="1"/>
  <c r="G499" i="1"/>
  <c r="G500" i="1" s="1"/>
  <c r="G520" i="1"/>
  <c r="G522" i="1" s="1"/>
  <c r="G511" i="1"/>
  <c r="G516" i="1" s="1"/>
  <c r="G414" i="1"/>
  <c r="G602" i="1"/>
  <c r="G603" i="1" s="1"/>
  <c r="G378" i="1"/>
  <c r="G410" i="1" s="1"/>
  <c r="G301" i="1"/>
  <c r="G302" i="1" s="1"/>
  <c r="G80" i="1"/>
  <c r="G95" i="1" s="1"/>
  <c r="G558" i="1"/>
  <c r="G559" i="1" s="1"/>
  <c r="G296" i="1"/>
  <c r="G297" i="1" s="1"/>
  <c r="G452" i="1"/>
  <c r="G456" i="1" s="1"/>
  <c r="G417" i="1"/>
  <c r="G240" i="1"/>
  <c r="G328" i="1"/>
  <c r="G332" i="1" s="1"/>
  <c r="G526" i="1"/>
  <c r="G529" i="1" s="1"/>
  <c r="G563" i="1"/>
  <c r="G590" i="1" s="1"/>
  <c r="G594" i="1"/>
  <c r="G598" i="1" s="1"/>
  <c r="G419" i="1" l="1"/>
  <c r="G259" i="1"/>
  <c r="AE70" i="4" l="1"/>
  <c r="AF58" i="4" l="1"/>
  <c r="AC77" i="4" l="1"/>
  <c r="AF70" i="4"/>
  <c r="AE77" i="4"/>
  <c r="AE89" i="4" s="1"/>
  <c r="AF77" i="4" l="1"/>
  <c r="AF89" i="4" s="1"/>
  <c r="AC89" i="4"/>
</calcChain>
</file>

<file path=xl/sharedStrings.xml><?xml version="1.0" encoding="utf-8"?>
<sst xmlns="http://schemas.openxmlformats.org/spreadsheetml/2006/main" count="9170" uniqueCount="857">
  <si>
    <t>รายการขายสินค้า BWP เป็นผู้ผลิต</t>
  </si>
  <si>
    <t>บจก.ที.ซี.ฟาร์มาซูติคอล อุตสาหกรรม</t>
  </si>
  <si>
    <t>วันที่</t>
  </si>
  <si>
    <t>ขนาด</t>
  </si>
  <si>
    <t>จำนวน(กก.)</t>
  </si>
  <si>
    <t>ราคา</t>
  </si>
  <si>
    <t>มูลค่าก่อน VAT</t>
  </si>
  <si>
    <t>VAT</t>
  </si>
  <si>
    <t>มูลค่ารวม VAT</t>
  </si>
  <si>
    <t>49 cm. x 45mc.(สูตร 1)</t>
  </si>
  <si>
    <t>54 cm. x 45 mc.</t>
  </si>
  <si>
    <t>31cm x 45mc ทีโอเปล็กซ์ แอล 100ml. x 10ขวด</t>
  </si>
  <si>
    <t>32cm x 45mc โสม โสมฮีโร่ 145ml. x 10ขวด</t>
  </si>
  <si>
    <t>50 cm. x 65 mc.สปอนเซอร์ แอคทีฟ วิตามินซี 250มล.x6ขวด</t>
  </si>
  <si>
    <t>52 cm. x 45 mc.สปอนเซอร์ ออริจินัล 325มล.x6ขวด</t>
  </si>
  <si>
    <t>รวม</t>
  </si>
  <si>
    <t>บจก.ไทยน้ำทิพย์ (คลอง13)</t>
  </si>
  <si>
    <t>38cm. x  55mc.</t>
  </si>
  <si>
    <t>50 cm. x  70mc.</t>
  </si>
  <si>
    <t>50 cm. x  75mc.</t>
  </si>
  <si>
    <t>76 cm. X 55 mc.</t>
  </si>
  <si>
    <t>บจก.ไทยน้ำทิพย์ (โคราช)</t>
  </si>
  <si>
    <t>50cm. x  75mc.</t>
  </si>
  <si>
    <t>50 cm. x  80mc.</t>
  </si>
  <si>
    <t>50cm. x  80mc.</t>
  </si>
  <si>
    <t>บจก.ไทยน้ำทิพย์ (ปทุมธานี)</t>
  </si>
  <si>
    <t>53 cm. x  70mc.</t>
  </si>
  <si>
    <t>บมจ.หาดทิพย์</t>
  </si>
  <si>
    <t>38 cm. X 55 mc.</t>
  </si>
  <si>
    <t>50 cm. X 65 mc.</t>
  </si>
  <si>
    <t>56 cm. X 65 mc.</t>
  </si>
  <si>
    <t>70 cm. X 65 mc.</t>
  </si>
  <si>
    <t>บมจ.กรีนสปอต</t>
  </si>
  <si>
    <t>PEบน TG 380mm x 45mic Mix P12(PCR30%)</t>
  </si>
  <si>
    <t xml:space="preserve"> PE-300 UHT BarleyM 410mm x 40micVBM3T P3 </t>
  </si>
  <si>
    <t>PE300-UHT  DBlack 410mm.x40mic VDB3T P3</t>
  </si>
  <si>
    <t>PE300-UHT Ori 500mm x 40mic  VOG3T P6</t>
  </si>
  <si>
    <t>PE300-TG Regular540mm x 45mic MRGHC P6 (PCR30%)</t>
  </si>
  <si>
    <t>PE300-TG Regular540mm x 45mic MRGHX P6</t>
  </si>
  <si>
    <t>PE300- TG Dchoco 540mm x 45mic VDCHX P6</t>
  </si>
  <si>
    <t>PE300-TG Energy 540mm x 45mic.VENHX P6 PCR30%</t>
  </si>
  <si>
    <t>PE300 - TG Mti G 540 mm.x 45 mic. SMGHI P6</t>
  </si>
  <si>
    <t>PE300 - TG Cocoa 540 mm.x 45 mic. SCCHI P6</t>
  </si>
  <si>
    <t>บมจ.โอสถสภา</t>
  </si>
  <si>
    <t>จำนวน(เมตร)</t>
  </si>
  <si>
    <t xml:space="preserve">30.7cm. x 35mc. </t>
  </si>
  <si>
    <t>34cm. x 35mc.(PCR30%)NATURAL Ext.</t>
  </si>
  <si>
    <t>น้ำหนักสุทธิ</t>
  </si>
  <si>
    <t>30.7cm. x 35mc.</t>
  </si>
  <si>
    <t>34cm. x 35mc.(PCR30%) NATURAL Ext.</t>
  </si>
  <si>
    <t>รวมทั้งสิ้น</t>
  </si>
  <si>
    <t>บจก. ขายยาเพ็ญภาค</t>
  </si>
  <si>
    <t>22.8cm. x 50 mc.</t>
  </si>
  <si>
    <t>บมจ.เสริมสุข(นครสวรรค์)</t>
  </si>
  <si>
    <t>460mm. x 60-70 mc.</t>
  </si>
  <si>
    <t>บมจ.เสริมสุข(ปทุมธานี)</t>
  </si>
  <si>
    <t>สหกรณ์โคนมหนองโพ ราชบุรี</t>
  </si>
  <si>
    <t>25cm. x 40 mc.</t>
  </si>
  <si>
    <t>27cm. x 40 mc.</t>
  </si>
  <si>
    <t>บจก. ชิโคะคุ คะโคคิ (ประเทศไทย)</t>
  </si>
  <si>
    <t>56cm.x45-50 mc.</t>
  </si>
  <si>
    <t>บจก.เอ็น พลัส ชัพพลาย แอนด์ เซอร์วิส ( สำนักงานใหญ่ )</t>
  </si>
  <si>
    <t>จำนวน(ใบ.)</t>
  </si>
  <si>
    <t>140x140x110cm./140mc.</t>
  </si>
  <si>
    <t>บจก.โตโยไซกัน (ประเทศไทย)</t>
  </si>
  <si>
    <t>จำนวน(ชิ้น.)</t>
  </si>
  <si>
    <t xml:space="preserve">56 cm. x 50mc. IF Coconut </t>
  </si>
  <si>
    <t>บจก. กรีนสวิลล์</t>
  </si>
  <si>
    <t>160 mm. x 35 mc.</t>
  </si>
  <si>
    <t>180 mm. x 35 mc.</t>
  </si>
  <si>
    <t>200 mm. x 35 mc.</t>
  </si>
  <si>
    <t>250 mm. x 35 mc.</t>
  </si>
  <si>
    <t>280 mm. x 35 mc.</t>
  </si>
  <si>
    <t>320 mm. x 35 mc.</t>
  </si>
  <si>
    <t>400 mm. x 35 mc.</t>
  </si>
  <si>
    <t>บจก. เซเว่นสตาร์ อินเตอร์โฮลดิ้ง</t>
  </si>
  <si>
    <t>จำนวน(ม้วน)</t>
  </si>
  <si>
    <t xml:space="preserve"> 230cm. X 30mc.</t>
  </si>
  <si>
    <t>230cm. x 30mc.</t>
  </si>
  <si>
    <t>น้ำหนัก</t>
  </si>
  <si>
    <t>230mm. x 30mc.</t>
  </si>
  <si>
    <t>บจก.ทิปโก้ เอฟ แอนด์ บี</t>
  </si>
  <si>
    <t xml:space="preserve">26cm x 35mc. </t>
  </si>
  <si>
    <t xml:space="preserve">30cm x 30mc. </t>
  </si>
  <si>
    <t>บจก.เอ็มเอ็มพี คอร์เปอเรชั่น</t>
  </si>
  <si>
    <t>40 cm. X 65-70 mc.</t>
  </si>
  <si>
    <t>จำนวน(ใบ)</t>
  </si>
  <si>
    <t>บจก.ฐิติภัณฑ์ อินเตอร์พลัส</t>
  </si>
  <si>
    <t>จำนวน(ม้วน.)</t>
  </si>
  <si>
    <t>500mm.x300m.x15mc.</t>
  </si>
  <si>
    <t>40 cm. x 70-75mc.</t>
  </si>
  <si>
    <t xml:space="preserve">บจก.สยามอุตสาหกรรมวัสดุทนไฟ (แผ่นชีท) </t>
  </si>
  <si>
    <t>จำนวน(แผ่น)</t>
  </si>
  <si>
    <t>60cm.x480cm. /150mc.</t>
  </si>
  <si>
    <t>120cm.x120cm. /70 mc.</t>
  </si>
  <si>
    <t>120cm.x470cm. /150 mc.</t>
  </si>
  <si>
    <t>150cm.x150cm. /70 mc.</t>
  </si>
  <si>
    <t>80x480cm. /150mc.</t>
  </si>
  <si>
    <t>120cm.x120cm. /150mc.</t>
  </si>
  <si>
    <t>150cm.x470cm. /150 mc.</t>
  </si>
  <si>
    <t>90cm.x460cm. /150 mc.Logo SRIC</t>
  </si>
  <si>
    <t>บจก.ซันสวีท</t>
  </si>
  <si>
    <t>บจก.เถิงธงพานิชย์</t>
  </si>
  <si>
    <t>บจก.สุรใจ ฟู้ดส์ อินดัสทรี</t>
  </si>
  <si>
    <t xml:space="preserve">33 cm. x 60-65 mc. </t>
  </si>
  <si>
    <t>บจก.ไวตาสกายเทคโนโลยีความแม่นยำ (ประเทศไทย)</t>
  </si>
  <si>
    <t>35 cm. x 35 mc.</t>
  </si>
  <si>
    <t>บจก.พลอยพรรณราย อินดัสตรี</t>
  </si>
  <si>
    <t>จำนวน(kg.)</t>
  </si>
  <si>
    <t xml:space="preserve">40 cm. x 70-75 mc. </t>
  </si>
  <si>
    <t>บจก.จี-แฟน โกรอิง</t>
  </si>
  <si>
    <t>500mm.x253m.x15mc.</t>
  </si>
  <si>
    <t>บจก.แอดวานซ์ โนเลดจ์ เซอร์วิสเซส</t>
  </si>
  <si>
    <t>บจก.ที.ที.วิน เอ็นจิเนียริ่ง</t>
  </si>
  <si>
    <t>42.5cm. X 65-70 mc.</t>
  </si>
  <si>
    <t>บมจ.ฟรีสแลนด์คัมพิน่า (ประเทศไทย)</t>
  </si>
  <si>
    <t>28.5 cm. x 33 mc.  OMG Pl 4 x 110 ml.Bw</t>
  </si>
  <si>
    <t>38.5 cm. x 33 mc. OMG Choc 4 x 165 ml.</t>
  </si>
  <si>
    <t>38.5 cm. x 33 mc. Plain 4 x 180 ml.</t>
  </si>
  <si>
    <t xml:space="preserve">บจก.ทิพย์นที (2005) </t>
  </si>
  <si>
    <t>บจก.ยูนิ-เพรสซิเดนท์ (ประเทศไทย)</t>
  </si>
  <si>
    <t>45cm. X  40mc. 6 x 180 ml.</t>
  </si>
  <si>
    <t>รวมน้ำหนักสุทธิ</t>
  </si>
  <si>
    <t>รวมมูลค่าก่อน Vat</t>
  </si>
  <si>
    <t>PE300 - TG Mti G 540 mm.x 45 mic. SMGHX P6</t>
  </si>
  <si>
    <t>100cm.x480cm. /150mc.</t>
  </si>
  <si>
    <t>56 cm. x 55mc. บอส แบล็คโนชูก้าร์ 230มล.</t>
  </si>
  <si>
    <t>42"  X  42"x 40"/70mc.</t>
  </si>
  <si>
    <t>84 cm. X 55 mc.</t>
  </si>
  <si>
    <t>PE125- UHT Regular 380mm x 40mic CRG0S P6</t>
  </si>
  <si>
    <t>PE250บน UHT 215mm x 40mic Mix P3,6,12(PCR30%)</t>
  </si>
  <si>
    <t xml:space="preserve">บจก.เพชรพาณิชย์ เบฟเวอเรจ </t>
  </si>
  <si>
    <t>40cm X60-70mc.เกรดB</t>
  </si>
  <si>
    <t>38.5 cm. x 33 mc. OMG Strawb 4 x 165 ml.Slim</t>
  </si>
  <si>
    <t>500mm x 300m x 15mc.</t>
  </si>
  <si>
    <t>40cm. X 70 mc. (สูตร 1)</t>
  </si>
  <si>
    <t>PE300 - TG Stawb 540 mm.x 45 mic. VSTHX P6</t>
  </si>
  <si>
    <t>32cm x 45mc KTD ABC 145ml. PCR30%</t>
  </si>
  <si>
    <t>บจก.พิริยะพลาส</t>
  </si>
  <si>
    <t>PE200-UHT DBlack 240mm x 40mic  VDB1E P5</t>
  </si>
  <si>
    <t>บมจ.เสริมสุข(โคราช)</t>
  </si>
  <si>
    <t>PE300-TG Regular540mm x 45mic VRGHU P6</t>
  </si>
  <si>
    <t>56 mc. x 50mc.(Makro)Perforate350ml</t>
  </si>
  <si>
    <t xml:space="preserve">60cm. X 85 mc. </t>
  </si>
  <si>
    <t>25cm.x35mc.</t>
  </si>
  <si>
    <t>THAI NISSHIN SEIFUN CO.,LTD</t>
  </si>
  <si>
    <t>32cm x 45mc KTD  150ml. PCR30%</t>
  </si>
  <si>
    <t>34cm x 45mc ไฮ่ มิกซ์เบอร์รี่ 145ml. x 10ขวด</t>
  </si>
  <si>
    <t>40cm.x70mc.</t>
  </si>
  <si>
    <t>PEบน TG 540mm x 45mic Mix P6</t>
  </si>
  <si>
    <t>บจก.จอมธนา</t>
  </si>
  <si>
    <t>38cm.x35mc.</t>
  </si>
  <si>
    <t>56 cm. x 55mc. บอส ลาเต้ 230มล.</t>
  </si>
  <si>
    <t>54 cm. x 45 mc.ชาขาวเพียวริคุ (เก๊กฮวยขาว) 1x6/350มล.</t>
  </si>
  <si>
    <t>PE300-TG Banana 540mm x 45mic MBNHC P6</t>
  </si>
  <si>
    <t>PE300-TG Strawb 540mm x 45mic MSTHC P6</t>
  </si>
  <si>
    <t>PE300-TG  Thaitea 540mm x 45mic MTTHC P6</t>
  </si>
  <si>
    <t xml:space="preserve">38.5 cm. x 33 mc. Ms Lf 4x180ml. </t>
  </si>
  <si>
    <t>50cm. x 65 mc.สปอนเซอร์ แตงโม เบอร์รี่ 250มล.x6ขวด</t>
  </si>
  <si>
    <t>63cm. x  80mc.</t>
  </si>
  <si>
    <t>บจก.สยามกลาสอยุธยา</t>
  </si>
  <si>
    <t>145cn.x145cm.x110cm./100/50mc.</t>
  </si>
  <si>
    <t>41cm x 50mc เรดบลู เอ็กซ์ตร้า 170ml. x 12ขวด</t>
  </si>
  <si>
    <t>PE300- TG DBlack540mm x 45mic VDBHL P6</t>
  </si>
  <si>
    <t>PE300-TG Energy 540mm x 45mic.VENHW P6</t>
  </si>
  <si>
    <t>52 cm. x 60mc.</t>
  </si>
  <si>
    <t>58cm x 45mc  RD Classic 250ml.MY 2024</t>
  </si>
  <si>
    <t>28.5 cm. x 33 mc.  OMG Sweet 4 x 110 ml.Bw</t>
  </si>
  <si>
    <t>56 mc. x 55mc.Oi Ocha Unsweet</t>
  </si>
  <si>
    <t>54 cm. x 45 mc.ชาขาวเพียวริคุ (องุ่น เคียวโฮ) 1x6/350มล.</t>
  </si>
  <si>
    <t>บจก.น้ำมันบริโภค</t>
  </si>
  <si>
    <t>35cm.x60mc.</t>
  </si>
  <si>
    <t>30cm.x60mc.</t>
  </si>
  <si>
    <t>54 cm. X 65 mc.</t>
  </si>
  <si>
    <t xml:space="preserve">32cm x 45mc KTD ABC 145ml. </t>
  </si>
  <si>
    <t>52 cm. x 50mc.</t>
  </si>
  <si>
    <t>400mm. x 35 mc.</t>
  </si>
  <si>
    <t>บจก.สยามไฟเบอร์ซีเมนต์กรุ๊ป (โรงงานหนองแค)</t>
  </si>
  <si>
    <t>46cm.x40mc.ไม้ฝา SCG</t>
  </si>
  <si>
    <t>คุณ สุพิศ การพัฒน์</t>
  </si>
  <si>
    <t>52 cm. x 55mc. อเมซอน เอสเปรสโซ่ 200มล.</t>
  </si>
  <si>
    <t>54 cm. x 45 mc.ชาขาวเพียวริคุ (สตรอเบอร์รี่) 1x6/350มล.</t>
  </si>
  <si>
    <t>36cm. x  50mc.</t>
  </si>
  <si>
    <t>54 cm. X 65 mc.(สีแดง)</t>
  </si>
  <si>
    <t>38 cm. X 55 mc.สูตร 1</t>
  </si>
  <si>
    <t>150cm.x150cm. /70mc.</t>
  </si>
  <si>
    <t>28.5 cm. x 33 mc.  OMG Choc  4 x 110 ml.Bw</t>
  </si>
  <si>
    <t>06/01/69</t>
  </si>
  <si>
    <t>PE230บน UHT No S 240mm x 40mic SUN2E P9</t>
  </si>
  <si>
    <t>PE200- UHT MtiG 240mm x 40mic SMG P4</t>
  </si>
  <si>
    <t>34cm x 45mc โสม โสมฮีโร่ 150ml. x 10ขวด</t>
  </si>
  <si>
    <t>31 cm. x 50 mc.</t>
  </si>
  <si>
    <t>05/01/69</t>
  </si>
  <si>
    <t>PE300-TG Regular540mm x 45mic VRGHX P6(PCR30%)</t>
  </si>
  <si>
    <t>PE300- TG Dchoco 540mm x 45mic MDCHX P6</t>
  </si>
  <si>
    <t>21.5cm. x 50 mc.</t>
  </si>
  <si>
    <t>38.5 cm. x 33 mc.  Sweet 4 x 165 Mtr.</t>
  </si>
  <si>
    <t>34cm x 45mc กระทิงแดงเอ็กซ์ตร้า เอบีซี (ขวดกลม) 145ml.</t>
  </si>
  <si>
    <t>32cm x 45mc KTD EXTRA 145ml. PCR30%</t>
  </si>
  <si>
    <t>08/01/69</t>
  </si>
  <si>
    <t>PE230บน UHT Mti G 240mm x 40mic SMN1X P4</t>
  </si>
  <si>
    <t>27cm. x 40 mc.นมปรุงแต่ง UHT  4 x 225 ml.(รสหวาน)</t>
  </si>
  <si>
    <t>08/01/68</t>
  </si>
  <si>
    <t>25cm. x 40 mc.นมปรุงแต่ง UHT  4 x 180 ml.(รสหวาน)</t>
  </si>
  <si>
    <t>07/01/69</t>
  </si>
  <si>
    <t>PE300- TG Dchoco 540mm x 45mic VDCHX P6(PCR30%)</t>
  </si>
  <si>
    <t xml:space="preserve">PE300-TG Regular540mm x 45mic MRGHC P6 </t>
  </si>
  <si>
    <t>35 cm. x 60mc.</t>
  </si>
  <si>
    <t>28 cm. x 60mc.</t>
  </si>
  <si>
    <t>45 cm. x 70mc.</t>
  </si>
  <si>
    <t>76 cm. X 65 mc.</t>
  </si>
  <si>
    <t xml:space="preserve"> </t>
  </si>
  <si>
    <t>54 cm. x  60mc.(สีแดง)</t>
  </si>
  <si>
    <t>10/01/69</t>
  </si>
  <si>
    <t>50 cm. x 65 mc.สปอนเซอร์ แอคทีฟ แมกนีเซียม 250มล.x6ขวด</t>
  </si>
  <si>
    <t>500mm.x250m.x15mc.</t>
  </si>
  <si>
    <t>09/01/69</t>
  </si>
  <si>
    <t>บจก.ธาริน แอพไพรซัล</t>
  </si>
  <si>
    <t>80cm.x480cm. /150mc.</t>
  </si>
  <si>
    <t>53cm.x40mc.ไม้เชิงชาย SCG ซุปเปอร์โมเลกุลไลท์</t>
  </si>
  <si>
    <t>PE300 - TG Mti G 540 mm.x 45 mic. SMGHI P6(PCR30%)</t>
  </si>
  <si>
    <t>PE300 - TG Ori 540 mm.x 45 mic. SOGHX P6 (PCR30%)</t>
  </si>
  <si>
    <t>PE300-TG Banana 540mm x 45mic VBNHX P6</t>
  </si>
  <si>
    <t xml:space="preserve">PE300 - TG Ori 540 mm.x 45 mic. SOGHX P6 </t>
  </si>
  <si>
    <t>PE180บน UHT 200mm x 40mic Mix P3 (PCR30%)</t>
  </si>
  <si>
    <t>PE180- UHT Ori 240mm x 40mic VOG1T P4</t>
  </si>
  <si>
    <t>34cm x 45mc ไฮ่ ส้ม145ml. x 10ขวด</t>
  </si>
  <si>
    <t>09/0169</t>
  </si>
  <si>
    <t>34cm x 45mc ไฮ่ เลมอน 145ml. x 10ขวด</t>
  </si>
  <si>
    <t>12/01/69</t>
  </si>
  <si>
    <t>PE300-TG Energy 540mm x 45mic.VENHX P6</t>
  </si>
  <si>
    <t>PE300-TG Regular540mm x 45mic MRGHC P6</t>
  </si>
  <si>
    <t>11/01/69</t>
  </si>
  <si>
    <t xml:space="preserve">55cm. X 30 mc. </t>
  </si>
  <si>
    <t>บจก.ลิเนียร์ แอคทิวเอเตอร์</t>
  </si>
  <si>
    <t>13/01/69</t>
  </si>
  <si>
    <t>28cm x 45mc โสมพลัส 95ml. x 10ขวด</t>
  </si>
  <si>
    <t>14/01/69</t>
  </si>
  <si>
    <t>PE200- UHTNo S 240mm x 40mic SON1X P4</t>
  </si>
  <si>
    <t>บจก.ดอกบัวคู่</t>
  </si>
  <si>
    <t>170cm.x40mc.</t>
  </si>
  <si>
    <t>500mm.x211m.x15mc.</t>
  </si>
  <si>
    <t>15/01/69</t>
  </si>
  <si>
    <t>บจก.พีทีเค เทรดเดอร์ (โรงสีพูนศักดิ์)</t>
  </si>
  <si>
    <t>500mm.x1800m.x15mc.</t>
  </si>
  <si>
    <t>PE300-TG Regular540mm x 45mic VRGHW P6</t>
  </si>
  <si>
    <t>บมจ.เอสซีจี เซรามิกส์</t>
  </si>
  <si>
    <t>42 cm. X 65-70 mc.</t>
  </si>
  <si>
    <t>PE300 - TG Mti G 540 mm.x 45 mic. MMGHX P6</t>
  </si>
  <si>
    <t>16/01/69</t>
  </si>
  <si>
    <t xml:space="preserve">20cm x 35mc. </t>
  </si>
  <si>
    <t>52 cm. x 55mc. อเมซอน แบล็ค ไม่มีน้ำตาล 200มล.</t>
  </si>
  <si>
    <t>54cm. x  60mc.สีแดง</t>
  </si>
  <si>
    <t>17/01/69</t>
  </si>
  <si>
    <t>19/01/69</t>
  </si>
  <si>
    <t>PE230 - UHTNo S  215mm x 40mic SUN2T P6</t>
  </si>
  <si>
    <t>18/01/69</t>
  </si>
  <si>
    <t>20/01/69</t>
  </si>
  <si>
    <t>40 cm. X 75 mc.</t>
  </si>
  <si>
    <t>21/01/69</t>
  </si>
  <si>
    <t xml:space="preserve">39cm.  X 40 mc นมไทยเดนมาร์ค โอเมก้าพลัส รสจืด 180ml. </t>
  </si>
  <si>
    <t>22/01/69</t>
  </si>
  <si>
    <t>หจก.เยื่อไผ่ พริ้นติ้ง</t>
  </si>
  <si>
    <t>52cm. x  80mc.</t>
  </si>
  <si>
    <t>23/01/69</t>
  </si>
  <si>
    <t>PE200บน UHT 240mm x 40mic Mix P4 (PCR30%)</t>
  </si>
  <si>
    <t xml:space="preserve">30cm x 45mc. </t>
  </si>
  <si>
    <t>120cm.x120cm. /150 mc.</t>
  </si>
  <si>
    <t>26/01/69</t>
  </si>
  <si>
    <t>54cm. x  75mc.</t>
  </si>
  <si>
    <t>27cm. x 40 mc.นมปรุงแต่ง UHT  4 x 225 ml.(รสช็อคโกแลต)</t>
  </si>
  <si>
    <t>56 cm. x 55mc. บอส อเมริกาโน 230มล.</t>
  </si>
  <si>
    <t>56 cm. x 55mc. บอส ยูซุ แบล็ค 230มล.</t>
  </si>
  <si>
    <t>25/01/69</t>
  </si>
  <si>
    <t>24/01/69</t>
  </si>
  <si>
    <t>28/01/69</t>
  </si>
  <si>
    <t>500mm.x400m.x12mc.PCR45%</t>
  </si>
  <si>
    <t>27/01/69</t>
  </si>
  <si>
    <t>34 cm. X 55 mc.</t>
  </si>
  <si>
    <t>บจก.เมย์ยูเม แมนูแฟคเจอริ่ง (ประเทศไทย)</t>
  </si>
  <si>
    <t>29/01/69</t>
  </si>
  <si>
    <t>PE230บน UHT No S 250mm x 40mic SUN2E P09</t>
  </si>
  <si>
    <t>30cm x 45mc. แถบข้างจุดไข่ปลา</t>
  </si>
  <si>
    <t>บจก.แอโร เซลล์ แอนด์ เนจิเนียริ่ง</t>
  </si>
  <si>
    <t>31/01/69</t>
  </si>
  <si>
    <t>PE180- UHT VitaP+M 240mm x 40mic VPM1T P4</t>
  </si>
  <si>
    <t>30/01/69</t>
  </si>
  <si>
    <t>PE200- UHT Ori 240mm x 40mic VOG1T P4</t>
  </si>
  <si>
    <t>PE200- UHT Cocoa 240mm x 40mic SCC1X P4</t>
  </si>
  <si>
    <t xml:space="preserve">65cm. X 85 mc. </t>
  </si>
  <si>
    <t>34 cm. X 50 mc.</t>
  </si>
  <si>
    <t>บจก.ไทยน้ำทิพย์ คอร์ปอเรชั่น(ขอนแก่น)</t>
  </si>
  <si>
    <t>บิลBSS</t>
  </si>
  <si>
    <t>* 42x42x40"/70 mc.</t>
  </si>
  <si>
    <t>* 42x42x35"/70 mc.</t>
  </si>
  <si>
    <t>42x42x26"/70mc.</t>
  </si>
  <si>
    <t>32x43x22"/70 mc.</t>
  </si>
  <si>
    <t>32x43x30"/70 mc.</t>
  </si>
  <si>
    <t>30x52x32"/70 mc.</t>
  </si>
  <si>
    <t>500mm.x116m.x15mc.</t>
  </si>
  <si>
    <t>500mm.x174m.x15mc.</t>
  </si>
  <si>
    <t>500mm.x181m.x15mc.</t>
  </si>
  <si>
    <t>500mm.x198m.x17mc.</t>
  </si>
  <si>
    <t>500mm.x204m.x17mc.</t>
  </si>
  <si>
    <t>500mm.x224m.x15mc.</t>
  </si>
  <si>
    <t>500mm.x232m.x15mc.</t>
  </si>
  <si>
    <t>500mm.x236m.x17mc.</t>
  </si>
  <si>
    <t>500mm.x239m.x15mc.</t>
  </si>
  <si>
    <t>500mm.x283m.x15mc.</t>
  </si>
  <si>
    <t>500mm.x290m.x15mc.</t>
  </si>
  <si>
    <t>บจก.เจ.เอส.อุตสาหกรรมพลาสติก</t>
  </si>
  <si>
    <t>21cm.x50mc.</t>
  </si>
  <si>
    <t>19/1/69</t>
  </si>
  <si>
    <t>* 124x124x141 cm./90 mc.</t>
  </si>
  <si>
    <t>*145x145x110cm./100/50mc.</t>
  </si>
  <si>
    <t>6/1/69</t>
  </si>
  <si>
    <t xml:space="preserve"> สรุปยอดขาย</t>
  </si>
  <si>
    <t>บริษัทเบสท์เวิลด์ อินเตอร์พลาส จำกัด</t>
  </si>
  <si>
    <t>BEST WORLD INTERPLAS CO.,LTD.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</si>
  <si>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</si>
  <si>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</si>
  <si>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</si>
  <si>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</si>
  <si>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</si>
  <si>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</si>
  <si>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</si>
  <si>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</si>
  <si>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</si>
  <si>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</si>
  <si>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</si>
  <si>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</si>
  <si>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บริษัท</t>
  </si>
  <si>
    <t>ไทยน้ำทิพย์</t>
  </si>
  <si>
    <t>ที.ซีฟาร์มาฯ</t>
  </si>
  <si>
    <t>หาดทิพย์</t>
  </si>
  <si>
    <t>โอสถสภา</t>
  </si>
  <si>
    <t>กรีนสปอต</t>
  </si>
  <si>
    <t>โตโยไซกัน</t>
  </si>
  <si>
    <t>เสริมสุข</t>
  </si>
  <si>
    <t>สยามอุตสาหกรรมวัสดุทนไฟ</t>
  </si>
  <si>
    <t xml:space="preserve">ฟรีสแลนด์คัมพิน่า </t>
  </si>
  <si>
    <t>เอ็มเอ็มพี คอร์ปอเรชั่น</t>
  </si>
  <si>
    <t xml:space="preserve">ทิพย์นที (2005) </t>
  </si>
  <si>
    <t>กรีนสวิลล์</t>
  </si>
  <si>
    <t>สหกรณ์โคนมหนองโพ</t>
  </si>
  <si>
    <t>แอดวานซ์ โนเลดจ์ เซอร์วิสเซส</t>
  </si>
  <si>
    <t>เถิงธงพานิชย์</t>
  </si>
  <si>
    <t>เซเว่นสตาร์</t>
  </si>
  <si>
    <t>ขายยาเพ็ญภาค</t>
  </si>
  <si>
    <t>เอ็น พลัส ชัพพลาย</t>
  </si>
  <si>
    <t>ฐิติภัณฑ์ อินเตอร์พลัส</t>
  </si>
  <si>
    <t>ทิปโก้</t>
  </si>
  <si>
    <t>สุรใจฟู้ดส์อินดัสทรี</t>
  </si>
  <si>
    <t xml:space="preserve">ยูนิ-เพรสซิเดนท์ </t>
  </si>
  <si>
    <t>สยามไฟเบอร์ซีเมนต์กรุ๊ป</t>
  </si>
  <si>
    <t>จอมธนา</t>
  </si>
  <si>
    <t xml:space="preserve">เพชรพาณิชย์ เบฟเวอเรจ </t>
  </si>
  <si>
    <t>พิริยะพลาส</t>
  </si>
  <si>
    <t>จี-แฟน โกรอิง</t>
  </si>
  <si>
    <t>พลอยพรรณราย อินดัสตรี</t>
  </si>
  <si>
    <t>สยามกลาสอยุธยา</t>
  </si>
  <si>
    <t>ชิโคะคุ</t>
  </si>
  <si>
    <t>ที.ที.วิน เอ็นจิเนียริ่ง</t>
  </si>
  <si>
    <t>เอสซีจี เซรามิกส์</t>
  </si>
  <si>
    <t>ซันสวีท</t>
  </si>
  <si>
    <t xml:space="preserve">THAI NISSHIN SEIFUN </t>
  </si>
  <si>
    <t>ไวตาสกายเทคโนโลยีความแม่นยำ (ประเทศไทย)</t>
  </si>
  <si>
    <t>เจ.เอส.อุตสาหกรรมพลาสติก</t>
  </si>
  <si>
    <t>น้ำมันบริโภค</t>
  </si>
  <si>
    <t>เยื่อไผ่ พริ้นติ้ง</t>
  </si>
  <si>
    <t>สุพิศ การพัฒน์</t>
  </si>
  <si>
    <t>ลิเนียร์ แอคทิวเอเตอร์</t>
  </si>
  <si>
    <t>ธาริน แอพไพรซัล</t>
  </si>
  <si>
    <t>ดอกบัวคู่</t>
  </si>
  <si>
    <t>พีทีเค เทรดเดอร์ (โรงสีพูนศักดิ์)</t>
  </si>
  <si>
    <t>เมย์ยูเม แมนูแฟคเจอริ่ง (ประเทศไทย)</t>
  </si>
  <si>
    <t>แอโร เซลล์ แอนด์ เนจิเนียริ่ง</t>
  </si>
  <si>
    <t>ลำดับที่</t>
  </si>
  <si>
    <t>ลูกค้า</t>
  </si>
  <si>
    <t>ม้วนใส (กก.)</t>
  </si>
  <si>
    <t>ม้วนพิมพ์ (กก.)</t>
  </si>
  <si>
    <t>ถุงคลุม/ชีท (กก.)</t>
  </si>
  <si>
    <t>ฟิล์มยืด(กก.)</t>
  </si>
  <si>
    <t>ถุงหลอด(กก.)</t>
  </si>
  <si>
    <t>รวม  (กก.)</t>
  </si>
  <si>
    <t>หมายเหตุ</t>
  </si>
  <si>
    <t>1สี (กก.)</t>
  </si>
  <si>
    <t>2สี (กก.)</t>
  </si>
  <si>
    <t>3สี (กก.)</t>
  </si>
  <si>
    <t>4สี (กก.)</t>
  </si>
  <si>
    <t>8สี (กก.)</t>
  </si>
  <si>
    <t>รวม (กก.)</t>
  </si>
  <si>
    <t>BWP</t>
  </si>
  <si>
    <t>ว่องไท</t>
  </si>
  <si>
    <t>ผลิตเอง (กก.)</t>
  </si>
  <si>
    <t>จำนวน( ใบ.)</t>
  </si>
  <si>
    <t>จ้างภายนอก (กก.)</t>
  </si>
  <si>
    <t>ผลรวม</t>
  </si>
  <si>
    <t>WT</t>
  </si>
  <si>
    <t>สรุปยอดขายแยกประเภทสินค้าประจำปี 2568</t>
  </si>
  <si>
    <t>สรุปงานพิมพ์ ประจำปี 2568</t>
  </si>
  <si>
    <t>สรุป Supplier งานพิมพ์ ประจำปี 2568</t>
  </si>
  <si>
    <t>ถุงคลุม/ชีท ประจำปี 2568</t>
  </si>
  <si>
    <t>เดือน</t>
  </si>
  <si>
    <t>ฟิล์มยืด(กก,)</t>
  </si>
  <si>
    <r>
      <t>สรุปยอดขายแยกประเภทสินค้าประจำปี 2567</t>
    </r>
    <r>
      <rPr>
        <b/>
        <sz val="20"/>
        <color rgb="FFFF0000"/>
        <rFont val="Angsana New"/>
        <family val="1"/>
      </rPr>
      <t xml:space="preserve"> (%)</t>
    </r>
  </si>
  <si>
    <r>
      <t xml:space="preserve">สรุปงานพิมพ์ ประจำปี 2567 </t>
    </r>
    <r>
      <rPr>
        <b/>
        <sz val="20"/>
        <color rgb="FFFF0000"/>
        <rFont val="Angsana New"/>
        <family val="1"/>
      </rPr>
      <t>(%)</t>
    </r>
  </si>
  <si>
    <r>
      <t xml:space="preserve">สรุป Supplier งานพิมพ์ ประจำปี 2567 </t>
    </r>
    <r>
      <rPr>
        <b/>
        <sz val="20"/>
        <color rgb="FFFF0000"/>
        <rFont val="Angsana New"/>
        <family val="1"/>
      </rPr>
      <t>(%)</t>
    </r>
  </si>
  <si>
    <r>
      <t>ถุงคลุม/ชีท ประจำปี 2567</t>
    </r>
    <r>
      <rPr>
        <b/>
        <sz val="20"/>
        <color rgb="FFFF0000"/>
        <rFont val="Angsana New"/>
        <family val="1"/>
      </rPr>
      <t xml:space="preserve"> (%)</t>
    </r>
  </si>
  <si>
    <t>รายการขายสินค้าประจำเดือน มกราคม 2569</t>
  </si>
  <si>
    <t>งานพิมพ์ประจำเดือน  มกราคม 2569</t>
  </si>
  <si>
    <t>Supplier งานพิมพ์ประจำเดือน  มกราคม 2569</t>
  </si>
  <si>
    <t>ถุงคลุม/ชีท ประจำเดือน  มกราคม 2569</t>
  </si>
  <si>
    <t xml:space="preserve">PE180 UHT A-Oat 240mm x 40mic VPS1T P4 </t>
  </si>
  <si>
    <t>ปี57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</si>
  <si>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</si>
  <si>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</si>
  <si>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</si>
  <si>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</si>
  <si>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</si>
  <si>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</si>
  <si>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</si>
  <si>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</si>
  <si>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</si>
  <si>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</si>
  <si>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</si>
  <si>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</si>
  <si>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ยอดขาย(กก.)</t>
  </si>
  <si>
    <t>มูลค่าขาย(บาท)</t>
  </si>
  <si>
    <t>ม.ค.68</t>
  </si>
  <si>
    <t>ก.พ.68</t>
  </si>
  <si>
    <t>มี.ค.68</t>
  </si>
  <si>
    <t>เม.ย.68</t>
  </si>
  <si>
    <t>พ.ค.68</t>
  </si>
  <si>
    <t>มิ.ย.68</t>
  </si>
  <si>
    <t>ก.ค.68</t>
  </si>
  <si>
    <t>ส.ค.68</t>
  </si>
  <si>
    <t>ก.ย.68</t>
  </si>
  <si>
    <t>ต.ค.68</t>
  </si>
  <si>
    <t>พ.ย.68</t>
  </si>
  <si>
    <t>ธ.ค.68</t>
  </si>
  <si>
    <r>
      <t xml:space="preserve">* </t>
    </r>
    <r>
      <rPr>
        <b/>
        <i/>
        <sz val="18"/>
        <color rgb="FFFF0000"/>
        <rFont val="Angsana New"/>
        <family val="1"/>
      </rPr>
      <t>หมายเหตุ</t>
    </r>
    <r>
      <rPr>
        <b/>
        <sz val="18"/>
        <color rgb="FFFF0000"/>
        <rFont val="Angsana New"/>
        <family val="1"/>
      </rPr>
      <t xml:space="preserve"> : มูลค่าดังกล่าวไม่รวมภาษี 7% ไม่รวมเพิ่มหนี้,ลดหนี้,ไม่รวมค่าพิมพ์และค่าแม่พิมพ์</t>
    </r>
  </si>
  <si>
    <t>ม.ค.69</t>
  </si>
  <si>
    <t>ก.พ.69</t>
  </si>
  <si>
    <t>มี.ค.69</t>
  </si>
  <si>
    <t>เม.ย.69</t>
  </si>
  <si>
    <t>มิ.ย.69</t>
  </si>
  <si>
    <t>พ.ค.69</t>
  </si>
  <si>
    <t>ก.ค.69</t>
  </si>
  <si>
    <t>ส.ค.69</t>
  </si>
  <si>
    <t>ก.ย.69</t>
  </si>
  <si>
    <t>ต.ค.69</t>
  </si>
  <si>
    <t>พ.ย.69</t>
  </si>
  <si>
    <t>ธ.ค.69</t>
  </si>
  <si>
    <t>:กราฟแสดงตารางเปรียบเทียบยอดขายระหว่าง เดือน ม.ค.- ธ.ค. ปี 68-69</t>
  </si>
  <si>
    <t>:กราฟแสดงตารางเปรียบเทียบมูลค่าขายระหว่าง เดือน ม.ค.- ธ.ค. ปี ปี 68-69</t>
  </si>
  <si>
    <t>ปี69</t>
  </si>
  <si>
    <t>ปี68</t>
  </si>
  <si>
    <t>28/02/69</t>
  </si>
  <si>
    <t>12/02/69</t>
  </si>
  <si>
    <t>34 cm. x 45 mc.</t>
  </si>
  <si>
    <t>03/02/69</t>
  </si>
  <si>
    <t>02/02/69</t>
  </si>
  <si>
    <t>05/02/69</t>
  </si>
  <si>
    <t>11/02/69</t>
  </si>
  <si>
    <t>10/02/69</t>
  </si>
  <si>
    <t>13/02/69</t>
  </si>
  <si>
    <t>17/02/69</t>
  </si>
  <si>
    <t>18/02/69</t>
  </si>
  <si>
    <t>20/02/69</t>
  </si>
  <si>
    <t>23/02/69</t>
  </si>
  <si>
    <t>21/02/69</t>
  </si>
  <si>
    <t>24/02/69</t>
  </si>
  <si>
    <t>25/02/69</t>
  </si>
  <si>
    <t>27/02/69</t>
  </si>
  <si>
    <t>54 cm. x 45 mc.(PCR30%)</t>
  </si>
  <si>
    <t>09/02/69</t>
  </si>
  <si>
    <t>16/02/69</t>
  </si>
  <si>
    <t>04/02/69</t>
  </si>
  <si>
    <t>26/02/69</t>
  </si>
  <si>
    <t>06/02/69</t>
  </si>
  <si>
    <t>58cm x 45mc  RB Classic 250ml.MY 2024</t>
  </si>
  <si>
    <t>34cm x 45mc กระทิงแดง 145ml. (ขวดกลม)</t>
  </si>
  <si>
    <t>07/02/69</t>
  </si>
  <si>
    <t>51 cm. x 65 mc.สปอนเซอร์ แอคทีฟ วิตามินซี 250มล.x6ขวด</t>
  </si>
  <si>
    <t>57cm. x  75mc.</t>
  </si>
  <si>
    <t>57cm. x  80mc.(สีแดง)</t>
  </si>
  <si>
    <t>19/02/69</t>
  </si>
  <si>
    <t>33 cm. X 55 mc.</t>
  </si>
  <si>
    <t>08/02/69</t>
  </si>
  <si>
    <t>22/02/69</t>
  </si>
  <si>
    <t>PE250บน UHT 215mm x 40mic Mix P3,6,12 (PCR30%)</t>
  </si>
  <si>
    <t>PE250 - UHTLow S 215mm x 40mic VLS2T P6</t>
  </si>
  <si>
    <t>PE250 - UHT Dchoco 215mm x 40mic VDC2X P6</t>
  </si>
  <si>
    <t xml:space="preserve">PE180 UHT VitaP 240mm x 40mic VPS1T P4 </t>
  </si>
  <si>
    <t>PE180- UHT Dchoco 240mm x 40mic VDC1P P4</t>
  </si>
  <si>
    <t>PE200-UHT DBlack 240mm x 40mic  VDB1E P4</t>
  </si>
  <si>
    <t>PE125- UHT Dchoco 380mm x 40mic CDC0S P6</t>
  </si>
  <si>
    <t>PE300-TG Regular540mm x 45mic MRGHX P6 (PCR30%)</t>
  </si>
  <si>
    <t>11/02/68</t>
  </si>
  <si>
    <t>บจก. เพ็ญภาคไวเนอรี่</t>
  </si>
  <si>
    <t>18/02//69</t>
  </si>
  <si>
    <t>บมจ.เสริมสุข(ชลบุรี)</t>
  </si>
  <si>
    <t>20cm. x 40 mc.</t>
  </si>
  <si>
    <t>50 cm. x 55mc.</t>
  </si>
  <si>
    <t>60 cm. x 55mc.</t>
  </si>
  <si>
    <t>จำนวน(เมตร.)</t>
  </si>
  <si>
    <t>360 mm. x 55mc.</t>
  </si>
  <si>
    <t>52 cm. x 55mc. อเมซอน ลาเต้ 200มล.</t>
  </si>
  <si>
    <t>52 cm. x 55mc. อเมซอน แบล็ค ฮันนี่เลมอน 200มล.</t>
  </si>
  <si>
    <t>54 cm. x 55mc. Innococo</t>
  </si>
  <si>
    <t>340 mm. x 35 mc.</t>
  </si>
  <si>
    <t>20cm x 35mc. Smart Goat</t>
  </si>
  <si>
    <t>20cm x 35mc. แถบข้างจุดไข่ปลา</t>
  </si>
  <si>
    <t>135cm. X 135cm.x 110cm./50 mc.</t>
  </si>
  <si>
    <t>36cm. X 60 mc.</t>
  </si>
  <si>
    <t>38cm. X 60 mc.</t>
  </si>
  <si>
    <t>บจก.ปูนซิเมนต์ไทย(ท่าหลวง)(โรงงานเขาวง)</t>
  </si>
  <si>
    <t>160cm.x160cm./70mc</t>
  </si>
  <si>
    <t>160cm.x160cm./100mc</t>
  </si>
  <si>
    <t xml:space="preserve">48.5cm. X 30 mc. </t>
  </si>
  <si>
    <t>บจก. ยูเนี่ยนสเตนเลสสตีล โปรดักส์</t>
  </si>
  <si>
    <t>500mm.x224m.x17mc.</t>
  </si>
  <si>
    <t>23/02/9</t>
  </si>
  <si>
    <t>บมจ.ผลิตภัณฑ์ตราเพชร</t>
  </si>
  <si>
    <t>40cm. X 80mc.ไดมอนบอร์ด ตราเพชร</t>
  </si>
  <si>
    <t>บจก.ทรัพย์สุภา อินเตอร์เทรด</t>
  </si>
  <si>
    <t>150cm X 170cm.x140cm./50mc.</t>
  </si>
  <si>
    <t>บจก.ปิยวัฒน์ซีเมนต์บล็อค</t>
  </si>
  <si>
    <t>500mm X 570m.15mc.</t>
  </si>
  <si>
    <t>บจก.สยาม แกรนด์-เทค</t>
  </si>
  <si>
    <t>120cm X 120cmx.150cm./50mc.</t>
  </si>
  <si>
    <t>บจก.ฐิติรัตน์</t>
  </si>
  <si>
    <t>94cm X25mc.</t>
  </si>
  <si>
    <t>84cm X25mc.</t>
  </si>
  <si>
    <t>104cm X25mc.</t>
  </si>
  <si>
    <t>38cm X60-70mc.เกรดB</t>
  </si>
  <si>
    <t>500mm X 300m x.15mc.</t>
  </si>
  <si>
    <t>บจก.โรงงานแม่รวย</t>
  </si>
  <si>
    <t>30cm. X 50mc.</t>
  </si>
  <si>
    <t>บจก.ทีวี ซัพพลาย เอวี เซ็นเตอร์</t>
  </si>
  <si>
    <t>35cm x 60mc.</t>
  </si>
  <si>
    <t>40cm x 70-75mc.</t>
  </si>
  <si>
    <t>Beiedorf (Thailand)</t>
  </si>
  <si>
    <t>16"x24"x0.15mm.</t>
  </si>
  <si>
    <t>23"x30"x0.15mm.</t>
  </si>
  <si>
    <t>30"x45"x0.15mm.</t>
  </si>
  <si>
    <t>นายณัฐพงษ์ มินา</t>
  </si>
  <si>
    <t>บจก.ซีน่า วอเตอร์</t>
  </si>
  <si>
    <t>40cm.x65mc.</t>
  </si>
  <si>
    <t>43cm.x40mc.ไม้เชิงชาย SCG ซุปเปอร์โมเลกุลไลท์</t>
  </si>
  <si>
    <t>56cm.x40mc.ไม้ฝา SCG</t>
  </si>
  <si>
    <t>บจก.น้ำดื่ม เอสเอ็ม</t>
  </si>
  <si>
    <t>บจก.แม็คคอร์มิค (ประเทศไทย)</t>
  </si>
  <si>
    <t>22cm.x 40mc.</t>
  </si>
  <si>
    <t>28cm.x40mc.</t>
  </si>
  <si>
    <t>PE200-UHT Mti G 240 mm.x 40 mic. SMN1X P4</t>
  </si>
  <si>
    <t>135cm. X 135cm X 110 mc. / 50mc.</t>
  </si>
  <si>
    <t>160cm.x160cm. /100 mc.</t>
  </si>
  <si>
    <t>160cm.x160cm. /70 mc.</t>
  </si>
  <si>
    <t>130cm.x130cm. /100 mc.</t>
  </si>
  <si>
    <t xml:space="preserve">150cm. X 170cm. X 140cm. /50 mc. </t>
  </si>
  <si>
    <t>500mm.x570m.x15mc.</t>
  </si>
  <si>
    <t>120cm. X 120cm. X 150 cm./50mc.</t>
  </si>
  <si>
    <t>250mm x 600m x15mc</t>
  </si>
  <si>
    <t>16/2/69</t>
  </si>
  <si>
    <t>25.5cm. x 50 mc.</t>
  </si>
  <si>
    <t>2/2/69</t>
  </si>
  <si>
    <t>เพ็ญภาคไวเนอรี่</t>
  </si>
  <si>
    <t>ปูนซิเมนต์ไทย(ท่าหลวง)(โรงงานเขาวง)</t>
  </si>
  <si>
    <t>ยูเนี่ยนสเตนเลสสตีล โปรดักส์</t>
  </si>
  <si>
    <t>ผลิตภัณฑ์ตราเพชร</t>
  </si>
  <si>
    <t>ทรัพย์สุภา อินเตอร์เทรด</t>
  </si>
  <si>
    <t>ปิยวัฒน์ซีเมนต์บล็อค</t>
  </si>
  <si>
    <t>สยาม แกรนด์-เทค</t>
  </si>
  <si>
    <t>ฐิติรัตน์</t>
  </si>
  <si>
    <t>บจก.ลัคซูรี่ ดีไวซ์</t>
  </si>
  <si>
    <t>ลัคซูรี่ ดีไวซ์</t>
  </si>
  <si>
    <t>โรงงานแม่รวย</t>
  </si>
  <si>
    <t>ทีวี ซัพพลาย เอวี เซ็นเตอร์</t>
  </si>
  <si>
    <t>ซีน่า วอเตอร์</t>
  </si>
  <si>
    <t>น้ำดื่ม เอสเอ็ม</t>
  </si>
  <si>
    <t>แม็คคอร์มิค</t>
  </si>
  <si>
    <t>รายการขายสินค้าประจำเดือน กุมภาพันธ์ 2569</t>
  </si>
  <si>
    <t>งานพิมพ์ประจำเดือน กุมภาพันธ์  2569</t>
  </si>
  <si>
    <t>Supplier งานพิมพ์ประจำเดือน กุมภาพันธ์  2569</t>
  </si>
  <si>
    <t>ถุงคลุม/ชีท ประจำเดือน กุมภาพันธ์  2569</t>
  </si>
  <si>
    <t>03/03/69</t>
  </si>
  <si>
    <t>21/03/69</t>
  </si>
  <si>
    <t>05/03/69</t>
  </si>
  <si>
    <t>06/03/69</t>
  </si>
  <si>
    <t>10/03/69</t>
  </si>
  <si>
    <t>11/03/69</t>
  </si>
  <si>
    <t>13/03/69</t>
  </si>
  <si>
    <t>16/03/69</t>
  </si>
  <si>
    <t>14/03/69</t>
  </si>
  <si>
    <t>17/03/69</t>
  </si>
  <si>
    <t>18/03/69</t>
  </si>
  <si>
    <t>20/03/69</t>
  </si>
  <si>
    <t>19/03/69</t>
  </si>
  <si>
    <t>23/03/69</t>
  </si>
  <si>
    <t>24/03/69</t>
  </si>
  <si>
    <t>25/03/69</t>
  </si>
  <si>
    <t>31/03/69</t>
  </si>
  <si>
    <t>30/03/69</t>
  </si>
  <si>
    <t>28/03/69</t>
  </si>
  <si>
    <t>07/03/69</t>
  </si>
  <si>
    <t>32cm x 45mc KTD EXTRA ABC 145ml. PCR30%</t>
  </si>
  <si>
    <t>04/03/69</t>
  </si>
  <si>
    <t>12/03/69</t>
  </si>
  <si>
    <t>27/03/69</t>
  </si>
  <si>
    <t>41cm x 50mc  RBX 170ml. 2026</t>
  </si>
  <si>
    <t>26/03/69</t>
  </si>
  <si>
    <t>02/03/69</t>
  </si>
  <si>
    <t>34cm x 45mc ไฮ่ พิงค์พันซ์ 145ml. x 10ขวด</t>
  </si>
  <si>
    <t>34cm x 45mc กระทิงแดงเอ็กซ์ตร้า ซิงค์ (ขวดกลม) 145ml.</t>
  </si>
  <si>
    <t>09/03/69</t>
  </si>
  <si>
    <t>50cm. x  75mc. (สีแดง)</t>
  </si>
  <si>
    <t>50cm. x  80mc. (สีแดง)</t>
  </si>
  <si>
    <t>44 cm. x  45mc.</t>
  </si>
  <si>
    <t>15/03/69</t>
  </si>
  <si>
    <t>01/03/69</t>
  </si>
  <si>
    <t>08/03/69</t>
  </si>
  <si>
    <t>29/03/69</t>
  </si>
  <si>
    <t>22/03/69</t>
  </si>
  <si>
    <t>PE250 - UHT Regula 215mm x 40mic VRG2X P6</t>
  </si>
  <si>
    <t>PE180- UHT No S 240mm x 40mic CLU1T P4</t>
  </si>
  <si>
    <t xml:space="preserve">PE300-TG Regular540mm x 45mic VRGHW P6 </t>
  </si>
  <si>
    <t>PE300-TG Regular540mm x 45mic VRGHX P6</t>
  </si>
  <si>
    <t>04//03/69</t>
  </si>
  <si>
    <t>PE300 - TG Ori 540 mm.x 45 mic. SOGHX P6</t>
  </si>
  <si>
    <t>25cm. x 40 mc.นมปรุงแต่ง UHT รสช็อคโกแลต 4 x180 ml.</t>
  </si>
  <si>
    <t>25cm. x 40 mc.นมปรุงแต่ง UHT  4 x 180 ml.(รสจืด)</t>
  </si>
  <si>
    <t>27cm. x 40 mc.นมปรุงแต่ง UHT  4 x 225 ml.</t>
  </si>
  <si>
    <t>48 cm. x 60mc.</t>
  </si>
  <si>
    <t>56 mc. x 55mc.ESPCon. Unsweet</t>
  </si>
  <si>
    <t xml:space="preserve"> 210cm. X 50mc.</t>
  </si>
  <si>
    <t>42 cm. X 60-70 mc.</t>
  </si>
  <si>
    <t>500 mm. x 300m.x15mc.</t>
  </si>
  <si>
    <t xml:space="preserve">50cm. X 80 mc. </t>
  </si>
  <si>
    <t xml:space="preserve">65cm. X 30 mc. </t>
  </si>
  <si>
    <t xml:space="preserve">70cm. X 80 mc. </t>
  </si>
  <si>
    <t xml:space="preserve">75cm. X 80 mc. </t>
  </si>
  <si>
    <t>สุโขทัย</t>
  </si>
  <si>
    <t>75cm. X 60-70mc.(เจาะรู)</t>
  </si>
  <si>
    <t>21cm.x40mc.โคโค่นัท มิลค์ ดริ้งค์</t>
  </si>
  <si>
    <t>บจก.ไทยอินเตอร์เนชั่นแนล ด็อคยาร์ด</t>
  </si>
  <si>
    <t>54cm.x140mc.(ม้วนท่อ)</t>
  </si>
  <si>
    <t>บจก.ซีที.คาร์ตอน แอนด์ แพคเกจจิ้ง ซัพพลาย</t>
  </si>
  <si>
    <t>บจก.คาเนมัทสุ สเปเชียล สลีล เซอร์วิส</t>
  </si>
  <si>
    <t>จำนวน(งาน)</t>
  </si>
  <si>
    <t>ค่ามัดจำสินค้า งวดที่ 1 (50%) LDPE BAG 100x150x100cm./50mc.</t>
  </si>
  <si>
    <t>100x150x100cm./50mc.</t>
  </si>
  <si>
    <t>บจก.ซอร์ อินดี้ เอ็นจิเนียริ่ง</t>
  </si>
  <si>
    <t>40cm.x70 mc.</t>
  </si>
  <si>
    <t>บจก.โพลิเมอร์เอเชีย (ประเทศไทย)</t>
  </si>
  <si>
    <t>บจก.เอส.ซี.เอซ.อินดัสตรี้</t>
  </si>
  <si>
    <t>20cm.x75-80 mc.</t>
  </si>
  <si>
    <t>บจก.ชนากร อินดัสตรี้</t>
  </si>
  <si>
    <t>บจก.อินคาวอเตอร์</t>
  </si>
  <si>
    <t>38cm.x60-65 mc.</t>
  </si>
  <si>
    <t>40cm.x60-65 mc.</t>
  </si>
  <si>
    <t>บจก.บีบีซี คอนเทนเนอร์ กรุ๊ป</t>
  </si>
  <si>
    <t>13/3/69</t>
  </si>
  <si>
    <t>32cm x 45mc SHK Film KTD Extra Zn 145ml 25 R1 PCR</t>
  </si>
  <si>
    <t xml:space="preserve">PE180 UHT Almond 200mm x 40mic SAL1T P3 </t>
  </si>
  <si>
    <t>PE180 UHT Paitac 200mm x 40mic SPI1T P3</t>
  </si>
  <si>
    <t>ยูนิ-เพรสซิเดนท์</t>
  </si>
  <si>
    <t>ไทยอินเตอร์เนชั่นแนล ด็อคยาร์ด</t>
  </si>
  <si>
    <t>ซีที.คาร์ตอน แอนด์ แพคเกจจิ้ง ซัพพลาย</t>
  </si>
  <si>
    <t>คาเนมัทสุ สเปเชียล สลีล เซอร์วิส</t>
  </si>
  <si>
    <t>ซอร์ อินดี้ เอ็นจิเนียริ่ง</t>
  </si>
  <si>
    <t>โพลิเมอร์เอเชีย</t>
  </si>
  <si>
    <t>เอส.ซี.เอซ.อินดัสตรี้</t>
  </si>
  <si>
    <t>ชนากร อินดัสตรี้</t>
  </si>
  <si>
    <t>อินคาวอเตอร์</t>
  </si>
  <si>
    <t>บีบีซี คอนเทนเนอร์ กรุ๊ป</t>
  </si>
  <si>
    <t>รายการขายสินค้าประจำเดือน มีนาคม 2569</t>
  </si>
  <si>
    <t>งานพิมพ์ประจำเดือน มีนาคม 2569</t>
  </si>
  <si>
    <t>Supplier งานพิมพ์ประจำเดือน มีนาคม 2569</t>
  </si>
  <si>
    <t>ถุงคลุม/ชีท ประจำเดือน มีนาคม 2569</t>
  </si>
  <si>
    <t>6สี (กก.)</t>
  </si>
  <si>
    <t xml:space="preserve">PE110 - UHT Dchoco 380 mm. x 40 mic. CDC0S P6 </t>
  </si>
  <si>
    <t>45cm. X  40mc. Logo 6x180ml.</t>
  </si>
  <si>
    <t>BWP/WT</t>
  </si>
  <si>
    <t>10/04/69</t>
  </si>
  <si>
    <t>28 cm. x 45 mc.</t>
  </si>
  <si>
    <t>02/04/69</t>
  </si>
  <si>
    <t>31 cm. x 45 mc.(PCR30%)</t>
  </si>
  <si>
    <t>03/04/69</t>
  </si>
  <si>
    <t>07/04/69</t>
  </si>
  <si>
    <t>08/04/69</t>
  </si>
  <si>
    <t>16/04/69</t>
  </si>
  <si>
    <t>17/04/69</t>
  </si>
  <si>
    <t>18/04/69</t>
  </si>
  <si>
    <t>21/04/69</t>
  </si>
  <si>
    <t>22/04/69</t>
  </si>
  <si>
    <t>23/04/69</t>
  </si>
  <si>
    <t>25/04/69</t>
  </si>
  <si>
    <t>24/04/69</t>
  </si>
  <si>
    <t>28/04/69</t>
  </si>
  <si>
    <t>29/04/69</t>
  </si>
  <si>
    <t>30/04/69</t>
  </si>
  <si>
    <t>01/04/69</t>
  </si>
  <si>
    <t>04/04/69</t>
  </si>
  <si>
    <t>41 cm. x 50 mc.</t>
  </si>
  <si>
    <t>50 cm. x 65mc.</t>
  </si>
  <si>
    <t>09/04/69</t>
  </si>
  <si>
    <t>20/04/69</t>
  </si>
  <si>
    <t>27/04/69</t>
  </si>
  <si>
    <t>32cm x 45mc KTD EXTRA  Zn 145ml.</t>
  </si>
  <si>
    <t>54cm x 45mc  RB LS 250ml.MY 2C</t>
  </si>
  <si>
    <t>58cm x 45mc  RB Classic 325ml.</t>
  </si>
  <si>
    <t>34cm x 45mc กระทิงแดง (ขวดกลม) 145ml.</t>
  </si>
  <si>
    <t>54cm. x  60mc.</t>
  </si>
  <si>
    <t>06/04/69</t>
  </si>
  <si>
    <t>53cm. x  80mc.(สีแดง)</t>
  </si>
  <si>
    <t>15/04/69</t>
  </si>
  <si>
    <t>05/04/69</t>
  </si>
  <si>
    <t>19/04/69</t>
  </si>
  <si>
    <t>26/04/69</t>
  </si>
  <si>
    <t>45 cm. X 70 mc.</t>
  </si>
  <si>
    <t>PE200- UHT MtiG 215mm x 40mic SMG2T P4</t>
  </si>
  <si>
    <t>07/07/69</t>
  </si>
  <si>
    <t>26 cm. x 40mc.</t>
  </si>
  <si>
    <t>53 cm. x 50mc.</t>
  </si>
  <si>
    <t xml:space="preserve"> 06/04/69</t>
  </si>
  <si>
    <t xml:space="preserve"> 220cm. X 30mc.</t>
  </si>
  <si>
    <t>125cm. x  50mc</t>
  </si>
  <si>
    <t>130cm.x130cm./100mc</t>
  </si>
  <si>
    <t>60cm.x470cm. /150mc.</t>
  </si>
  <si>
    <t>80cm.x470cm. /150mc.</t>
  </si>
  <si>
    <t>100cm.x470cm. /150mc.</t>
  </si>
  <si>
    <t>40cm.x70mc</t>
  </si>
  <si>
    <t>12"x16"x0.15mm.</t>
  </si>
  <si>
    <t>15"x22"x0.13mm.</t>
  </si>
  <si>
    <t>16"x24"x0.08mm.</t>
  </si>
  <si>
    <t>23"x30"x0.30mm.</t>
  </si>
  <si>
    <t>21cm.x40mc.เซซะมิซอย หวานน้อย</t>
  </si>
  <si>
    <t>บจก.ที เอ็น เอ็ม อินเตอร์เนชั่นแนล</t>
  </si>
  <si>
    <t>100mm.x300m.x15mc.</t>
  </si>
  <si>
    <t>42cm.x40-45mc.</t>
  </si>
  <si>
    <t>46cm.x40-45mc.</t>
  </si>
  <si>
    <t>56cm.x40-45mc.</t>
  </si>
  <si>
    <t>บจก.ลวดเชื่อมไทยฮันซ่า</t>
  </si>
  <si>
    <t>24cm.x55 mc.</t>
  </si>
  <si>
    <t>34cm.x55 mc.</t>
  </si>
  <si>
    <t>หจก.รัตนะ (ดี)</t>
  </si>
  <si>
    <t>40cm.x70 mc.(เกรดB)</t>
  </si>
  <si>
    <t>บจก.คิงสเตลล่า กรุ๊ป</t>
  </si>
  <si>
    <t>บจก.เมทเทิล เมท</t>
  </si>
  <si>
    <t>570mm.x70-80mc.</t>
  </si>
  <si>
    <t>บจก.สเปซ วอเตอร์</t>
  </si>
  <si>
    <t>40cm.x70-75mc.</t>
  </si>
  <si>
    <t>บจก.เคบี ซิสเต้มส์ (ไทยแลนด์)</t>
  </si>
  <si>
    <t>บจก.ไอ วูด อินโนเวชั่น</t>
  </si>
  <si>
    <t>บจก.ลัคซูรี่ ดิไวซ์</t>
  </si>
  <si>
    <t>250mm.x600m.x15mc.</t>
  </si>
  <si>
    <t>บจก.ยูเนี่ยนโชจิรุชิ</t>
  </si>
  <si>
    <t>500mm.x220m.x15mc.</t>
  </si>
  <si>
    <t>บจก.ฟูจิ โพลี่ (ประเทศไทย)</t>
  </si>
  <si>
    <t>80cmx480cm. /150mc.</t>
  </si>
  <si>
    <t>บจก.สยามไฟเบอร์ซีเมนต์กรุ๊ป (โรงงานท่าหลวง)</t>
  </si>
  <si>
    <t xml:space="preserve">PE180- UHT Almond 200mm x 40mic SAL1T P3 </t>
  </si>
  <si>
    <t>PE180-UHT DBlack 240mm x 40mic  VDB1E P4</t>
  </si>
  <si>
    <t>PE300- TG Mti G 540 mm.x 45 mic. SMGHI P6(PCR30%)</t>
  </si>
  <si>
    <t>PE300- TG Cocoa 540 mm.x 45 mic. SCCHI P6</t>
  </si>
  <si>
    <t>ไบเออร์สด๊อฟ</t>
  </si>
  <si>
    <t>ที เอ็น เอ็ม อินเตอร์เนชั่นแนล</t>
  </si>
  <si>
    <t>ลวดเชื่อมไทยฮันซ่า</t>
  </si>
  <si>
    <t>รัตนะ (ดี)</t>
  </si>
  <si>
    <t>คิงสเตลล่า กรุ๊ป</t>
  </si>
  <si>
    <t>เมทเทิล เมท</t>
  </si>
  <si>
    <t>สเปซ วอเตอร์</t>
  </si>
  <si>
    <t>เคบี ซิสเต้มส์ (ไทยแลนด์)</t>
  </si>
  <si>
    <t>ไอ วูด อินโนเวชั่น</t>
  </si>
  <si>
    <t>ลัคซูรี่ ดิไวซ์</t>
  </si>
  <si>
    <t>ยูเนี่ยนโชจิรุชิ</t>
  </si>
  <si>
    <t>ฟูจิ โพลี่ (ประเทศไทย)</t>
  </si>
  <si>
    <t>รายการขายสินค้าประจำเดือน เมษายน 2569</t>
  </si>
  <si>
    <t>ถุงคลุม/ชีท ประจำเดือน เมษายน 2569</t>
  </si>
  <si>
    <t>Supplier งานพิมพ์ประจำเดือน เมษายน 2569</t>
  </si>
  <si>
    <t>งานพิมพ์ประจำเดือน เมษายน 2569</t>
  </si>
  <si>
    <t>150cm. X 30-40mc.</t>
  </si>
  <si>
    <t>วันเดอร์ฟูล</t>
  </si>
  <si>
    <t>12/05/69</t>
  </si>
  <si>
    <t>02/05/69</t>
  </si>
  <si>
    <t>06/05/69</t>
  </si>
  <si>
    <t>07/05/69</t>
  </si>
  <si>
    <t>08/05/69</t>
  </si>
  <si>
    <t>09/05/69</t>
  </si>
  <si>
    <t>13/05/69</t>
  </si>
  <si>
    <t>14/05/69</t>
  </si>
  <si>
    <t>16/05/69</t>
  </si>
  <si>
    <t>19/05/69</t>
  </si>
  <si>
    <t>21/05/69</t>
  </si>
  <si>
    <t>23/05/69</t>
  </si>
  <si>
    <t>26/05/69</t>
  </si>
  <si>
    <t>28/05/69</t>
  </si>
  <si>
    <t>30/05/69</t>
  </si>
  <si>
    <t>04/05/69</t>
  </si>
  <si>
    <t>18/05/69</t>
  </si>
  <si>
    <t>46 cm. x 45mc.</t>
  </si>
  <si>
    <t>05/05/69</t>
  </si>
  <si>
    <t>11/05/69</t>
  </si>
  <si>
    <t>15/05/69</t>
  </si>
  <si>
    <t>20/05/69</t>
  </si>
  <si>
    <t>22/05/69</t>
  </si>
  <si>
    <t>25/05/70</t>
  </si>
  <si>
    <t>25/05/69</t>
  </si>
  <si>
    <t>27/05/69</t>
  </si>
  <si>
    <t>27/05/70</t>
  </si>
  <si>
    <t>29/05/69</t>
  </si>
  <si>
    <t>54cm x 45mc  RB Classic 250ml.MY 2C</t>
  </si>
  <si>
    <t>58cm x 45mc  RB Classic 325ml.Lay 3</t>
  </si>
  <si>
    <t>50 cm. x  75mc.(สีแดง)</t>
  </si>
  <si>
    <t>57cm. x  80mc.</t>
  </si>
  <si>
    <t>50 cm. x  75mc. (สีเหลือง)</t>
  </si>
  <si>
    <t>Lao Coca-Cola Bottling Co.,Ltd</t>
  </si>
  <si>
    <t>59 cm. X 75 mc.</t>
  </si>
  <si>
    <t>17/05/69</t>
  </si>
  <si>
    <t>10/05/69</t>
  </si>
  <si>
    <t>PE250 - UHT Jae 215mm x 40mic VJA2T P6</t>
  </si>
  <si>
    <t>PE230- UHT Hi-Malt 215mm x 40mic SHM2T P3</t>
  </si>
  <si>
    <t>PE200- UHT Light 240mm x 40mic LLI1T P4</t>
  </si>
  <si>
    <t>PE118-UHT DBlack 240mm x 40mic  VDB1E P4</t>
  </si>
  <si>
    <t>PE300-TG Regular540mm x 45mic MRGHC P6  (PCR30%)</t>
  </si>
  <si>
    <t>25cm. x 40 mc.นมปรุงแต่งยูเอชที รสหวาน 4 x 125 ml.(ไฮ-คิดส์)</t>
  </si>
  <si>
    <t>27cm. x 40 mc.นมโค UHT  4 x 225 ml.</t>
  </si>
  <si>
    <t>26 cm. x 60mc.</t>
  </si>
  <si>
    <t xml:space="preserve">24" X 40 mc.ม้วนท่อ </t>
  </si>
  <si>
    <t>บจก.เมทัลเซิร์ฟ</t>
  </si>
  <si>
    <t>500m.x300m.x15mc.</t>
  </si>
  <si>
    <t>บจก.พรีมา เบฟเวอเรจ</t>
  </si>
  <si>
    <t>บจก.ซอว์ อินดี้ เอ็นจิเนียริ่ง</t>
  </si>
  <si>
    <t>จำนวน (กก.)</t>
  </si>
  <si>
    <t>บจก.เดอะเวิลด์ คอมเทค</t>
  </si>
  <si>
    <t>250mm.x300m.x12mc.</t>
  </si>
  <si>
    <t xml:space="preserve">บจก.นอริตาเก้ เอสซีจี พลาสเตอร์ </t>
  </si>
  <si>
    <t>500mm.x400m.x12mc.</t>
  </si>
  <si>
    <t>Lao Coca-Col</t>
  </si>
  <si>
    <t>เถิงธง</t>
  </si>
  <si>
    <t xml:space="preserve">ไวตาสกายเทคโนโลยีความแม่นยำ </t>
  </si>
  <si>
    <t>เมทัลเซิร์ฟ</t>
  </si>
  <si>
    <t>พรีมา เบฟเวอเรจ</t>
  </si>
  <si>
    <t>ซอว์ อินดี้ เอ็นจิเนียริ่ง</t>
  </si>
  <si>
    <t>เดอะเวิลด์ คอมเทค</t>
  </si>
  <si>
    <t xml:space="preserve">นอริตาเก้ เอสซีจี พลาสเตอร์ </t>
  </si>
  <si>
    <t>ถุงคลุม/ชีท ประจำเดือน พฤษภาคม 2569</t>
  </si>
  <si>
    <t>Supplier งานพิมพ์ประจำเดือน พฤษภาคม 2569</t>
  </si>
  <si>
    <t>งานพิมพ์ประจำเดือน  พฤษภาคม 2569</t>
  </si>
  <si>
    <t>รายการขายสินค้าประจำเดือน พฤษภาคม 2569</t>
  </si>
  <si>
    <t>PE180- UHT Sesame 200mm x 40mic SSM1T P3</t>
  </si>
  <si>
    <t>PE180- UHT VitaP+A  200mm x 40mic PGA1T P4</t>
  </si>
  <si>
    <t>PE180- UHT VitaP+B  200mm x 40mic PGB1T P4</t>
  </si>
  <si>
    <t>PE300-TG Regular540mm x 45mic VRGHX P6  (PCR30%)</t>
  </si>
  <si>
    <t xml:space="preserve">  เดือน พฤษภาคม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</si>
</sst>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0_-;\-* #,##0.000_-;_-* &quot;-&quot;??_-;_-@_-"/>
    <numFmt numFmtId="165" formatCode="_(* #,##0.00_);_(* \(#,##0.00\);_(* &quot;-&quot;??_);_(@_)"/>
    <numFmt numFmtId="166" formatCode="_-* #,##0.000_-;\-* #,##0.000_-;_-* &quot;-&quot;???_-;_-@_-"/>
    <numFmt numFmtId="167" formatCode="_(* #,##0.000_);_(* \(#,##0.000\);_(* &quot;-&quot;???_);_(@_)"/>
    <numFmt numFmtId="168" formatCode="_-* #,##0.0000_-;\-* #,##0.0000_-;_-* &quot;-&quot;??_-;_-@_-"/>
    <numFmt numFmtId="169" formatCode="m/d/yy;@"/>
  </numFmts>
  <fonts count="53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u/>
      <sz val="16"/>
      <color theme="1"/>
      <name val="Angsana New"/>
      <family val="1"/>
    </font>
    <font>
      <u/>
      <sz val="16"/>
      <color theme="1"/>
      <name val="Arial"/>
      <family val="2"/>
    </font>
    <font>
      <u/>
      <sz val="16"/>
      <color theme="1"/>
      <name val="Angsana New"/>
      <family val="1"/>
    </font>
    <font>
      <b/>
      <sz val="12"/>
      <color theme="1"/>
      <name val="Angsana New"/>
      <family val="1"/>
    </font>
    <font>
      <sz val="11"/>
      <color theme="1"/>
      <name val="Angsana New"/>
      <family val="2"/>
      <charset val="222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sz val="12"/>
      <name val="Angsana New"/>
      <family val="1"/>
    </font>
    <font>
      <sz val="11"/>
      <name val="Aptos Narrow"/>
      <family val="2"/>
      <charset val="222"/>
      <scheme val="minor"/>
    </font>
    <font>
      <b/>
      <sz val="12"/>
      <color rgb="FFFF0000"/>
      <name val="Angsana New"/>
      <family val="1"/>
    </font>
    <font>
      <sz val="12"/>
      <color theme="1"/>
      <name val="AngsanaUPC"/>
      <family val="1"/>
      <charset val="222"/>
    </font>
    <font>
      <sz val="12"/>
      <color theme="1"/>
      <name val="AngsanaUPC"/>
      <family val="1"/>
    </font>
    <font>
      <sz val="12"/>
      <color theme="1"/>
      <name val="Angsana New"/>
      <family val="2"/>
      <charset val="222"/>
    </font>
    <font>
      <b/>
      <sz val="12"/>
      <color theme="1"/>
      <name val="AngsanaUPC"/>
      <family val="1"/>
    </font>
    <font>
      <sz val="11"/>
      <color theme="1"/>
      <name val="Angsana New"/>
      <family val="1"/>
    </font>
    <font>
      <b/>
      <u/>
      <sz val="12"/>
      <color theme="1"/>
      <name val="Angsana New"/>
      <family val="1"/>
    </font>
    <font>
      <sz val="8"/>
      <name val="Aptos Narrow"/>
      <family val="2"/>
      <charset val="222"/>
      <scheme val="minor"/>
    </font>
    <font>
      <b/>
      <u/>
      <sz val="18"/>
      <color theme="1"/>
      <name val="Angsana New"/>
      <family val="1"/>
    </font>
    <font>
      <b/>
      <sz val="14"/>
      <color theme="1"/>
      <name val="Angsana New"/>
      <family val="2"/>
      <charset val="222"/>
    </font>
    <font>
      <sz val="12"/>
      <color theme="1"/>
      <name val="Arial"/>
      <family val="2"/>
    </font>
    <font>
      <b/>
      <sz val="12"/>
      <color theme="1"/>
      <name val="AngsanaUPC"/>
      <family val="1"/>
      <charset val="222"/>
    </font>
    <font>
      <sz val="10"/>
      <name val="Arial"/>
      <family val="2"/>
    </font>
    <font>
      <sz val="10"/>
      <color theme="1"/>
      <name val="Arial"/>
      <family val="2"/>
    </font>
    <font>
      <b/>
      <sz val="60"/>
      <color theme="1"/>
      <name val="Angsana New"/>
      <family val="1"/>
    </font>
    <font>
      <b/>
      <sz val="45"/>
      <color theme="1"/>
      <name val="Angsana New"/>
      <family val="1"/>
    </font>
    <font>
      <b/>
      <sz val="45"/>
      <color theme="1"/>
      <name val="Arial"/>
      <family val="2"/>
    </font>
    <font>
      <sz val="45"/>
      <color theme="1"/>
      <name val="Arial"/>
      <family val="2"/>
    </font>
    <font>
      <b/>
      <sz val="40"/>
      <color theme="1"/>
      <name val="Angsana New"/>
      <family val="1"/>
    </font>
    <font>
      <b/>
      <sz val="35"/>
      <color theme="1"/>
      <name val="Angsana New"/>
      <family val="1"/>
    </font>
    <font>
      <sz val="35"/>
      <color theme="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2"/>
      <charset val="222"/>
    </font>
    <font>
      <b/>
      <sz val="20"/>
      <color theme="1"/>
      <name val="Angsana New"/>
      <family val="1"/>
    </font>
    <font>
      <sz val="16"/>
      <color rgb="FF7030A0"/>
      <name val="Angsana New"/>
      <family val="1"/>
    </font>
    <font>
      <b/>
      <sz val="16"/>
      <color rgb="FF7030A0"/>
      <name val="Angsana New"/>
      <family val="1"/>
    </font>
    <font>
      <b/>
      <sz val="16"/>
      <color rgb="FF00B050"/>
      <name val="Angsana New"/>
      <family val="1"/>
    </font>
    <font>
      <b/>
      <sz val="14"/>
      <color theme="1"/>
      <name val="Angsana New"/>
      <family val="1"/>
    </font>
    <font>
      <b/>
      <sz val="16"/>
      <color rgb="FFFF0066"/>
      <name val="Angsana New"/>
      <family val="1"/>
    </font>
    <font>
      <sz val="16"/>
      <color rgb="FF00B050"/>
      <name val="Angsana New"/>
      <family val="1"/>
    </font>
    <font>
      <sz val="16"/>
      <color rgb="FFFF0000"/>
      <name val="Angsana New"/>
      <family val="2"/>
      <charset val="222"/>
    </font>
    <font>
      <sz val="16"/>
      <color rgb="FFFF0000"/>
      <name val="Angsana New"/>
      <family val="1"/>
    </font>
    <font>
      <sz val="16"/>
      <color rgb="FFFF0066"/>
      <name val="Angsana New"/>
      <family val="1"/>
    </font>
    <font>
      <b/>
      <sz val="20"/>
      <color rgb="FFFF0000"/>
      <name val="Angsana New"/>
      <family val="1"/>
    </font>
    <font>
      <sz val="16"/>
      <color theme="1"/>
      <name val="AngsanaUPC"/>
      <family val="1"/>
      <charset val="222"/>
    </font>
    <font>
      <b/>
      <sz val="18"/>
      <color rgb="FFFF0000"/>
      <name val="Angsana New"/>
      <family val="1"/>
    </font>
    <font>
      <b/>
      <i/>
      <sz val="18"/>
      <color rgb="FFFF0000"/>
      <name val="Angsana New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ngsana New"/>
      <family val="1"/>
    </font>
    <font>
      <sz val="10"/>
      <color rgb="FF1D1D1D"/>
      <name val="Arial"/>
      <family val="2"/>
    </font>
    <font>
      <sz val="21"/>
      <color rgb="FF1D1D1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2060"/>
      </bottom>
      <diagonal/>
    </border>
  </borders>
  <cellStyleXfs count="293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4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9" fillId="0" borderId="0"/>
    <xf numFmtId="0" fontId="49" fillId="0" borderId="0"/>
    <xf numFmtId="43" fontId="1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9" fillId="0" borderId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9" fillId="0" borderId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</cellStyleXfs>
  <cellXfs count="373">
    <xf numFmtId="0" fontId="0" fillId="0" borderId="0" xfId="0"/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49" fontId="7" fillId="0" borderId="3" xfId="2" quotePrefix="1" applyNumberFormat="1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43" fontId="7" fillId="0" borderId="3" xfId="1" applyFont="1" applyFill="1" applyBorder="1" applyAlignment="1">
      <alignment horizontal="center"/>
    </xf>
    <xf numFmtId="164" fontId="7" fillId="0" borderId="3" xfId="1" applyNumberFormat="1" applyFont="1" applyFill="1" applyBorder="1" applyAlignment="1">
      <alignment horizontal="center"/>
    </xf>
    <xf numFmtId="43" fontId="7" fillId="0" borderId="4" xfId="1" applyFont="1" applyBorder="1" applyAlignment="1">
      <alignment horizontal="center"/>
    </xf>
    <xf numFmtId="43" fontId="7" fillId="0" borderId="2" xfId="1" applyFont="1" applyFill="1" applyBorder="1" applyAlignment="1">
      <alignment horizontal="center"/>
    </xf>
    <xf numFmtId="164" fontId="7" fillId="0" borderId="2" xfId="1" applyNumberFormat="1" applyFont="1" applyFill="1" applyBorder="1" applyAlignment="1">
      <alignment horizontal="center"/>
    </xf>
    <xf numFmtId="49" fontId="7" fillId="0" borderId="2" xfId="0" quotePrefix="1" applyNumberFormat="1" applyFont="1" applyBorder="1" applyAlignment="1">
      <alignment horizontal="center" vertical="center"/>
    </xf>
    <xf numFmtId="49" fontId="7" fillId="0" borderId="2" xfId="2" quotePrefix="1" applyNumberFormat="1" applyFont="1" applyBorder="1" applyAlignment="1">
      <alignment horizontal="center"/>
    </xf>
    <xf numFmtId="43" fontId="7" fillId="2" borderId="3" xfId="1" applyFont="1" applyFill="1" applyBorder="1" applyAlignment="1">
      <alignment horizontal="center"/>
    </xf>
    <xf numFmtId="164" fontId="7" fillId="2" borderId="3" xfId="1" applyNumberFormat="1" applyFont="1" applyFill="1" applyBorder="1" applyAlignment="1">
      <alignment horizontal="center"/>
    </xf>
    <xf numFmtId="43" fontId="7" fillId="2" borderId="4" xfId="1" applyFont="1" applyFill="1" applyBorder="1" applyAlignment="1">
      <alignment horizontal="center"/>
    </xf>
    <xf numFmtId="49" fontId="7" fillId="0" borderId="3" xfId="0" quotePrefix="1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43" fontId="5" fillId="0" borderId="5" xfId="0" applyNumberFormat="1" applyFont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 vertical="center"/>
    </xf>
    <xf numFmtId="43" fontId="5" fillId="0" borderId="5" xfId="1" applyFont="1" applyFill="1" applyBorder="1" applyAlignment="1">
      <alignment horizontal="center" vertical="center"/>
    </xf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164" fontId="7" fillId="0" borderId="0" xfId="1" applyNumberFormat="1" applyFont="1"/>
    <xf numFmtId="43" fontId="7" fillId="0" borderId="0" xfId="0" applyNumberFormat="1" applyFont="1"/>
    <xf numFmtId="0" fontId="8" fillId="0" borderId="0" xfId="0" applyFont="1"/>
    <xf numFmtId="49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9" fillId="0" borderId="0" xfId="0" applyFont="1"/>
    <xf numFmtId="49" fontId="10" fillId="0" borderId="3" xfId="2" quotePrefix="1" applyNumberFormat="1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43" fontId="10" fillId="0" borderId="3" xfId="1" applyFont="1" applyFill="1" applyBorder="1" applyAlignment="1">
      <alignment horizontal="center"/>
    </xf>
    <xf numFmtId="164" fontId="10" fillId="0" borderId="3" xfId="1" applyNumberFormat="1" applyFont="1" applyFill="1" applyBorder="1" applyAlignment="1">
      <alignment horizontal="center" vertical="center"/>
    </xf>
    <xf numFmtId="43" fontId="10" fillId="0" borderId="3" xfId="3" applyFont="1" applyFill="1" applyBorder="1" applyAlignment="1">
      <alignment horizontal="center"/>
    </xf>
    <xf numFmtId="0" fontId="11" fillId="0" borderId="0" xfId="0" applyFont="1"/>
    <xf numFmtId="43" fontId="7" fillId="0" borderId="4" xfId="1" applyFont="1" applyFill="1" applyBorder="1" applyAlignment="1">
      <alignment horizontal="center"/>
    </xf>
    <xf numFmtId="164" fontId="7" fillId="0" borderId="4" xfId="1" applyNumberFormat="1" applyFont="1" applyFill="1" applyBorder="1" applyAlignment="1">
      <alignment horizontal="center"/>
    </xf>
    <xf numFmtId="43" fontId="7" fillId="0" borderId="3" xfId="3" applyFont="1" applyFill="1" applyBorder="1" applyAlignment="1">
      <alignment horizontal="center"/>
    </xf>
    <xf numFmtId="164" fontId="7" fillId="0" borderId="3" xfId="1" applyNumberFormat="1" applyFont="1" applyFill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43" fontId="5" fillId="0" borderId="5" xfId="0" applyNumberFormat="1" applyFont="1" applyBorder="1" applyAlignment="1">
      <alignment horizontal="center"/>
    </xf>
    <xf numFmtId="43" fontId="5" fillId="0" borderId="5" xfId="1" applyFont="1" applyFill="1" applyBorder="1" applyAlignment="1">
      <alignment horizontal="center"/>
    </xf>
    <xf numFmtId="49" fontId="7" fillId="0" borderId="0" xfId="4" quotePrefix="1" applyNumberFormat="1" applyFont="1" applyAlignment="1">
      <alignment horizontal="center"/>
    </xf>
    <xf numFmtId="0" fontId="5" fillId="0" borderId="0" xfId="4" applyFont="1" applyAlignment="1">
      <alignment horizontal="center"/>
    </xf>
    <xf numFmtId="43" fontId="5" fillId="0" borderId="0" xfId="5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43" fontId="7" fillId="0" borderId="3" xfId="1" applyFont="1" applyFill="1" applyBorder="1" applyAlignment="1">
      <alignment vertical="center"/>
    </xf>
    <xf numFmtId="43" fontId="7" fillId="0" borderId="3" xfId="1" applyFont="1" applyBorder="1" applyAlignment="1">
      <alignment horizontal="right"/>
    </xf>
    <xf numFmtId="164" fontId="7" fillId="0" borderId="4" xfId="1" applyNumberFormat="1" applyFont="1" applyBorder="1" applyAlignment="1">
      <alignment horizontal="center"/>
    </xf>
    <xf numFmtId="49" fontId="7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43" fontId="5" fillId="0" borderId="0" xfId="0" applyNumberFormat="1" applyFont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43" fontId="7" fillId="0" borderId="3" xfId="1" applyFont="1" applyBorder="1" applyAlignment="1">
      <alignment horizontal="center"/>
    </xf>
    <xf numFmtId="49" fontId="7" fillId="0" borderId="3" xfId="0" applyNumberFormat="1" applyFont="1" applyBorder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165" fontId="7" fillId="0" borderId="0" xfId="0" applyNumberFormat="1" applyFont="1"/>
    <xf numFmtId="164" fontId="5" fillId="0" borderId="2" xfId="1" applyNumberFormat="1" applyFont="1" applyFill="1" applyBorder="1" applyAlignment="1">
      <alignment horizontal="center"/>
    </xf>
    <xf numFmtId="49" fontId="7" fillId="2" borderId="3" xfId="0" quotePrefix="1" applyNumberFormat="1" applyFont="1" applyFill="1" applyBorder="1" applyAlignment="1">
      <alignment horizontal="center"/>
    </xf>
    <xf numFmtId="164" fontId="7" fillId="0" borderId="4" xfId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43" fontId="5" fillId="0" borderId="0" xfId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49" fontId="7" fillId="0" borderId="3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3" fontId="12" fillId="0" borderId="8" xfId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43" fontId="12" fillId="0" borderId="0" xfId="1" applyFont="1" applyBorder="1" applyAlignment="1">
      <alignment horizontal="center"/>
    </xf>
    <xf numFmtId="49" fontId="7" fillId="0" borderId="2" xfId="0" quotePrefix="1" applyNumberFormat="1" applyFont="1" applyBorder="1" applyAlignment="1">
      <alignment horizontal="center"/>
    </xf>
    <xf numFmtId="43" fontId="7" fillId="0" borderId="4" xfId="1" applyFont="1" applyBorder="1" applyAlignment="1">
      <alignment horizontal="right"/>
    </xf>
    <xf numFmtId="164" fontId="7" fillId="0" borderId="4" xfId="1" applyNumberFormat="1" applyFont="1" applyBorder="1" applyAlignment="1">
      <alignment horizontal="right"/>
    </xf>
    <xf numFmtId="49" fontId="7" fillId="0" borderId="3" xfId="0" quotePrefix="1" applyNumberFormat="1" applyFont="1" applyBorder="1" applyAlignment="1">
      <alignment horizontal="center" vertical="center"/>
    </xf>
    <xf numFmtId="49" fontId="7" fillId="0" borderId="0" xfId="0" quotePrefix="1" applyNumberFormat="1" applyFont="1" applyAlignment="1">
      <alignment horizontal="center" vertical="center"/>
    </xf>
    <xf numFmtId="43" fontId="7" fillId="0" borderId="4" xfId="1" applyFont="1" applyFill="1" applyBorder="1" applyAlignment="1">
      <alignment horizontal="right"/>
    </xf>
    <xf numFmtId="164" fontId="7" fillId="0" borderId="4" xfId="1" applyNumberFormat="1" applyFont="1" applyFill="1" applyBorder="1" applyAlignment="1">
      <alignment horizontal="right"/>
    </xf>
    <xf numFmtId="164" fontId="7" fillId="0" borderId="0" xfId="1" applyNumberFormat="1" applyFont="1" applyFill="1" applyBorder="1" applyAlignment="1">
      <alignment horizontal="center" vertical="center"/>
    </xf>
    <xf numFmtId="43" fontId="5" fillId="0" borderId="5" xfId="1" applyFont="1" applyBorder="1" applyAlignment="1">
      <alignment horizontal="center"/>
    </xf>
    <xf numFmtId="49" fontId="7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 applyBorder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49" fontId="5" fillId="0" borderId="2" xfId="2" applyNumberFormat="1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49" fontId="7" fillId="0" borderId="4" xfId="2" quotePrefix="1" applyNumberFormat="1" applyFont="1" applyBorder="1" applyAlignment="1">
      <alignment horizontal="center"/>
    </xf>
    <xf numFmtId="43" fontId="7" fillId="0" borderId="4" xfId="3" applyFont="1" applyBorder="1" applyAlignment="1">
      <alignment horizontal="right"/>
    </xf>
    <xf numFmtId="49" fontId="7" fillId="0" borderId="3" xfId="2" quotePrefix="1" applyNumberFormat="1" applyFont="1" applyBorder="1" applyAlignment="1">
      <alignment horizontal="center" vertical="center"/>
    </xf>
    <xf numFmtId="43" fontId="5" fillId="0" borderId="9" xfId="2" applyNumberFormat="1" applyFont="1" applyBorder="1" applyAlignment="1">
      <alignment horizontal="center" vertical="center"/>
    </xf>
    <xf numFmtId="43" fontId="5" fillId="0" borderId="5" xfId="3" applyFont="1" applyBorder="1" applyAlignment="1">
      <alignment horizontal="center" vertical="center"/>
    </xf>
    <xf numFmtId="49" fontId="7" fillId="0" borderId="0" xfId="2" quotePrefix="1" applyNumberFormat="1" applyFont="1" applyAlignment="1">
      <alignment horizontal="center"/>
    </xf>
    <xf numFmtId="43" fontId="5" fillId="0" borderId="0" xfId="2" applyNumberFormat="1" applyFont="1" applyAlignment="1">
      <alignment horizontal="center"/>
    </xf>
    <xf numFmtId="43" fontId="5" fillId="0" borderId="0" xfId="3" applyFont="1" applyBorder="1" applyAlignment="1">
      <alignment horizontal="center"/>
    </xf>
    <xf numFmtId="0" fontId="13" fillId="0" borderId="0" xfId="0" quotePrefix="1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5" fillId="0" borderId="10" xfId="6" applyNumberFormat="1" applyFont="1" applyFill="1" applyBorder="1"/>
    <xf numFmtId="0" fontId="15" fillId="0" borderId="0" xfId="0" applyFont="1"/>
    <xf numFmtId="43" fontId="13" fillId="0" borderId="0" xfId="0" applyNumberFormat="1" applyFont="1" applyAlignment="1">
      <alignment horizontal="center"/>
    </xf>
    <xf numFmtId="49" fontId="7" fillId="0" borderId="0" xfId="2" quotePrefix="1" applyNumberFormat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43" fontId="5" fillId="0" borderId="0" xfId="3" applyFont="1" applyBorder="1" applyAlignment="1">
      <alignment horizontal="center" vertical="center"/>
    </xf>
    <xf numFmtId="49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49" fontId="7" fillId="0" borderId="3" xfId="4" quotePrefix="1" applyNumberFormat="1" applyFont="1" applyBorder="1" applyAlignment="1">
      <alignment horizontal="center" vertical="center"/>
    </xf>
    <xf numFmtId="49" fontId="5" fillId="0" borderId="3" xfId="4" applyNumberFormat="1" applyFont="1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43" fontId="7" fillId="0" borderId="0" xfId="1" applyFont="1" applyBorder="1" applyAlignment="1">
      <alignment horizontal="center"/>
    </xf>
    <xf numFmtId="49" fontId="7" fillId="0" borderId="11" xfId="4" quotePrefix="1" applyNumberFormat="1" applyFont="1" applyBorder="1" applyAlignment="1">
      <alignment horizontal="center" vertical="center"/>
    </xf>
    <xf numFmtId="43" fontId="7" fillId="0" borderId="3" xfId="3" applyFont="1" applyBorder="1" applyAlignment="1">
      <alignment horizontal="center"/>
    </xf>
    <xf numFmtId="43" fontId="7" fillId="0" borderId="0" xfId="3" applyFont="1" applyBorder="1" applyAlignment="1">
      <alignment horizontal="center"/>
    </xf>
    <xf numFmtId="43" fontId="12" fillId="0" borderId="5" xfId="0" applyNumberFormat="1" applyFont="1" applyBorder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49" fontId="7" fillId="0" borderId="2" xfId="2" quotePrefix="1" applyNumberFormat="1" applyFont="1" applyBorder="1" applyAlignment="1">
      <alignment horizontal="center" vertical="center"/>
    </xf>
    <xf numFmtId="43" fontId="7" fillId="0" borderId="3" xfId="1" applyFont="1" applyFill="1" applyBorder="1" applyAlignment="1">
      <alignment horizontal="center" vertical="center"/>
    </xf>
    <xf numFmtId="0" fontId="7" fillId="0" borderId="2" xfId="2" applyFont="1" applyBorder="1" applyAlignment="1">
      <alignment horizontal="center"/>
    </xf>
    <xf numFmtId="43" fontId="7" fillId="0" borderId="4" xfId="1" applyFont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/>
    </xf>
    <xf numFmtId="43" fontId="5" fillId="0" borderId="5" xfId="2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43" fontId="5" fillId="0" borderId="12" xfId="3" applyFont="1" applyBorder="1" applyAlignment="1">
      <alignment horizontal="center" vertical="center"/>
    </xf>
    <xf numFmtId="43" fontId="7" fillId="0" borderId="0" xfId="1" applyFont="1" applyFill="1" applyBorder="1" applyAlignment="1">
      <alignment horizontal="center"/>
    </xf>
    <xf numFmtId="43" fontId="7" fillId="0" borderId="3" xfId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3" fontId="7" fillId="0" borderId="3" xfId="1" applyFont="1" applyFill="1" applyBorder="1" applyAlignment="1">
      <alignment horizontal="right" vertical="center"/>
    </xf>
    <xf numFmtId="49" fontId="5" fillId="0" borderId="3" xfId="0" quotePrefix="1" applyNumberFormat="1" applyFont="1" applyBorder="1" applyAlignment="1">
      <alignment horizontal="center" vertical="center"/>
    </xf>
    <xf numFmtId="164" fontId="7" fillId="0" borderId="0" xfId="1" applyNumberFormat="1" applyFont="1" applyFill="1"/>
    <xf numFmtId="164" fontId="5" fillId="0" borderId="4" xfId="1" applyNumberFormat="1" applyFont="1" applyFill="1" applyBorder="1" applyAlignment="1">
      <alignment horizontal="center" vertical="center"/>
    </xf>
    <xf numFmtId="164" fontId="7" fillId="0" borderId="3" xfId="1" applyNumberFormat="1" applyFont="1" applyBorder="1" applyAlignment="1">
      <alignment horizontal="right"/>
    </xf>
    <xf numFmtId="49" fontId="13" fillId="0" borderId="0" xfId="0" quotePrefix="1" applyNumberFormat="1" applyFont="1" applyAlignment="1">
      <alignment horizontal="center"/>
    </xf>
    <xf numFmtId="164" fontId="13" fillId="0" borderId="0" xfId="1" applyNumberFormat="1" applyFont="1" applyFill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43" fontId="7" fillId="0" borderId="0" xfId="1" applyFont="1" applyBorder="1" applyAlignment="1">
      <alignment vertical="center"/>
    </xf>
    <xf numFmtId="164" fontId="7" fillId="0" borderId="0" xfId="1" applyNumberFormat="1" applyFont="1" applyAlignment="1">
      <alignment vertical="center"/>
    </xf>
    <xf numFmtId="49" fontId="5" fillId="0" borderId="2" xfId="2" applyNumberFormat="1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43" fontId="7" fillId="0" borderId="2" xfId="1" applyFont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43" fontId="5" fillId="0" borderId="5" xfId="2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43" fontId="5" fillId="0" borderId="5" xfId="3" applyFont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43" fontId="15" fillId="0" borderId="0" xfId="7" applyFont="1"/>
    <xf numFmtId="43" fontId="14" fillId="0" borderId="0" xfId="7" applyFont="1" applyFill="1" applyBorder="1" applyAlignment="1">
      <alignment horizontal="center"/>
    </xf>
    <xf numFmtId="49" fontId="15" fillId="0" borderId="0" xfId="0" applyNumberFormat="1" applyFont="1"/>
    <xf numFmtId="0" fontId="15" fillId="0" borderId="0" xfId="0" applyFont="1" applyAlignment="1">
      <alignment horizontal="center"/>
    </xf>
    <xf numFmtId="164" fontId="15" fillId="0" borderId="0" xfId="1" applyNumberFormat="1" applyFont="1" applyFill="1"/>
    <xf numFmtId="49" fontId="14" fillId="0" borderId="0" xfId="0" applyNumberFormat="1" applyFont="1" applyAlignment="1">
      <alignment horizontal="center"/>
    </xf>
    <xf numFmtId="164" fontId="14" fillId="0" borderId="0" xfId="1" applyNumberFormat="1" applyFont="1" applyFill="1" applyAlignment="1">
      <alignment horizontal="center"/>
    </xf>
    <xf numFmtId="0" fontId="14" fillId="0" borderId="0" xfId="0" applyFont="1"/>
    <xf numFmtId="43" fontId="7" fillId="0" borderId="2" xfId="1" applyFont="1" applyBorder="1" applyAlignment="1">
      <alignment horizontal="center" vertical="center"/>
    </xf>
    <xf numFmtId="43" fontId="7" fillId="0" borderId="4" xfId="1" applyFont="1" applyFill="1" applyBorder="1"/>
    <xf numFmtId="43" fontId="7" fillId="0" borderId="3" xfId="1" applyFont="1" applyFill="1" applyBorder="1"/>
    <xf numFmtId="164" fontId="7" fillId="0" borderId="3" xfId="1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166" fontId="17" fillId="0" borderId="0" xfId="0" applyNumberFormat="1" applyFont="1"/>
    <xf numFmtId="0" fontId="17" fillId="0" borderId="0" xfId="0" applyFont="1"/>
    <xf numFmtId="166" fontId="5" fillId="0" borderId="10" xfId="0" applyNumberFormat="1" applyFont="1" applyBorder="1" applyAlignment="1">
      <alignment horizontal="center" vertical="center"/>
    </xf>
    <xf numFmtId="49" fontId="7" fillId="0" borderId="0" xfId="8" applyNumberFormat="1" applyFont="1"/>
    <xf numFmtId="0" fontId="7" fillId="0" borderId="0" xfId="8" applyFont="1"/>
    <xf numFmtId="43" fontId="18" fillId="3" borderId="0" xfId="5" applyFont="1" applyFill="1" applyAlignment="1">
      <alignment horizontal="center"/>
    </xf>
    <xf numFmtId="164" fontId="7" fillId="0" borderId="0" xfId="1" applyNumberFormat="1" applyFont="1" applyAlignment="1">
      <alignment horizontal="right"/>
    </xf>
    <xf numFmtId="43" fontId="18" fillId="4" borderId="0" xfId="5" applyFont="1" applyFill="1" applyAlignment="1">
      <alignment horizontal="right"/>
    </xf>
    <xf numFmtId="43" fontId="7" fillId="0" borderId="0" xfId="5" applyFont="1"/>
    <xf numFmtId="0" fontId="1" fillId="0" borderId="0" xfId="8"/>
    <xf numFmtId="167" fontId="7" fillId="0" borderId="0" xfId="8" applyNumberFormat="1" applyFont="1"/>
    <xf numFmtId="166" fontId="5" fillId="3" borderId="0" xfId="5" applyNumberFormat="1" applyFont="1" applyFill="1" applyAlignment="1">
      <alignment horizontal="right"/>
    </xf>
    <xf numFmtId="164" fontId="5" fillId="0" borderId="0" xfId="1" applyNumberFormat="1" applyFont="1" applyAlignment="1">
      <alignment horizontal="right"/>
    </xf>
    <xf numFmtId="43" fontId="5" fillId="4" borderId="0" xfId="5" applyFont="1" applyFill="1" applyAlignment="1">
      <alignment horizontal="right"/>
    </xf>
    <xf numFmtId="43" fontId="0" fillId="0" borderId="0" xfId="0" applyNumberFormat="1"/>
    <xf numFmtId="43" fontId="5" fillId="0" borderId="0" xfId="1" applyFont="1" applyFill="1" applyBorder="1" applyAlignment="1">
      <alignment horizontal="center" vertical="center"/>
    </xf>
    <xf numFmtId="43" fontId="5" fillId="0" borderId="10" xfId="0" applyNumberFormat="1" applyFont="1" applyBorder="1" applyAlignment="1">
      <alignment vertical="center"/>
    </xf>
    <xf numFmtId="43" fontId="7" fillId="0" borderId="0" xfId="7" applyFont="1" applyFill="1" applyBorder="1" applyAlignment="1">
      <alignment horizontal="center"/>
    </xf>
    <xf numFmtId="168" fontId="7" fillId="0" borderId="0" xfId="7" applyNumberFormat="1" applyFont="1" applyFill="1" applyBorder="1" applyAlignment="1">
      <alignment horizontal="center"/>
    </xf>
    <xf numFmtId="0" fontId="21" fillId="0" borderId="0" xfId="0" applyFont="1"/>
    <xf numFmtId="164" fontId="5" fillId="0" borderId="10" xfId="0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164" fontId="7" fillId="0" borderId="0" xfId="1" applyNumberFormat="1" applyFont="1" applyBorder="1" applyAlignment="1">
      <alignment vertical="center"/>
    </xf>
    <xf numFmtId="164" fontId="17" fillId="0" borderId="0" xfId="1" applyNumberFormat="1" applyFont="1"/>
    <xf numFmtId="49" fontId="22" fillId="0" borderId="0" xfId="0" applyNumberFormat="1" applyFont="1" applyAlignment="1">
      <alignment horizontal="center"/>
    </xf>
    <xf numFmtId="43" fontId="7" fillId="0" borderId="0" xfId="1" applyFont="1" applyFill="1" applyAlignment="1">
      <alignment horizontal="center"/>
    </xf>
    <xf numFmtId="164" fontId="7" fillId="0" borderId="0" xfId="1" applyNumberFormat="1" applyFont="1" applyFill="1" applyAlignment="1">
      <alignment horizontal="center"/>
    </xf>
    <xf numFmtId="43" fontId="7" fillId="0" borderId="0" xfId="7" applyFont="1" applyFill="1" applyAlignment="1">
      <alignment horizontal="center"/>
    </xf>
    <xf numFmtId="164" fontId="23" fillId="0" borderId="10" xfId="7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43" fontId="7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vertical="center"/>
    </xf>
    <xf numFmtId="43" fontId="5" fillId="0" borderId="2" xfId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43" fontId="5" fillId="0" borderId="3" xfId="1" applyFont="1" applyFill="1" applyBorder="1" applyAlignment="1">
      <alignment horizontal="center" vertical="center"/>
    </xf>
    <xf numFmtId="49" fontId="7" fillId="0" borderId="0" xfId="1" applyNumberFormat="1" applyFont="1" applyFill="1" applyAlignment="1">
      <alignment horizontal="center"/>
    </xf>
    <xf numFmtId="0" fontId="25" fillId="0" borderId="0" xfId="10" applyFont="1"/>
    <xf numFmtId="0" fontId="27" fillId="0" borderId="0" xfId="10" applyFont="1"/>
    <xf numFmtId="0" fontId="28" fillId="0" borderId="0" xfId="10" applyFont="1"/>
    <xf numFmtId="0" fontId="29" fillId="0" borderId="0" xfId="10" applyFont="1"/>
    <xf numFmtId="0" fontId="6" fillId="0" borderId="0" xfId="11"/>
    <xf numFmtId="43" fontId="33" fillId="0" borderId="3" xfId="12" applyFont="1" applyFill="1" applyBorder="1" applyAlignment="1">
      <alignment horizontal="center"/>
    </xf>
    <xf numFmtId="49" fontId="33" fillId="0" borderId="3" xfId="12" applyNumberFormat="1" applyFont="1" applyFill="1" applyBorder="1" applyAlignment="1">
      <alignment horizontal="center"/>
    </xf>
    <xf numFmtId="49" fontId="9" fillId="0" borderId="3" xfId="12" applyNumberFormat="1" applyFont="1" applyFill="1" applyBorder="1"/>
    <xf numFmtId="43" fontId="34" fillId="0" borderId="3" xfId="11" applyNumberFormat="1" applyFont="1" applyBorder="1"/>
    <xf numFmtId="43" fontId="9" fillId="0" borderId="3" xfId="12" applyFont="1" applyFill="1" applyBorder="1"/>
    <xf numFmtId="164" fontId="33" fillId="0" borderId="3" xfId="12" applyNumberFormat="1" applyFont="1" applyFill="1" applyBorder="1" applyAlignment="1">
      <alignment horizontal="center"/>
    </xf>
    <xf numFmtId="0" fontId="36" fillId="0" borderId="0" xfId="11" applyFont="1"/>
    <xf numFmtId="0" fontId="8" fillId="0" borderId="0" xfId="11" applyFont="1"/>
    <xf numFmtId="0" fontId="34" fillId="0" borderId="0" xfId="11" applyFont="1"/>
    <xf numFmtId="0" fontId="35" fillId="0" borderId="0" xfId="11" applyFont="1"/>
    <xf numFmtId="0" fontId="33" fillId="0" borderId="3" xfId="11" applyFont="1" applyBorder="1" applyAlignment="1">
      <alignment horizontal="center" vertical="center"/>
    </xf>
    <xf numFmtId="0" fontId="33" fillId="0" borderId="3" xfId="11" applyFont="1" applyBorder="1" applyAlignment="1">
      <alignment horizontal="center" vertical="center" wrapText="1"/>
    </xf>
    <xf numFmtId="0" fontId="37" fillId="0" borderId="3" xfId="11" applyFont="1" applyBorder="1" applyAlignment="1">
      <alignment horizontal="center" vertical="center" wrapText="1"/>
    </xf>
    <xf numFmtId="0" fontId="38" fillId="0" borderId="3" xfId="11" applyFont="1" applyBorder="1" applyAlignment="1">
      <alignment horizontal="center" vertical="center" wrapText="1"/>
    </xf>
    <xf numFmtId="0" fontId="37" fillId="0" borderId="0" xfId="11" applyFont="1" applyAlignment="1">
      <alignment horizontal="center" vertical="center"/>
    </xf>
    <xf numFmtId="0" fontId="39" fillId="0" borderId="0" xfId="11" applyFont="1" applyAlignment="1">
      <alignment horizontal="center" vertical="center"/>
    </xf>
    <xf numFmtId="0" fontId="33" fillId="0" borderId="0" xfId="11" applyFont="1" applyAlignment="1">
      <alignment horizontal="center" vertical="center"/>
    </xf>
    <xf numFmtId="9" fontId="33" fillId="0" borderId="0" xfId="9" applyFont="1" applyAlignment="1">
      <alignment horizontal="center" vertical="center"/>
    </xf>
    <xf numFmtId="0" fontId="40" fillId="0" borderId="3" xfId="11" applyFont="1" applyBorder="1" applyAlignment="1">
      <alignment horizontal="center" vertical="center"/>
    </xf>
    <xf numFmtId="0" fontId="34" fillId="0" borderId="3" xfId="11" applyFont="1" applyBorder="1" applyAlignment="1">
      <alignment horizontal="center"/>
    </xf>
    <xf numFmtId="43" fontId="34" fillId="0" borderId="3" xfId="13" applyFont="1" applyBorder="1"/>
    <xf numFmtId="43" fontId="36" fillId="0" borderId="3" xfId="13" applyFont="1" applyBorder="1"/>
    <xf numFmtId="43" fontId="41" fillId="0" borderId="3" xfId="13" applyFont="1" applyBorder="1"/>
    <xf numFmtId="43" fontId="33" fillId="0" borderId="3" xfId="13" applyFont="1" applyBorder="1"/>
    <xf numFmtId="165" fontId="43" fillId="0" borderId="0" xfId="11" applyNumberFormat="1" applyFont="1"/>
    <xf numFmtId="43" fontId="34" fillId="0" borderId="3" xfId="7" applyFont="1" applyBorder="1"/>
    <xf numFmtId="43" fontId="42" fillId="0" borderId="0" xfId="1" applyFont="1"/>
    <xf numFmtId="43" fontId="44" fillId="0" borderId="3" xfId="1" applyFont="1" applyBorder="1"/>
    <xf numFmtId="43" fontId="34" fillId="0" borderId="3" xfId="1" applyFont="1" applyBorder="1"/>
    <xf numFmtId="43" fontId="43" fillId="0" borderId="0" xfId="11" applyNumberFormat="1" applyFont="1"/>
    <xf numFmtId="0" fontId="34" fillId="0" borderId="5" xfId="11" applyFont="1" applyBorder="1"/>
    <xf numFmtId="0" fontId="33" fillId="0" borderId="5" xfId="11" applyFont="1" applyBorder="1"/>
    <xf numFmtId="43" fontId="33" fillId="0" borderId="5" xfId="7" applyFont="1" applyFill="1" applyBorder="1"/>
    <xf numFmtId="43" fontId="40" fillId="0" borderId="5" xfId="7" applyFont="1" applyBorder="1"/>
    <xf numFmtId="43" fontId="33" fillId="0" borderId="5" xfId="7" applyFont="1" applyBorder="1"/>
    <xf numFmtId="0" fontId="44" fillId="0" borderId="0" xfId="11" applyFont="1"/>
    <xf numFmtId="9" fontId="34" fillId="0" borderId="0" xfId="9" applyFont="1"/>
    <xf numFmtId="0" fontId="34" fillId="0" borderId="8" xfId="11" applyFont="1" applyBorder="1"/>
    <xf numFmtId="0" fontId="33" fillId="0" borderId="8" xfId="11" applyFont="1" applyBorder="1"/>
    <xf numFmtId="43" fontId="33" fillId="0" borderId="8" xfId="7" applyFont="1" applyBorder="1"/>
    <xf numFmtId="43" fontId="36" fillId="0" borderId="0" xfId="11" applyNumberFormat="1" applyFont="1"/>
    <xf numFmtId="165" fontId="8" fillId="0" borderId="0" xfId="11" applyNumberFormat="1" applyFont="1"/>
    <xf numFmtId="165" fontId="42" fillId="0" borderId="0" xfId="11" applyNumberFormat="1" applyFont="1"/>
    <xf numFmtId="43" fontId="33" fillId="0" borderId="5" xfId="11" applyNumberFormat="1" applyFont="1" applyBorder="1"/>
    <xf numFmtId="43" fontId="37" fillId="0" borderId="5" xfId="11" applyNumberFormat="1" applyFont="1" applyBorder="1"/>
    <xf numFmtId="43" fontId="38" fillId="0" borderId="5" xfId="11" applyNumberFormat="1" applyFont="1" applyBorder="1"/>
    <xf numFmtId="0" fontId="34" fillId="0" borderId="0" xfId="11" applyFont="1" applyAlignment="1">
      <alignment horizontal="center"/>
    </xf>
    <xf numFmtId="0" fontId="41" fillId="0" borderId="0" xfId="11" applyFont="1"/>
    <xf numFmtId="0" fontId="43" fillId="0" borderId="0" xfId="11" applyFont="1"/>
    <xf numFmtId="165" fontId="36" fillId="0" borderId="0" xfId="11" applyNumberFormat="1" applyFont="1"/>
    <xf numFmtId="43" fontId="9" fillId="0" borderId="3" xfId="13" applyFont="1" applyBorder="1"/>
    <xf numFmtId="43" fontId="33" fillId="0" borderId="3" xfId="13" applyFont="1" applyFill="1" applyBorder="1"/>
    <xf numFmtId="43" fontId="33" fillId="0" borderId="3" xfId="7" applyFont="1" applyBorder="1"/>
    <xf numFmtId="43" fontId="34" fillId="0" borderId="0" xfId="11" applyNumberFormat="1" applyFont="1"/>
    <xf numFmtId="165" fontId="34" fillId="0" borderId="0" xfId="11" applyNumberFormat="1" applyFont="1"/>
    <xf numFmtId="43" fontId="34" fillId="0" borderId="0" xfId="14" applyNumberFormat="1" applyFont="1"/>
    <xf numFmtId="0" fontId="0" fillId="5" borderId="0" xfId="0" applyFill="1"/>
    <xf numFmtId="0" fontId="0" fillId="6" borderId="0" xfId="0" applyFill="1"/>
    <xf numFmtId="0" fontId="7" fillId="7" borderId="3" xfId="2" applyFont="1" applyFill="1" applyBorder="1" applyAlignment="1">
      <alignment horizontal="center"/>
    </xf>
    <xf numFmtId="43" fontId="7" fillId="7" borderId="4" xfId="1" applyFont="1" applyFill="1" applyBorder="1" applyAlignment="1">
      <alignment horizontal="center"/>
    </xf>
    <xf numFmtId="164" fontId="7" fillId="7" borderId="4" xfId="1" applyNumberFormat="1" applyFont="1" applyFill="1" applyBorder="1" applyAlignment="1">
      <alignment horizontal="center"/>
    </xf>
    <xf numFmtId="0" fontId="7" fillId="8" borderId="3" xfId="2" applyFont="1" applyFill="1" applyBorder="1" applyAlignment="1">
      <alignment horizontal="center"/>
    </xf>
    <xf numFmtId="43" fontId="7" fillId="8" borderId="4" xfId="1" applyFont="1" applyFill="1" applyBorder="1" applyAlignment="1">
      <alignment horizontal="center"/>
    </xf>
    <xf numFmtId="164" fontId="7" fillId="8" borderId="4" xfId="1" applyNumberFormat="1" applyFont="1" applyFill="1" applyBorder="1" applyAlignment="1">
      <alignment horizontal="center"/>
    </xf>
    <xf numFmtId="0" fontId="7" fillId="9" borderId="3" xfId="2" applyFont="1" applyFill="1" applyBorder="1" applyAlignment="1">
      <alignment horizontal="center"/>
    </xf>
    <xf numFmtId="43" fontId="7" fillId="9" borderId="4" xfId="1" applyFont="1" applyFill="1" applyBorder="1" applyAlignment="1">
      <alignment horizontal="center"/>
    </xf>
    <xf numFmtId="0" fontId="25" fillId="0" borderId="0" xfId="15" applyFont="1"/>
    <xf numFmtId="0" fontId="33" fillId="0" borderId="0" xfId="15" applyFont="1" applyAlignment="1">
      <alignment horizontal="center"/>
    </xf>
    <xf numFmtId="17" fontId="46" fillId="0" borderId="0" xfId="15" quotePrefix="1" applyNumberFormat="1" applyFont="1" applyAlignment="1">
      <alignment horizontal="center"/>
    </xf>
    <xf numFmtId="43" fontId="9" fillId="0" borderId="0" xfId="7" applyFont="1" applyAlignment="1"/>
    <xf numFmtId="43" fontId="9" fillId="0" borderId="0" xfId="16" applyFont="1" applyAlignment="1">
      <alignment horizontal="center"/>
    </xf>
    <xf numFmtId="0" fontId="25" fillId="0" borderId="0" xfId="15" applyFont="1" applyAlignment="1">
      <alignment horizontal="center"/>
    </xf>
    <xf numFmtId="0" fontId="33" fillId="0" borderId="0" xfId="15" applyFont="1"/>
    <xf numFmtId="43" fontId="8" fillId="0" borderId="0" xfId="7" applyFont="1" applyAlignment="1"/>
    <xf numFmtId="43" fontId="8" fillId="0" borderId="0" xfId="16" applyFont="1"/>
    <xf numFmtId="43" fontId="9" fillId="0" borderId="0" xfId="16" applyFont="1"/>
    <xf numFmtId="17" fontId="46" fillId="0" borderId="0" xfId="15" applyNumberFormat="1" applyFont="1" applyAlignment="1">
      <alignment horizontal="center"/>
    </xf>
    <xf numFmtId="0" fontId="2" fillId="0" borderId="0" xfId="15" applyFont="1" applyAlignment="1">
      <alignment horizontal="center"/>
    </xf>
    <xf numFmtId="43" fontId="25" fillId="0" borderId="0" xfId="15" applyNumberFormat="1" applyFont="1"/>
    <xf numFmtId="0" fontId="9" fillId="0" borderId="0" xfId="15" applyFont="1"/>
    <xf numFmtId="43" fontId="9" fillId="0" borderId="0" xfId="15" applyNumberFormat="1" applyFont="1"/>
    <xf numFmtId="17" fontId="9" fillId="0" borderId="0" xfId="15" quotePrefix="1" applyNumberFormat="1" applyFont="1" applyAlignment="1">
      <alignment horizontal="center"/>
    </xf>
    <xf numFmtId="43" fontId="9" fillId="0" borderId="0" xfId="7" applyFont="1" applyAlignment="1">
      <alignment horizontal="center"/>
    </xf>
    <xf numFmtId="43" fontId="33" fillId="0" borderId="14" xfId="16" applyFont="1" applyBorder="1" applyAlignment="1">
      <alignment horizontal="center"/>
    </xf>
    <xf numFmtId="43" fontId="33" fillId="0" borderId="0" xfId="16" applyFont="1" applyBorder="1"/>
    <xf numFmtId="43" fontId="33" fillId="0" borderId="14" xfId="7" applyFont="1" applyBorder="1" applyAlignment="1">
      <alignment horizontal="center"/>
    </xf>
    <xf numFmtId="165" fontId="9" fillId="0" borderId="0" xfId="15" applyNumberFormat="1" applyFont="1"/>
    <xf numFmtId="0" fontId="47" fillId="0" borderId="0" xfId="15" applyFont="1"/>
    <xf numFmtId="0" fontId="43" fillId="0" borderId="0" xfId="15" applyFont="1"/>
    <xf numFmtId="0" fontId="41" fillId="0" borderId="0" xfId="15" applyFont="1"/>
    <xf numFmtId="43" fontId="5" fillId="0" borderId="2" xfId="1" applyFont="1" applyBorder="1" applyAlignment="1">
      <alignment horizontal="center" vertical="center"/>
    </xf>
    <xf numFmtId="43" fontId="7" fillId="0" borderId="0" xfId="1" applyFont="1" applyAlignment="1">
      <alignment horizontal="center"/>
    </xf>
    <xf numFmtId="43" fontId="5" fillId="0" borderId="3" xfId="1" applyFont="1" applyBorder="1" applyAlignment="1">
      <alignment horizontal="center" vertical="center"/>
    </xf>
    <xf numFmtId="49" fontId="7" fillId="0" borderId="0" xfId="1" applyNumberFormat="1" applyFont="1" applyAlignment="1">
      <alignment horizontal="center"/>
    </xf>
    <xf numFmtId="49" fontId="7" fillId="0" borderId="0" xfId="4" quotePrefix="1" applyNumberFormat="1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43" fontId="16" fillId="0" borderId="0" xfId="7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center" vertical="center"/>
    </xf>
    <xf numFmtId="43" fontId="23" fillId="0" borderId="0" xfId="0" applyNumberFormat="1" applyFont="1" applyAlignment="1">
      <alignment horizontal="center"/>
    </xf>
    <xf numFmtId="43" fontId="5" fillId="0" borderId="10" xfId="1" applyFont="1" applyBorder="1"/>
    <xf numFmtId="43" fontId="7" fillId="0" borderId="0" xfId="0" applyNumberFormat="1" applyFont="1" applyAlignment="1">
      <alignment horizontal="center"/>
    </xf>
    <xf numFmtId="164" fontId="7" fillId="0" borderId="0" xfId="25" applyNumberFormat="1" applyFont="1" applyBorder="1" applyAlignment="1">
      <alignment horizontal="center" vertical="center"/>
    </xf>
    <xf numFmtId="43" fontId="5" fillId="0" borderId="10" xfId="1" applyFont="1" applyBorder="1" applyAlignment="1">
      <alignment horizontal="center" vertical="center"/>
    </xf>
    <xf numFmtId="166" fontId="50" fillId="0" borderId="10" xfId="0" applyNumberFormat="1" applyFont="1" applyBorder="1"/>
    <xf numFmtId="43" fontId="7" fillId="0" borderId="10" xfId="1" applyFont="1" applyFill="1" applyBorder="1" applyAlignment="1">
      <alignment horizontal="center" vertical="center"/>
    </xf>
    <xf numFmtId="43" fontId="5" fillId="0" borderId="0" xfId="5" applyFont="1" applyFill="1" applyBorder="1" applyAlignment="1">
      <alignment horizontal="center"/>
    </xf>
    <xf numFmtId="49" fontId="7" fillId="0" borderId="4" xfId="0" quotePrefix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7" fillId="0" borderId="11" xfId="0" quotePrefix="1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3" fontId="7" fillId="0" borderId="0" xfId="1" applyFont="1" applyFill="1" applyBorder="1" applyAlignment="1">
      <alignment vertical="center"/>
    </xf>
    <xf numFmtId="164" fontId="7" fillId="0" borderId="0" xfId="1" applyNumberFormat="1" applyFont="1" applyFill="1" applyAlignment="1">
      <alignment vertical="center"/>
    </xf>
    <xf numFmtId="0" fontId="7" fillId="10" borderId="3" xfId="2" applyFont="1" applyFill="1" applyBorder="1" applyAlignment="1">
      <alignment horizontal="center"/>
    </xf>
    <xf numFmtId="43" fontId="7" fillId="10" borderId="2" xfId="1" applyFont="1" applyFill="1" applyBorder="1" applyAlignment="1">
      <alignment horizontal="center"/>
    </xf>
    <xf numFmtId="164" fontId="7" fillId="10" borderId="2" xfId="1" applyNumberFormat="1" applyFont="1" applyFill="1" applyBorder="1" applyAlignment="1">
      <alignment horizontal="center"/>
    </xf>
    <xf numFmtId="43" fontId="7" fillId="7" borderId="2" xfId="1" applyFont="1" applyFill="1" applyBorder="1" applyAlignment="1">
      <alignment horizontal="center"/>
    </xf>
    <xf numFmtId="164" fontId="7" fillId="7" borderId="2" xfId="1" applyNumberFormat="1" applyFont="1" applyFill="1" applyBorder="1" applyAlignment="1">
      <alignment horizontal="center"/>
    </xf>
    <xf numFmtId="43" fontId="7" fillId="7" borderId="3" xfId="1" applyFont="1" applyFill="1" applyBorder="1" applyAlignment="1">
      <alignment horizontal="center"/>
    </xf>
    <xf numFmtId="164" fontId="7" fillId="7" borderId="3" xfId="1" applyNumberFormat="1" applyFont="1" applyFill="1" applyBorder="1" applyAlignment="1">
      <alignment horizontal="center"/>
    </xf>
    <xf numFmtId="43" fontId="42" fillId="0" borderId="3" xfId="11" applyNumberFormat="1" applyFont="1" applyBorder="1"/>
    <xf numFmtId="49" fontId="9" fillId="11" borderId="3" xfId="12" applyNumberFormat="1" applyFont="1" applyFill="1" applyBorder="1"/>
    <xf numFmtId="164" fontId="7" fillId="0" borderId="0" xfId="1" applyNumberFormat="1" applyFont="1" applyBorder="1" applyAlignment="1">
      <alignment horizontal="right"/>
    </xf>
    <xf numFmtId="43" fontId="5" fillId="0" borderId="0" xfId="3" applyFont="1" applyFill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center" vertical="center"/>
    </xf>
    <xf numFmtId="43" fontId="7" fillId="9" borderId="2" xfId="1" applyFont="1" applyFill="1" applyBorder="1" applyAlignment="1">
      <alignment horizontal="center"/>
    </xf>
    <xf numFmtId="164" fontId="7" fillId="9" borderId="2" xfId="1" applyNumberFormat="1" applyFont="1" applyFill="1" applyBorder="1" applyAlignment="1">
      <alignment horizontal="center"/>
    </xf>
    <xf numFmtId="43" fontId="7" fillId="10" borderId="4" xfId="1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1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0" fillId="12" borderId="0" xfId="0" applyFill="1"/>
    <xf numFmtId="43" fontId="34" fillId="11" borderId="3" xfId="11" applyNumberFormat="1" applyFont="1" applyFill="1" applyBorder="1"/>
    <xf numFmtId="43" fontId="33" fillId="0" borderId="3" xfId="12" applyFont="1" applyFill="1" applyBorder="1" applyAlignment="1">
      <alignment horizontal="center"/>
    </xf>
    <xf numFmtId="0" fontId="26" fillId="0" borderId="0" xfId="10" applyFont="1" applyAlignment="1">
      <alignment horizontal="center"/>
    </xf>
    <xf numFmtId="0" fontId="25" fillId="0" borderId="0" xfId="10" applyFont="1" applyAlignment="1">
      <alignment horizontal="center"/>
    </xf>
    <xf numFmtId="0" fontId="30" fillId="0" borderId="0" xfId="10" applyFont="1" applyAlignment="1">
      <alignment horizontal="center"/>
    </xf>
    <xf numFmtId="0" fontId="31" fillId="0" borderId="0" xfId="10" applyFont="1" applyAlignment="1">
      <alignment horizontal="center"/>
    </xf>
    <xf numFmtId="0" fontId="32" fillId="0" borderId="0" xfId="10" applyFont="1" applyAlignment="1">
      <alignment horizontal="center"/>
    </xf>
    <xf numFmtId="0" fontId="33" fillId="0" borderId="0" xfId="15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4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1" xfId="2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3" fillId="0" borderId="12" xfId="11" applyFont="1" applyBorder="1" applyAlignment="1">
      <alignment horizontal="center"/>
    </xf>
    <xf numFmtId="0" fontId="33" fillId="0" borderId="9" xfId="11" applyFont="1" applyBorder="1" applyAlignment="1">
      <alignment horizontal="center"/>
    </xf>
    <xf numFmtId="0" fontId="35" fillId="0" borderId="1" xfId="11" applyFont="1" applyBorder="1" applyAlignment="1">
      <alignment horizontal="center" vertical="center"/>
    </xf>
    <xf numFmtId="0" fontId="35" fillId="0" borderId="0" xfId="11" applyFont="1" applyAlignment="1">
      <alignment horizontal="center"/>
    </xf>
    <xf numFmtId="0" fontId="35" fillId="0" borderId="1" xfId="1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4" applyFont="1" applyAlignment="1">
      <alignment horizontal="center"/>
    </xf>
  </cellXfs>
  <cellStyles count="293">
    <cellStyle name="Comma" xfId="1" builtinId="3"/>
    <cellStyle name="Comma 2" xfId="25" xr:uid="{AE63619D-65B9-4C1F-B866-A36BB6334944}"/>
    <cellStyle name="Comma 2 2" xfId="64" xr:uid="{12F3E2A9-FD92-4EA6-B3D7-93AD7FD5C974}"/>
    <cellStyle name="Comma 2 2 2" xfId="208" xr:uid="{59E709D1-5985-463D-94FD-17180FB3A60C}"/>
    <cellStyle name="Comma 2 3" xfId="179" xr:uid="{B02797A6-4C1D-4F8E-9477-7B8E8D5EE2DC}"/>
    <cellStyle name="Comma 3" xfId="5" xr:uid="{1B5D0578-A337-41E2-88EF-A1A564B4CAB1}"/>
    <cellStyle name="Comma 3 2" xfId="27" xr:uid="{371C4846-DB28-4788-99EF-DC73FB06AA48}"/>
    <cellStyle name="Comma 3 2 2" xfId="181" xr:uid="{7868A19A-251D-4C74-974E-7FB9A97651D6}"/>
    <cellStyle name="Comma 3 3" xfId="83" xr:uid="{24746F3F-EA95-4DAA-B7E7-A16A9931D329}"/>
    <cellStyle name="Comma 3 3 2" xfId="226" xr:uid="{852435FD-6C47-4541-BA38-655E8370021C}"/>
    <cellStyle name="Comma 3 4" xfId="173" xr:uid="{5F3858B5-1E86-47FC-B85E-321F4AF2D9CF}"/>
    <cellStyle name="Comma 3 5" xfId="19" xr:uid="{85D66660-4BB0-4507-9EDF-CCEB4A032FED}"/>
    <cellStyle name="Comma 4" xfId="101" xr:uid="{ECC08136-209C-4BF4-B15A-64D1D12D2254}"/>
    <cellStyle name="Comma 4 2" xfId="244" xr:uid="{B5B46EEE-7356-48FE-8F91-DB39CCC5BE69}"/>
    <cellStyle name="Comma 5" xfId="3" xr:uid="{0336A78A-00F7-419D-879E-AC1965F0C3BC}"/>
    <cellStyle name="Comma 5 2" xfId="26" xr:uid="{A43F2895-27FC-4D4C-92BA-033B09F310D3}"/>
    <cellStyle name="Comma 5 2 2" xfId="180" xr:uid="{B7AD48CE-B072-4722-95D6-18048B272A1A}"/>
    <cellStyle name="Comma 5 3" xfId="120" xr:uid="{2B9A2DEC-99A7-4A64-A04F-C2FB74FC43BA}"/>
    <cellStyle name="Comma 5 3 2" xfId="262" xr:uid="{5423559D-1B9C-479A-BCA0-CE21A0094F35}"/>
    <cellStyle name="Comma 5 4" xfId="172" xr:uid="{424077FD-AED6-4988-B26C-B3304B1F9985}"/>
    <cellStyle name="Comma 5 5" xfId="18" xr:uid="{3510102B-DD24-4775-8A70-82AE70F2CA82}"/>
    <cellStyle name="Comma 6" xfId="138" xr:uid="{10095905-39B0-4336-B04B-4C3340A2AFE7}"/>
    <cellStyle name="Comma 6 2" xfId="280" xr:uid="{663EB577-B7D1-4996-A990-6E0EB85F33C8}"/>
    <cellStyle name="Comma 7" xfId="35" xr:uid="{37C59A12-28A4-45C9-9A39-E70FFD570124}"/>
    <cellStyle name="Comma 7 2" xfId="188" xr:uid="{EBBFA61D-FE00-4765-B397-1B0E70AC4069}"/>
    <cellStyle name="Comma 8" xfId="171" xr:uid="{B844BDEB-7341-4512-B934-387B1D5A1124}"/>
    <cellStyle name="Comma 9" xfId="17" xr:uid="{419A823C-34FB-4580-A03F-43E2F9DD6AA1}"/>
    <cellStyle name="Normal" xfId="0" builtinId="0"/>
    <cellStyle name="Normal 3" xfId="4" xr:uid="{967D302A-0937-4CBF-94DB-CA1A01AD2405}"/>
    <cellStyle name="Normal 5" xfId="2" xr:uid="{3BB9C4FB-3287-4C6B-8D00-ACF9426ADA09}"/>
    <cellStyle name="Normal 6" xfId="8" xr:uid="{9397F132-2B56-4318-A7B5-E37B06683C66}"/>
    <cellStyle name="Percent" xfId="9" builtinId="5"/>
    <cellStyle name="เครื่องหมายจุลภาค 10" xfId="40" xr:uid="{6B91A9A8-649F-4487-B34A-ED3EA105C410}"/>
    <cellStyle name="เครื่องหมายจุลภาค 10 2" xfId="44" xr:uid="{744913CB-DDF9-4C4E-8202-3EABE4536EF0}"/>
    <cellStyle name="เครื่องหมายจุลภาค 10 2 2" xfId="191" xr:uid="{5A78A554-C506-43F7-9110-A6BF2D87FCFD}"/>
    <cellStyle name="เครื่องหมายจุลภาค 10 3" xfId="66" xr:uid="{5CBFA69B-7F34-4108-B16E-41C2468D07E4}"/>
    <cellStyle name="เครื่องหมายจุลภาค 10 3 2" xfId="209" xr:uid="{B4DC5F76-70AB-4822-B534-A893FB805B1D}"/>
    <cellStyle name="เครื่องหมายจุลภาค 10 4" xfId="84" xr:uid="{F7673D97-8CF7-45CF-AB10-604E3D20308D}"/>
    <cellStyle name="เครื่องหมายจุลภาค 10 4 2" xfId="227" xr:uid="{B1C31FD4-14BC-4AE1-877C-B531EC1E5F38}"/>
    <cellStyle name="เครื่องหมายจุลภาค 10 5" xfId="103" xr:uid="{BA56E1B9-2234-49BF-8221-70D0DBBB70BB}"/>
    <cellStyle name="เครื่องหมายจุลภาค 10 5 2" xfId="245" xr:uid="{004607CF-30B4-474C-8FE9-72AC7271ADA3}"/>
    <cellStyle name="เครื่องหมายจุลภาค 10 6" xfId="121" xr:uid="{69068517-78A9-4581-BB65-87FBD2EC43CD}"/>
    <cellStyle name="เครื่องหมายจุลภาค 10 6 2" xfId="263" xr:uid="{3EBFF841-4240-4BF2-9642-BA2BFCCFAC3C}"/>
    <cellStyle name="เครื่องหมายจุลภาค 11" xfId="57" xr:uid="{E0D3A806-5C5A-436B-B32A-0DBE869A85A7}"/>
    <cellStyle name="เครื่องหมายจุลภาค 11 2" xfId="77" xr:uid="{FAC6E2EE-EB9E-4886-AC2B-FAB0549794F8}"/>
    <cellStyle name="เครื่องหมายจุลภาค 11 2 2" xfId="220" xr:uid="{E9760805-7B2B-4967-B8BA-226A1C609A9E}"/>
    <cellStyle name="เครื่องหมายจุลภาค 11 3" xfId="95" xr:uid="{1E66BDB7-2627-44C7-85E3-681E1A6E8B5B}"/>
    <cellStyle name="เครื่องหมายจุลภาค 11 3 2" xfId="238" xr:uid="{485BE30D-FE03-43FD-BC9D-446D2AF81374}"/>
    <cellStyle name="เครื่องหมายจุลภาค 11 4" xfId="114" xr:uid="{19C2FEEB-7135-4D11-AD2C-F9ECFE88F298}"/>
    <cellStyle name="เครื่องหมายจุลภาค 11 4 2" xfId="256" xr:uid="{72B937BC-AB79-40AF-BD9E-51311B4A2FC4}"/>
    <cellStyle name="เครื่องหมายจุลภาค 11 5" xfId="132" xr:uid="{E148AF62-4585-4054-BBE4-01F3836D06D1}"/>
    <cellStyle name="เครื่องหมายจุลภาค 11 5 2" xfId="274" xr:uid="{16E3F733-7B39-4731-BC85-1C57FCFFE99C}"/>
    <cellStyle name="เครื่องหมายจุลภาค 11 6" xfId="202" xr:uid="{E195BC35-4220-4B52-B051-C6BBCB7FB920}"/>
    <cellStyle name="เครื่องหมายจุลภาค 12" xfId="60" xr:uid="{ADDBDE96-FF69-4F7A-B304-03E025D88D70}"/>
    <cellStyle name="เครื่องหมายจุลภาค 12 2" xfId="79" xr:uid="{8A4178B9-C431-47D3-8D13-C49EC86DB31C}"/>
    <cellStyle name="เครื่องหมายจุลภาค 12 2 2" xfId="222" xr:uid="{F1D8859F-382A-401A-8BD4-F721298F6C95}"/>
    <cellStyle name="เครื่องหมายจุลภาค 12 3" xfId="97" xr:uid="{C91459E9-0669-4DA4-ACDA-D68A4C277BFF}"/>
    <cellStyle name="เครื่องหมายจุลภาค 12 3 2" xfId="240" xr:uid="{F0B44E20-CA0A-4C73-852F-3D7D019DE1E5}"/>
    <cellStyle name="เครื่องหมายจุลภาค 12 4" xfId="116" xr:uid="{661D2564-C6DA-473B-A257-8ECEEB2E5223}"/>
    <cellStyle name="เครื่องหมายจุลภาค 12 4 2" xfId="258" xr:uid="{6022DD35-E2FA-4737-9050-97CDEA2D5B4C}"/>
    <cellStyle name="เครื่องหมายจุลภาค 12 5" xfId="134" xr:uid="{C9C632B1-A859-49E3-8029-E1F619E8F412}"/>
    <cellStyle name="เครื่องหมายจุลภาค 12 5 2" xfId="276" xr:uid="{8628B885-E7C7-4B85-97C2-00922DBAA193}"/>
    <cellStyle name="เครื่องหมายจุลภาค 12 6" xfId="204" xr:uid="{0998FA7F-6A68-497F-B7FB-ADF1AAB5A991}"/>
    <cellStyle name="เครื่องหมายจุลภาค 13" xfId="62" xr:uid="{897D400F-4024-4956-99DB-D1904932C50F}"/>
    <cellStyle name="เครื่องหมายจุลภาค 13 2" xfId="81" xr:uid="{94EE6FE1-B733-4480-9861-0772E636222A}"/>
    <cellStyle name="เครื่องหมายจุลภาค 13 2 2" xfId="224" xr:uid="{E46172C6-69E7-44A4-8399-F8D80EA96A8F}"/>
    <cellStyle name="เครื่องหมายจุลภาค 13 3" xfId="99" xr:uid="{0D8B2D72-E0A1-4E92-A425-7CFEE3F04905}"/>
    <cellStyle name="เครื่องหมายจุลภาค 13 3 2" xfId="242" xr:uid="{3F05883F-3DCD-4469-97E5-7CE1F925FE62}"/>
    <cellStyle name="เครื่องหมายจุลภาค 13 4" xfId="118" xr:uid="{31596DA8-7CF4-4E7A-A66B-C724CB70D638}"/>
    <cellStyle name="เครื่องหมายจุลภาค 13 4 2" xfId="260" xr:uid="{4CDD3622-46CE-42D0-BC9D-D2151508BA8E}"/>
    <cellStyle name="เครื่องหมายจุลภาค 13 5" xfId="136" xr:uid="{D3832657-F72C-4604-8677-8804E77EF471}"/>
    <cellStyle name="เครื่องหมายจุลภาค 13 5 2" xfId="278" xr:uid="{F99B231F-4BDF-4D26-B939-7D4B21010D2A}"/>
    <cellStyle name="เครื่องหมายจุลภาค 13 6" xfId="206" xr:uid="{04A581FE-0724-4672-B9EC-58617A41D844}"/>
    <cellStyle name="เครื่องหมายจุลภาค 2" xfId="12" xr:uid="{A4EDD0A9-D55E-441B-BD4B-256E075DD2BF}"/>
    <cellStyle name="เครื่องหมายจุลภาค 2 10" xfId="46" xr:uid="{B8231F5C-3A77-4D4D-9368-1A5686F9D6A8}"/>
    <cellStyle name="เครื่องหมายจุลภาค 2 10 10" xfId="192" xr:uid="{AE2E27DA-324F-46B9-8F93-7FDAC6EB2C83}"/>
    <cellStyle name="เครื่องหมายจุลภาค 2 10 2" xfId="67" xr:uid="{68B3E33C-4E89-4775-B85D-C3E4676CE146}"/>
    <cellStyle name="เครื่องหมายจุลภาค 2 10 2 2" xfId="210" xr:uid="{143D8CD7-5EB3-438B-B8AD-63248E114C9A}"/>
    <cellStyle name="เครื่องหมายจุลภาค 2 10 3" xfId="85" xr:uid="{E522D78D-6A83-400E-8232-C81EBFE8C279}"/>
    <cellStyle name="เครื่องหมายจุลภาค 2 10 3 2" xfId="228" xr:uid="{074673AF-2E39-4301-927A-0737C306E274}"/>
    <cellStyle name="เครื่องหมายจุลภาค 2 10 4" xfId="104" xr:uid="{2DB062F2-9D06-4A3C-B428-6F0794555CA3}"/>
    <cellStyle name="เครื่องหมายจุลภาค 2 10 4 2" xfId="246" xr:uid="{D2F03DBF-97BC-4E47-834F-726DB5206D32}"/>
    <cellStyle name="เครื่องหมายจุลภาค 2 10 5" xfId="122" xr:uid="{697F3EF0-B404-4911-93FA-25CF1C031D85}"/>
    <cellStyle name="เครื่องหมายจุลภาค 2 10 5 2" xfId="264" xr:uid="{874B60EB-4EAF-4B9C-BF1E-A21B65B09231}"/>
    <cellStyle name="เครื่องหมายจุลภาค 2 10 6" xfId="142" xr:uid="{DC460809-0C19-4A3D-95BE-1260B25A8AEA}"/>
    <cellStyle name="เครื่องหมายจุลภาค 2 10 6 2" xfId="281" xr:uid="{C7722F64-CA6F-41CF-B47D-1C2828FEB5A2}"/>
    <cellStyle name="เครื่องหมายจุลภาค 2 10 7" xfId="150" xr:uid="{54803A0A-111E-4439-955E-6771862C3632}"/>
    <cellStyle name="เครื่องหมายจุลภาค 2 10 7 2" xfId="284" xr:uid="{DF3D6F51-53B5-469E-87C4-B364643D3DE5}"/>
    <cellStyle name="เครื่องหมายจุลภาค 2 10 8" xfId="158" xr:uid="{6B3FAE6F-984E-4D81-B29C-F0D66BF45B80}"/>
    <cellStyle name="เครื่องหมายจุลภาค 2 10 8 2" xfId="287" xr:uid="{0B1AD493-7717-423B-97FE-C6161207CC3D}"/>
    <cellStyle name="เครื่องหมายจุลภาค 2 10 9" xfId="166" xr:uid="{5FEDAC9A-03F5-48EE-BD4C-31AC7462A9AE}"/>
    <cellStyle name="เครื่องหมายจุลภาค 2 10 9 2" xfId="290" xr:uid="{85188BFC-C4A0-40B8-B2C1-C3D3CF3822A4}"/>
    <cellStyle name="เครื่องหมายจุลภาค 2 11" xfId="123" xr:uid="{03E2BD12-9387-437C-A04B-93E5EA46B7DC}"/>
    <cellStyle name="เครื่องหมายจุลภาค 2 11 2" xfId="265" xr:uid="{A940C664-B3B3-4C7B-95C3-0AC1F6B1E1DE}"/>
    <cellStyle name="เครื่องหมายจุลภาค 2 12" xfId="143" xr:uid="{DFF1B59B-A454-47F8-A6AE-885387BA0270}"/>
    <cellStyle name="เครื่องหมายจุลภาค 2 12 2" xfId="282" xr:uid="{93ED166F-A40A-44F6-A776-7B26DCD13B2B}"/>
    <cellStyle name="เครื่องหมายจุลภาค 2 13" xfId="151" xr:uid="{D3BC6BAA-8BD0-4638-A9EF-B83DEEAC0771}"/>
    <cellStyle name="เครื่องหมายจุลภาค 2 13 2" xfId="285" xr:uid="{787C35F5-9188-47E4-842A-59813AA5A5F4}"/>
    <cellStyle name="เครื่องหมายจุลภาค 2 14" xfId="159" xr:uid="{3A16255F-602F-4D6E-AC8A-D7368ABC24EF}"/>
    <cellStyle name="เครื่องหมายจุลภาค 2 14 2" xfId="288" xr:uid="{4F089DE5-766F-4919-9B99-5F296A72BD87}"/>
    <cellStyle name="เครื่องหมายจุลภาค 2 15" xfId="167" xr:uid="{9A694740-957B-4AC7-8463-D9CBBE3C6FAE}"/>
    <cellStyle name="เครื่องหมายจุลภาค 2 15 2" xfId="291" xr:uid="{EEE86545-D9F8-4614-AAA4-D120C4E47CF0}"/>
    <cellStyle name="เครื่องหมายจุลภาค 2 16" xfId="36" xr:uid="{DCBBA11D-B4EE-4C3E-AD7E-554ADE91F70F}"/>
    <cellStyle name="เครื่องหมายจุลภาค 2 16 2" xfId="189" xr:uid="{929BE341-01D0-4194-B3B1-7ED7160656C6}"/>
    <cellStyle name="เครื่องหมายจุลภาค 2 17" xfId="176" xr:uid="{BFE6FEFB-CD0E-40F5-B483-99A595B67B01}"/>
    <cellStyle name="เครื่องหมายจุลภาค 2 18" xfId="22" xr:uid="{E30BA211-AB3E-44E5-BB2F-2A37A88F3DBB}"/>
    <cellStyle name="เครื่องหมายจุลภาค 2 2" xfId="13" xr:uid="{0DBC47DE-325F-4A18-AC40-A228AF815C1A}"/>
    <cellStyle name="เครื่องหมายจุลภาค 2 2 10" xfId="54" xr:uid="{37702F07-BC59-4A46-BE22-D7B18D38A139}"/>
    <cellStyle name="เครื่องหมายจุลภาค 2 2 10 2" xfId="199" xr:uid="{86FD7CC7-4056-4086-AD94-55F0781B329A}"/>
    <cellStyle name="เครื่องหมายจุลภาค 2 2 11" xfId="177" xr:uid="{5B1B78BE-FBC7-4AF1-B188-6B943A3B8F4D}"/>
    <cellStyle name="เครื่องหมายจุลภาค 2 2 12" xfId="23" xr:uid="{D52DEE55-746C-4AC0-BFD7-88548C1B15CB}"/>
    <cellStyle name="เครื่องหมายจุลภาค 2 2 2" xfId="33" xr:uid="{406E9B76-150B-45C8-A850-B465951B9EAA}"/>
    <cellStyle name="เครื่องหมายจุลภาค 2 2 2 2" xfId="74" xr:uid="{62281938-B4F3-4F0F-9F0E-05EABFA50921}"/>
    <cellStyle name="เครื่องหมายจุลภาค 2 2 2 2 2" xfId="217" xr:uid="{8374B5E2-0DD3-4382-9500-51534FEE6A6F}"/>
    <cellStyle name="เครื่องหมายจุลภาค 2 2 2 3" xfId="186" xr:uid="{66789748-8913-4060-8585-42F28819FEE0}"/>
    <cellStyle name="เครื่องหมายจุลภาค 2 2 3" xfId="92" xr:uid="{F9A217D2-E248-4D1A-8A81-D9DFBD92D46C}"/>
    <cellStyle name="เครื่องหมายจุลภาค 2 2 3 2" xfId="235" xr:uid="{A7AB57DE-89CB-42E9-B832-00B2648F7AD6}"/>
    <cellStyle name="เครื่องหมายจุลภาค 2 2 4" xfId="111" xr:uid="{300AB7EE-3151-45C3-837E-741106E665E0}"/>
    <cellStyle name="เครื่องหมายจุลภาค 2 2 4 2" xfId="253" xr:uid="{67F79FF6-31A0-403C-85A8-65CD78881428}"/>
    <cellStyle name="เครื่องหมายจุลภาค 2 2 5" xfId="129" xr:uid="{E381A561-1FAE-464A-A6FD-EC22C244474D}"/>
    <cellStyle name="เครื่องหมายจุลภาค 2 2 5 2" xfId="271" xr:uid="{6962308C-3CF4-49B6-8317-31CA43783EA8}"/>
    <cellStyle name="เครื่องหมายจุลภาค 2 2 6" xfId="145" xr:uid="{154EB6EA-BE7D-457A-B498-D7394B81E2C5}"/>
    <cellStyle name="เครื่องหมายจุลภาค 2 2 6 2" xfId="283" xr:uid="{A2E9D991-7FC0-4244-B82A-EB2179710B08}"/>
    <cellStyle name="เครื่องหมายจุลภาค 2 2 7" xfId="153" xr:uid="{3F2B7F79-C362-4C1B-B069-06CD0ABCCA2E}"/>
    <cellStyle name="เครื่องหมายจุลภาค 2 2 7 2" xfId="286" xr:uid="{DD40BF56-B37E-42F6-9474-70EF6A6063D7}"/>
    <cellStyle name="เครื่องหมายจุลภาค 2 2 8" xfId="161" xr:uid="{00846CC1-0E42-4A60-8FD2-B950A6E8D467}"/>
    <cellStyle name="เครื่องหมายจุลภาค 2 2 8 2" xfId="289" xr:uid="{FE35DB21-E42E-496A-88B5-8490A66739E0}"/>
    <cellStyle name="เครื่องหมายจุลภาค 2 2 9" xfId="169" xr:uid="{69793A43-3C00-4ADB-840D-618903FF9BCC}"/>
    <cellStyle name="เครื่องหมายจุลภาค 2 2 9 2" xfId="292" xr:uid="{57D1B867-BF45-41E6-A418-56F7BEE516AB}"/>
    <cellStyle name="เครื่องหมายจุลภาค 2 3" xfId="32" xr:uid="{66088190-3799-4C85-87FA-1AC91F94665E}"/>
    <cellStyle name="เครื่องหมายจุลภาค 2 3 2" xfId="78" xr:uid="{2DE47E05-6B66-46F0-B22B-AC7BF89A53C5}"/>
    <cellStyle name="เครื่องหมายจุลภาค 2 3 2 2" xfId="221" xr:uid="{27D14B09-AC0B-4D79-ACCF-DFA0490320D9}"/>
    <cellStyle name="เครื่องหมายจุลภาค 2 3 3" xfId="96" xr:uid="{B5D4F51C-711F-4235-8503-89BC2489780C}"/>
    <cellStyle name="เครื่องหมายจุลภาค 2 3 3 2" xfId="239" xr:uid="{9185FC14-82BE-4499-96E3-0E41BE34269F}"/>
    <cellStyle name="เครื่องหมายจุลภาค 2 3 4" xfId="115" xr:uid="{3B3A2A88-E787-48FD-8267-59F9AA8A1FC0}"/>
    <cellStyle name="เครื่องหมายจุลภาค 2 3 4 2" xfId="257" xr:uid="{FBD6E592-326C-420A-968F-2711135BE5CD}"/>
    <cellStyle name="เครื่องหมายจุลภาค 2 3 5" xfId="133" xr:uid="{95387F07-7741-4050-A513-74C3ECECF880}"/>
    <cellStyle name="เครื่องหมายจุลภาค 2 3 5 2" xfId="275" xr:uid="{E81F0F48-D385-41BC-8EE0-81E0820338BD}"/>
    <cellStyle name="เครื่องหมายจุลภาค 2 3 6" xfId="58" xr:uid="{2F4ED1E7-B32B-495B-8173-D7D1AA82DBD4}"/>
    <cellStyle name="เครื่องหมายจุลภาค 2 3 6 2" xfId="203" xr:uid="{EB9B5592-A852-4944-B7B5-835F743ADBA0}"/>
    <cellStyle name="เครื่องหมายจุลภาค 2 3 7" xfId="185" xr:uid="{7D9148E0-DB20-4985-86DC-F09BA566B075}"/>
    <cellStyle name="เครื่องหมายจุลภาค 2 4" xfId="61" xr:uid="{6EFFE090-9110-4F37-846C-0F1D6B14BD26}"/>
    <cellStyle name="เครื่องหมายจุลภาค 2 4 2" xfId="80" xr:uid="{FB21C8F1-6A3F-4425-A425-5A635C935E3F}"/>
    <cellStyle name="เครื่องหมายจุลภาค 2 4 2 2" xfId="223" xr:uid="{E06857B4-99EC-4594-BD55-C552D56FDB8B}"/>
    <cellStyle name="เครื่องหมายจุลภาค 2 4 3" xfId="98" xr:uid="{E76A86E7-302C-40D3-A5A9-886201D7D5EB}"/>
    <cellStyle name="เครื่องหมายจุลภาค 2 4 3 2" xfId="241" xr:uid="{B4F9A4C9-E80A-4B61-B306-2004BB314657}"/>
    <cellStyle name="เครื่องหมายจุลภาค 2 4 4" xfId="117" xr:uid="{8AC1457A-009A-4375-9AE1-6E8927B40087}"/>
    <cellStyle name="เครื่องหมายจุลภาค 2 4 4 2" xfId="259" xr:uid="{0B25A5A7-425B-4CA5-BB8E-74C174DF34B9}"/>
    <cellStyle name="เครื่องหมายจุลภาค 2 4 5" xfId="135" xr:uid="{82214228-C265-4FEC-B0FB-C9C1C0F42046}"/>
    <cellStyle name="เครื่องหมายจุลภาค 2 4 5 2" xfId="277" xr:uid="{4CFE83EA-9D8A-4214-A515-8509B3815890}"/>
    <cellStyle name="เครื่องหมายจุลภาค 2 4 6" xfId="205" xr:uid="{D4243549-4C74-41CF-80C2-40E4BE8380F2}"/>
    <cellStyle name="เครื่องหมายจุลภาค 2 5" xfId="63" xr:uid="{F4BFBFB3-E966-4EB9-A985-B6CC9DA10453}"/>
    <cellStyle name="เครื่องหมายจุลภาค 2 5 2" xfId="82" xr:uid="{35649F53-2C93-41D9-A264-35604D8341A8}"/>
    <cellStyle name="เครื่องหมายจุลภาค 2 5 2 2" xfId="225" xr:uid="{30E13141-2282-4405-93B0-272D2774B899}"/>
    <cellStyle name="เครื่องหมายจุลภาค 2 5 3" xfId="100" xr:uid="{B045057A-69BC-4897-A4D4-B29FC1346E21}"/>
    <cellStyle name="เครื่องหมายจุลภาค 2 5 3 2" xfId="243" xr:uid="{17BCFBCF-99A7-446C-8F07-F408DBBFD8B5}"/>
    <cellStyle name="เครื่องหมายจุลภาค 2 5 4" xfId="119" xr:uid="{B088115A-98CA-46D9-824B-0FD1CBD9FD7B}"/>
    <cellStyle name="เครื่องหมายจุลภาค 2 5 4 2" xfId="261" xr:uid="{17457D90-6651-4170-AACD-4CE8B5900259}"/>
    <cellStyle name="เครื่องหมายจุลภาค 2 5 5" xfId="137" xr:uid="{430E08F1-6B37-4FA7-8DD7-68DFD8D2D086}"/>
    <cellStyle name="เครื่องหมายจุลภาค 2 5 5 2" xfId="279" xr:uid="{73CC7F18-29A6-45E3-8D34-89DE6B3D1400}"/>
    <cellStyle name="เครื่องหมายจุลภาค 2 5 6" xfId="207" xr:uid="{4E6DA29F-C507-4467-91C2-B2D3941F1E5E}"/>
    <cellStyle name="เครื่องหมายจุลภาค 2 6" xfId="47" xr:uid="{3CD49593-A567-4BAA-9757-3A536406B820}"/>
    <cellStyle name="เครื่องหมายจุลภาค 2 6 2" xfId="193" xr:uid="{49108D81-5723-4BEE-B642-35FB408B5D18}"/>
    <cellStyle name="เครื่องหมายจุลภาค 2 7" xfId="68" xr:uid="{888161C9-1658-4346-9897-9D01CB17294F}"/>
    <cellStyle name="เครื่องหมายจุลภาค 2 7 2" xfId="211" xr:uid="{9997A29A-4265-47DB-BCEE-2179C7281D91}"/>
    <cellStyle name="เครื่องหมายจุลภาค 2 8" xfId="86" xr:uid="{FA2D413F-EC2E-4771-89DF-663E153CB2AF}"/>
    <cellStyle name="เครื่องหมายจุลภาค 2 8 2" xfId="229" xr:uid="{DFFE9A28-FB92-487C-8787-290A76BFA49F}"/>
    <cellStyle name="เครื่องหมายจุลภาค 2 9" xfId="105" xr:uid="{B759542A-9397-42ED-9D44-9A1BDD92EA6E}"/>
    <cellStyle name="เครื่องหมายจุลภาค 2 9 2" xfId="247" xr:uid="{A69FDA54-2209-417B-B666-DFA861E743F7}"/>
    <cellStyle name="เครื่องหมายจุลภาค 3" xfId="6" xr:uid="{E9193204-944D-4D2F-8E1C-46913EC3F47F}"/>
    <cellStyle name="เครื่องหมายจุลภาค 3 2" xfId="29" xr:uid="{C355B66D-CE45-4625-9425-15E58A4E3B18}"/>
    <cellStyle name="เครื่องหมายจุลภาค 3 2 2" xfId="70" xr:uid="{261590E7-8BC7-4B3E-ADD9-7A4B6FBDF09C}"/>
    <cellStyle name="เครื่องหมายจุลภาค 3 2 2 2" xfId="213" xr:uid="{F6CAF6E6-66D5-4FE4-8320-16A6F4F2D6EA}"/>
    <cellStyle name="เครื่องหมายจุลภาค 3 2 3" xfId="183" xr:uid="{B93A45DF-1AC6-4840-9464-47929D056E9F}"/>
    <cellStyle name="เครื่องหมายจุลภาค 3 3" xfId="88" xr:uid="{33E4A118-5FE8-405F-B021-E3DBBE5922FC}"/>
    <cellStyle name="เครื่องหมายจุลภาค 3 3 2" xfId="231" xr:uid="{C5861243-C162-48DC-9212-3D23CBA74E59}"/>
    <cellStyle name="เครื่องหมายจุลภาค 3 4" xfId="107" xr:uid="{D8446587-8061-46BA-8738-FF96928A9984}"/>
    <cellStyle name="เครื่องหมายจุลภาค 3 4 2" xfId="249" xr:uid="{9AA149C9-4640-472D-950F-E6B90114AA01}"/>
    <cellStyle name="เครื่องหมายจุลภาค 3 5" xfId="125" xr:uid="{8367B74A-E364-4ED5-916F-0651E3B9DD55}"/>
    <cellStyle name="เครื่องหมายจุลภาค 3 5 2" xfId="267" xr:uid="{BAA68AEC-6444-476A-AAC0-827F195F9779}"/>
    <cellStyle name="เครื่องหมายจุลภาค 3 6" xfId="49" xr:uid="{DDC854AF-C16C-4828-86A8-12B6E241415C}"/>
    <cellStyle name="เครื่องหมายจุลภาค 3 6 2" xfId="195" xr:uid="{08A7AEFC-24A1-4030-8706-98553833C7F1}"/>
    <cellStyle name="เครื่องหมายจุลภาค 3 7" xfId="174" xr:uid="{E6FB542A-929F-4BA3-A2C6-F3FABF4260F1}"/>
    <cellStyle name="เครื่องหมายจุลภาค 3 8" xfId="20" xr:uid="{D3CB6673-2FC6-486E-A6F1-140E37ABA3AD}"/>
    <cellStyle name="เครื่องหมายจุลภาค 4" xfId="48" xr:uid="{068F000F-AEB2-4D4E-8B9A-E1953EB01D5E}"/>
    <cellStyle name="เครื่องหมายจุลภาค 4 2" xfId="69" xr:uid="{0EF9CE90-2413-4B90-82AC-A35ABD913F27}"/>
    <cellStyle name="เครื่องหมายจุลภาค 4 2 2" xfId="212" xr:uid="{AD4E8341-1196-4ACE-AF93-5CC4D5D04C79}"/>
    <cellStyle name="เครื่องหมายจุลภาค 4 3" xfId="87" xr:uid="{825692D1-A0AE-428C-B08E-5C46DCD158C4}"/>
    <cellStyle name="เครื่องหมายจุลภาค 4 3 2" xfId="230" xr:uid="{2FFCF692-C0A5-4DAB-A91A-70DC7D65979C}"/>
    <cellStyle name="เครื่องหมายจุลภาค 4 4" xfId="106" xr:uid="{DF4B08A1-7287-43E3-B1B1-317767009C48}"/>
    <cellStyle name="เครื่องหมายจุลภาค 4 4 2" xfId="248" xr:uid="{5F7DBE03-A372-48E5-A498-A1DF1111320E}"/>
    <cellStyle name="เครื่องหมายจุลภาค 4 5" xfId="124" xr:uid="{745465B7-B2BA-4FD1-99AD-D975D9EB5E18}"/>
    <cellStyle name="เครื่องหมายจุลภาค 4 5 2" xfId="266" xr:uid="{A4D1F5D5-E377-4512-8AA5-36B5B504F8F6}"/>
    <cellStyle name="เครื่องหมายจุลภาค 4 6" xfId="194" xr:uid="{0660AFC3-AFAD-48A6-8404-AD084293B25B}"/>
    <cellStyle name="เครื่องหมายจุลภาค 5" xfId="41" xr:uid="{C2D9F1AD-3D18-449D-814C-29CCCE44D046}"/>
    <cellStyle name="เครื่องหมายจุลภาค 5 2" xfId="50" xr:uid="{27C36A69-5506-4AFE-AF3A-5FEB84B25113}"/>
    <cellStyle name="เครื่องหมายจุลภาค 5 2 2" xfId="196" xr:uid="{15B33BD1-A834-4A1A-B763-3DB712728F1C}"/>
    <cellStyle name="เครื่องหมายจุลภาค 5 3" xfId="71" xr:uid="{19C177E1-D58A-4594-8AA3-FC5D6FBCFEEE}"/>
    <cellStyle name="เครื่องหมายจุลภาค 5 3 2" xfId="214" xr:uid="{EB573F02-6540-432A-B5A3-32F0E088AEEC}"/>
    <cellStyle name="เครื่องหมายจุลภาค 5 4" xfId="89" xr:uid="{E43046AB-7428-4C90-8588-27B52CF9E483}"/>
    <cellStyle name="เครื่องหมายจุลภาค 5 4 2" xfId="232" xr:uid="{CA314D20-DC75-492B-9882-0E2AFE47D226}"/>
    <cellStyle name="เครื่องหมายจุลภาค 5 5" xfId="108" xr:uid="{BC95CF12-E176-4292-8CCC-6D79D17AE229}"/>
    <cellStyle name="เครื่องหมายจุลภาค 5 5 2" xfId="250" xr:uid="{F94CF1BF-655D-49AC-ADE4-CA66002C60FF}"/>
    <cellStyle name="เครื่องหมายจุลภาค 5 6" xfId="126" xr:uid="{B780954B-0A89-4A80-B895-2F60ECE87ACF}"/>
    <cellStyle name="เครื่องหมายจุลภาค 5 6 2" xfId="268" xr:uid="{D740D3A8-3086-4581-B513-F2D827D07E3A}"/>
    <cellStyle name="เครื่องหมายจุลภาค 5 7" xfId="190" xr:uid="{67FFB3E2-D234-4B67-810F-D9D8DBB938DB}"/>
    <cellStyle name="เครื่องหมายจุลภาค 6" xfId="52" xr:uid="{667B714C-52FE-4B5A-ABE6-C3DE8AA20299}"/>
    <cellStyle name="เครื่องหมายจุลภาค 6 2" xfId="73" xr:uid="{76812446-3CAF-4EB3-8FF8-96705EA36BDC}"/>
    <cellStyle name="เครื่องหมายจุลภาค 6 2 2" xfId="216" xr:uid="{C10F23C8-9D10-4183-84FA-6C53DF3E2D87}"/>
    <cellStyle name="เครื่องหมายจุลภาค 6 3" xfId="91" xr:uid="{CF716A9A-559E-47CE-9647-79C6FAC8297F}"/>
    <cellStyle name="เครื่องหมายจุลภาค 6 3 2" xfId="234" xr:uid="{B4F26216-FDF4-4AE8-A066-7EBEAD3B28F0}"/>
    <cellStyle name="เครื่องหมายจุลภาค 6 4" xfId="110" xr:uid="{0A7140B8-3B7F-4FF5-B469-305A9377BC5E}"/>
    <cellStyle name="เครื่องหมายจุลภาค 6 4 2" xfId="252" xr:uid="{34341F3F-F8A7-42DA-914E-C6EDA5D44A7E}"/>
    <cellStyle name="เครื่องหมายจุลภาค 6 5" xfId="128" xr:uid="{B430F27D-A6EB-49CF-ABA5-E462976B9C9D}"/>
    <cellStyle name="เครื่องหมายจุลภาค 6 5 2" xfId="270" xr:uid="{B6F782C4-F456-466C-968D-26C21469C8E2}"/>
    <cellStyle name="เครื่องหมายจุลภาค 6 6" xfId="198" xr:uid="{7E3F16BF-4320-480E-99D4-07DF71420092}"/>
    <cellStyle name="เครื่องหมายจุลภาค 7" xfId="16" xr:uid="{5EBCCE8F-DC36-4E09-9667-42479860BDB9}"/>
    <cellStyle name="เครื่องหมายจุลภาค 7 2" xfId="34" xr:uid="{F5E989FE-E3BB-43F2-8970-7C7887A31161}"/>
    <cellStyle name="เครื่องหมายจุลภาค 7 2 2" xfId="72" xr:uid="{7339A533-DBEA-419B-89A3-425D88FD41D2}"/>
    <cellStyle name="เครื่องหมายจุลภาค 7 2 2 2" xfId="215" xr:uid="{6313DB18-FB2A-4B40-9401-5AE13A751C98}"/>
    <cellStyle name="เครื่องหมายจุลภาค 7 2 3" xfId="187" xr:uid="{BD9563EC-93DE-4F33-B394-92BA8CF1CEDF}"/>
    <cellStyle name="เครื่องหมายจุลภาค 7 3" xfId="90" xr:uid="{9E413BE2-41AA-4D52-914E-14230A23C1ED}"/>
    <cellStyle name="เครื่องหมายจุลภาค 7 3 2" xfId="233" xr:uid="{AE761901-64A9-480C-8334-D2EE36653AE2}"/>
    <cellStyle name="เครื่องหมายจุลภาค 7 4" xfId="109" xr:uid="{2C5FC906-52C7-455B-8EA8-78D6FB3571FA}"/>
    <cellStyle name="เครื่องหมายจุลภาค 7 4 2" xfId="251" xr:uid="{31C5FEE2-4C63-4D34-A51C-518E4A47E724}"/>
    <cellStyle name="เครื่องหมายจุลภาค 7 5" xfId="127" xr:uid="{C4CCE75F-8293-4FE3-8976-11C0814C311D}"/>
    <cellStyle name="เครื่องหมายจุลภาค 7 5 2" xfId="269" xr:uid="{D3DA9941-9BF2-4716-892F-EF63B67936D7}"/>
    <cellStyle name="เครื่องหมายจุลภาค 7 6" xfId="51" xr:uid="{54C03D35-746D-49FA-BD0C-174D98297CD3}"/>
    <cellStyle name="เครื่องหมายจุลภาค 7 6 2" xfId="197" xr:uid="{214C8C0E-DB42-4937-9002-EF69BCB26004}"/>
    <cellStyle name="เครื่องหมายจุลภาค 7 7" xfId="178" xr:uid="{55F0D83E-9705-4BE4-A3CC-BCD55220CE5A}"/>
    <cellStyle name="เครื่องหมายจุลภาค 7 8" xfId="24" xr:uid="{EDDF506A-A1E1-42E6-A7D1-93AC14EAFED1}"/>
    <cellStyle name="เครื่องหมายจุลภาค 8" xfId="55" xr:uid="{5EF7E5E4-848C-4EAB-889A-CB5C9673D50A}"/>
    <cellStyle name="เครื่องหมายจุลภาค 8 2" xfId="75" xr:uid="{CF375543-A67A-4369-818E-EDFBF5C55A47}"/>
    <cellStyle name="เครื่องหมายจุลภาค 8 2 2" xfId="218" xr:uid="{D892065B-46A3-4F83-8106-C8C6EAC60431}"/>
    <cellStyle name="เครื่องหมายจุลภาค 8 3" xfId="93" xr:uid="{2698F59E-2235-40CF-93D2-748BD98CBEF9}"/>
    <cellStyle name="เครื่องหมายจุลภาค 8 3 2" xfId="236" xr:uid="{D6A68546-A44E-42FC-B3D4-CCC831E6E4C0}"/>
    <cellStyle name="เครื่องหมายจุลภาค 8 4" xfId="112" xr:uid="{6E9D086F-E664-4046-A2A1-58BF6B7C262F}"/>
    <cellStyle name="เครื่องหมายจุลภาค 8 4 2" xfId="254" xr:uid="{10976D10-8104-4A8B-8C3A-1F911A982A46}"/>
    <cellStyle name="เครื่องหมายจุลภาค 8 5" xfId="130" xr:uid="{8FF139C8-2FD6-48E3-B4AD-01211FD7EB96}"/>
    <cellStyle name="เครื่องหมายจุลภาค 8 5 2" xfId="272" xr:uid="{170E8C73-B8C6-48B4-B7B8-01E1A4BC2944}"/>
    <cellStyle name="เครื่องหมายจุลภาค 8 6" xfId="200" xr:uid="{C6E8E6B6-AF3C-47A8-AA7E-D7BC6D233899}"/>
    <cellStyle name="เครื่องหมายจุลภาค 9" xfId="56" xr:uid="{6B8B1FC8-BFB1-4010-B27A-7168A4B20E2E}"/>
    <cellStyle name="เครื่องหมายจุลภาค 9 2" xfId="76" xr:uid="{B1F8279D-B916-47F9-8DBC-3CC0DB51C340}"/>
    <cellStyle name="เครื่องหมายจุลภาค 9 2 2" xfId="219" xr:uid="{976CDDEE-9A35-48CD-B458-84F78397A072}"/>
    <cellStyle name="เครื่องหมายจุลภาค 9 3" xfId="94" xr:uid="{A63BA672-234F-4365-8310-10FC427C4191}"/>
    <cellStyle name="เครื่องหมายจุลภาค 9 3 2" xfId="237" xr:uid="{6556F488-DA92-4143-B365-46739EE2B161}"/>
    <cellStyle name="เครื่องหมายจุลภาค 9 4" xfId="113" xr:uid="{24E12A31-5540-4D17-89AD-14F1EABF05A8}"/>
    <cellStyle name="เครื่องหมายจุลภาค 9 4 2" xfId="255" xr:uid="{ED6A258E-2756-4614-9005-652C44CDA621}"/>
    <cellStyle name="เครื่องหมายจุลภาค 9 5" xfId="131" xr:uid="{B6367024-81D0-47E8-B91A-D332FB8D99F3}"/>
    <cellStyle name="เครื่องหมายจุลภาค 9 5 2" xfId="273" xr:uid="{069A3615-A138-4697-9B29-209183AB345D}"/>
    <cellStyle name="เครื่องหมายจุลภาค 9 6" xfId="201" xr:uid="{44CD16C3-4CE1-4531-B83D-098E63817CB4}"/>
    <cellStyle name="จุลภาค 2" xfId="30" xr:uid="{70433316-1F25-4313-A568-09EF605EEF07}"/>
    <cellStyle name="จุลภาค 2 2" xfId="184" xr:uid="{31875596-35C1-4FBD-9522-0330C146F971}"/>
    <cellStyle name="จุลภาค 3" xfId="7" xr:uid="{4C8DD101-BF4A-46EE-B898-3240BD3FD6ED}"/>
    <cellStyle name="จุลภาค 3 2" xfId="28" xr:uid="{2090FEE6-0C1D-42C1-964E-82768B95830A}"/>
    <cellStyle name="จุลภาค 3 2 2" xfId="182" xr:uid="{5C7EE0A2-F225-4864-BAFF-4B9D7D33824C}"/>
    <cellStyle name="จุลภาค 3 3" xfId="175" xr:uid="{6D27636B-E5E3-47BA-83B4-1D9D98F3735E}"/>
    <cellStyle name="จุลภาค 3 4" xfId="21" xr:uid="{5C34A27F-217D-4320-83E1-580DD2670A16}"/>
    <cellStyle name="ปกติ 2" xfId="11" xr:uid="{77479367-A708-4D7F-BEED-A44762773670}"/>
    <cellStyle name="ปกติ 2 10" xfId="163" xr:uid="{1AB3AB7F-78B7-4DAC-A55F-9297EDDE9BA8}"/>
    <cellStyle name="ปกติ 2 11" xfId="37" xr:uid="{76063D81-F56C-4DEB-BA69-F5AB330A8BEF}"/>
    <cellStyle name="ปกติ 2 2" xfId="15" xr:uid="{7A5AECCB-EC8E-4249-A0AF-37FCF259F96C}"/>
    <cellStyle name="ปกติ 2 2 2" xfId="39" xr:uid="{EA14CEC7-73A2-4874-AB3E-F1B4CF0FC81B}"/>
    <cellStyle name="ปกติ 2 2 3" xfId="144" xr:uid="{78992CC4-74CB-4758-A6F8-E993381A2521}"/>
    <cellStyle name="ปกติ 2 2 4" xfId="152" xr:uid="{6478F1D2-8797-4EFA-8C82-9BE9EC777705}"/>
    <cellStyle name="ปกติ 2 2 5" xfId="160" xr:uid="{E0322729-7FA8-4557-9DE9-8094098314C4}"/>
    <cellStyle name="ปกติ 2 2 6" xfId="168" xr:uid="{F70EC9B8-E97F-46A3-82A3-69D9460A540C}"/>
    <cellStyle name="ปกติ 2 2 7" xfId="53" xr:uid="{69CA378B-6EE9-4FB3-AC17-B65C47B4BC7E}"/>
    <cellStyle name="ปกติ 2 3" xfId="59" xr:uid="{6D3162B6-6606-427A-A5E2-9EDDCCC0E8DD}"/>
    <cellStyle name="ปกติ 2 4" xfId="42" xr:uid="{69188541-652E-424C-AF28-45675178F006}"/>
    <cellStyle name="ปกติ 2 5" xfId="139" xr:uid="{0DBD19D5-ECAB-4B46-ABF2-7FD74D75C0D9}"/>
    <cellStyle name="ปกติ 2 6" xfId="147" xr:uid="{17A48A5D-AF97-4EC0-8880-8A3E82E6DC14}"/>
    <cellStyle name="ปกติ 2 7" xfId="43" xr:uid="{E88C9C18-EB2B-49AD-B9B8-5AEBE49CE39C}"/>
    <cellStyle name="ปกติ 2 7 2" xfId="65" xr:uid="{0E0CC68C-57D2-488B-B13E-B9774F0298BA}"/>
    <cellStyle name="ปกติ 2 7 2 2" xfId="102" xr:uid="{3061ACAC-3D1D-441F-B6B2-088124DF7C28}"/>
    <cellStyle name="ปกติ 2 7 2 3" xfId="146" xr:uid="{542A44A1-16CD-4CEA-BF89-0868242ABF48}"/>
    <cellStyle name="ปกติ 2 7 2 4" xfId="154" xr:uid="{72F93B0A-9AE2-451A-8DCF-A74C321588D7}"/>
    <cellStyle name="ปกติ 2 7 2 5" xfId="162" xr:uid="{99324391-81FF-423E-B4A2-F88270CD3AB5}"/>
    <cellStyle name="ปกติ 2 7 2 6" xfId="170" xr:uid="{27B34A30-9A01-4BEA-A59F-DB83E7DA2C4F}"/>
    <cellStyle name="ปกติ 2 7 3" xfId="140" xr:uid="{8265E4E4-293F-434C-9FCF-75758E328928}"/>
    <cellStyle name="ปกติ 2 7 4" xfId="148" xr:uid="{D2AE6009-4796-4216-933F-7E273E3362AD}"/>
    <cellStyle name="ปกติ 2 7 5" xfId="156" xr:uid="{2F32BD36-7767-4984-8ED9-836F10020D89}"/>
    <cellStyle name="ปกติ 2 7 6" xfId="164" xr:uid="{B4F157C9-5BA4-4DFC-8123-35D32D0CB4F1}"/>
    <cellStyle name="ปกติ 2 8" xfId="155" xr:uid="{E459E3FF-A485-4FC9-ADB0-92658AB91434}"/>
    <cellStyle name="ปกติ 2 9" xfId="45" xr:uid="{4E672F00-2DDC-4CF6-A67C-B9F9891E5F4C}"/>
    <cellStyle name="ปกติ 2 9 2" xfId="141" xr:uid="{ADB226AF-43BE-4A53-8C9E-955ECA6F9DD2}"/>
    <cellStyle name="ปกติ 2 9 3" xfId="149" xr:uid="{08F8115A-E767-47CE-B049-6A0A4E452B0F}"/>
    <cellStyle name="ปกติ 2 9 4" xfId="157" xr:uid="{57D6873D-4A8D-4CE7-9E0C-05079412FF4D}"/>
    <cellStyle name="ปกติ 2 9 5" xfId="165" xr:uid="{4A18FA3A-E6F6-4F62-B1D0-E3B8180FAEC7}"/>
    <cellStyle name="ปกติ 3" xfId="10" xr:uid="{4C71D1F4-B8BA-4BD0-B783-7D7DBF4B3C90}"/>
    <cellStyle name="ปกติ 3 2" xfId="38" xr:uid="{043829CA-3D15-4D73-A0EA-BA2B8C535020}"/>
    <cellStyle name="ปกติ 4" xfId="31" xr:uid="{1036AA05-22B7-441A-9C89-761F382DD509}"/>
    <cellStyle name="เปอร์เซ็นต์ 2" xfId="14" xr:uid="{2A9436A1-53EE-4CE9-9D80-548DB31EAA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349133624791568"/>
          <c:y val="2.1021852669096099E-2"/>
          <c:w val="0.82997690219162523"/>
          <c:h val="0.8793667025159117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'กราฟยอดขาย 69'!$F$9</c:f>
              <c:strCache>
                <c:ptCount val="1"/>
                <c:pt idx="0">
                  <c:v>ปี68</c:v>
                </c:pt>
              </c:strCache>
            </c:strRef>
          </c:tx>
          <c:spPr>
            <a:solidFill>
              <a:srgbClr val="FF99FF"/>
            </a:solidFill>
          </c:spPr>
          <c:invertIfNegative val="0"/>
          <c:dLbls>
            <c:dLbl>
              <c:idx val="0"/>
              <c:layout>
                <c:manualLayout>
                  <c:x val="-1.8833033832678758E-3"/>
                  <c:y val="0.456259184162434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8D-4F4B-B8C3-1D2A65152C08}"/>
                </c:ext>
              </c:extLst>
            </c:dLbl>
            <c:dLbl>
              <c:idx val="1"/>
              <c:layout>
                <c:manualLayout>
                  <c:x val="-6.0203625727806133E-3"/>
                  <c:y val="0.313475202313169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8D-4F4B-B8C3-1D2A65152C08}"/>
                </c:ext>
              </c:extLst>
            </c:dLbl>
            <c:dLbl>
              <c:idx val="2"/>
              <c:layout>
                <c:manualLayout>
                  <c:x val="-3.0101812863905317E-3"/>
                  <c:y val="0.430597805375231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8D-4F4B-B8C3-1D2A65152C08}"/>
                </c:ext>
              </c:extLst>
            </c:dLbl>
            <c:dLbl>
              <c:idx val="3"/>
              <c:layout>
                <c:manualLayout>
                  <c:x val="-1.1037203880711607E-16"/>
                  <c:y val="0.427153022932215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8D-4F4B-B8C3-1D2A65152C08}"/>
                </c:ext>
              </c:extLst>
            </c:dLbl>
            <c:dLbl>
              <c:idx val="4"/>
              <c:layout>
                <c:manualLayout>
                  <c:x val="0"/>
                  <c:y val="0.403039545831202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8D-4F4B-B8C3-1D2A65152C08}"/>
                </c:ext>
              </c:extLst>
            </c:dLbl>
            <c:dLbl>
              <c:idx val="5"/>
              <c:layout>
                <c:manualLayout>
                  <c:x val="0"/>
                  <c:y val="0.358257374072180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8D-4F4B-B8C3-1D2A65152C08}"/>
                </c:ext>
              </c:extLst>
            </c:dLbl>
            <c:dLbl>
              <c:idx val="6"/>
              <c:layout>
                <c:manualLayout>
                  <c:x val="-1.1037203880710054E-16"/>
                  <c:y val="0.265248248111133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8D-4F4B-B8C3-1D2A65152C08}"/>
                </c:ext>
              </c:extLst>
            </c:dLbl>
            <c:dLbl>
              <c:idx val="7"/>
              <c:layout>
                <c:manualLayout>
                  <c:x val="0"/>
                  <c:y val="0.258358683225130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8D-4F4B-B8C3-1D2A65152C08}"/>
                </c:ext>
              </c:extLst>
            </c:dLbl>
            <c:dLbl>
              <c:idx val="8"/>
              <c:layout>
                <c:manualLayout>
                  <c:x val="-1.1037203880710054E-16"/>
                  <c:y val="0.275582595440138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8D-4F4B-B8C3-1D2A65152C08}"/>
                </c:ext>
              </c:extLst>
            </c:dLbl>
            <c:dLbl>
              <c:idx val="9"/>
              <c:layout>
                <c:manualLayout>
                  <c:x val="0"/>
                  <c:y val="0.272137812997136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8D-4F4B-B8C3-1D2A65152C08}"/>
                </c:ext>
              </c:extLst>
            </c:dLbl>
            <c:dLbl>
              <c:idx val="10"/>
              <c:layout>
                <c:manualLayout>
                  <c:x val="1.5050906431951533E-3"/>
                  <c:y val="0.282472160326142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8D-4F4B-B8C3-1D2A65152C08}"/>
                </c:ext>
              </c:extLst>
            </c:dLbl>
            <c:dLbl>
              <c:idx val="11"/>
              <c:layout>
                <c:manualLayout>
                  <c:x val="-1.0949949779542261E-16"/>
                  <c:y val="0.320166460155405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8D-4F4B-B8C3-1D2A65152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'กราฟยอดขาย 69'!$E$10:$E$21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'กราฟยอดขาย 69'!$F$10:$F$21</c:f>
              <c:numCache>
                <c:formatCode>_(* #,##0.00_);_(* \(#,##0.00\);_(* "-"??_);_(@_)</c:formatCode>
                <c:ptCount val="12"/>
                <c:pt idx="0">
                  <c:v>489981.27719999984</c:v>
                </c:pt>
                <c:pt idx="1">
                  <c:v>538468.56060000008</c:v>
                </c:pt>
                <c:pt idx="2">
                  <c:v>656094.53312000004</c:v>
                </c:pt>
                <c:pt idx="3">
                  <c:v>571816.37831249973</c:v>
                </c:pt>
                <c:pt idx="4">
                  <c:v>609063.31799999997</c:v>
                </c:pt>
                <c:pt idx="5">
                  <c:v>518142.91943500005</c:v>
                </c:pt>
                <c:pt idx="6">
                  <c:v>598462.11777499982</c:v>
                </c:pt>
                <c:pt idx="7">
                  <c:v>537848.66772000026</c:v>
                </c:pt>
                <c:pt idx="8">
                  <c:v>569528.0955500002</c:v>
                </c:pt>
                <c:pt idx="9">
                  <c:v>516554.95600000001</c:v>
                </c:pt>
                <c:pt idx="10">
                  <c:v>508400.05599999998</c:v>
                </c:pt>
                <c:pt idx="11">
                  <c:v>595252.2699999999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8D-4F4B-B8C3-1D2A65152C08}"/>
            </c:ext>
          </c:extLst>
        </c:ser>
        <c:ser>
          <c:idx val="1"/>
          <c:order val="1"/>
          <c:tx>
            <c:strRef>
              <c:f>'กราฟยอดขาย 69'!$G$9</c:f>
              <c:strCache>
                <c:ptCount val="1"/>
                <c:pt idx="0">
                  <c:v>ปี69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0.36574074074074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8D-4F4B-B8C3-1D2A65152C08}"/>
                </c:ext>
              </c:extLst>
            </c:dLbl>
            <c:dLbl>
              <c:idx val="1"/>
              <c:layout>
                <c:manualLayout>
                  <c:x val="-1.5050906431951518E-3"/>
                  <c:y val="0.323809549642176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A8D-4F4B-B8C3-1D2A65152C08}"/>
                </c:ext>
              </c:extLst>
            </c:dLbl>
            <c:dLbl>
              <c:idx val="2"/>
              <c:layout>
                <c:manualLayout>
                  <c:x val="0"/>
                  <c:y val="0.251469118339126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A8D-4F4B-B8C3-1D2A65152C08}"/>
                </c:ext>
              </c:extLst>
            </c:dLbl>
            <c:dLbl>
              <c:idx val="3"/>
              <c:layout>
                <c:manualLayout>
                  <c:x val="1.505090643195044E-3"/>
                  <c:y val="0.241134771010121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A8D-4F4B-B8C3-1D2A65152C08}"/>
                </c:ext>
              </c:extLst>
            </c:dLbl>
            <c:dLbl>
              <c:idx val="4"/>
              <c:layout>
                <c:manualLayout>
                  <c:x val="-1.1037203880711607E-16"/>
                  <c:y val="0.227355641238113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A8D-4F4B-B8C3-1D2A65152C08}"/>
                </c:ext>
              </c:extLst>
            </c:dLbl>
            <c:dLbl>
              <c:idx val="5"/>
              <c:layout>
                <c:manualLayout>
                  <c:x val="-1.1037203880711565E-16"/>
                  <c:y val="0.26869303055411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A8D-4F4B-B8C3-1D2A65152C08}"/>
                </c:ext>
              </c:extLst>
            </c:dLbl>
            <c:dLbl>
              <c:idx val="6"/>
              <c:layout>
                <c:manualLayout>
                  <c:x val="-1.0949949779542261E-16"/>
                  <c:y val="0.219797930849104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A8D-4F4B-B8C3-1D2A65152C08}"/>
                </c:ext>
              </c:extLst>
            </c:dLbl>
            <c:dLbl>
              <c:idx val="7"/>
              <c:layout>
                <c:manualLayout>
                  <c:x val="1.4931922192222514E-3"/>
                  <c:y val="0.226666616188139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A8D-4F4B-B8C3-1D2A65152C08}"/>
                </c:ext>
              </c:extLst>
            </c:dLbl>
            <c:dLbl>
              <c:idx val="8"/>
              <c:layout>
                <c:manualLayout>
                  <c:x val="-1.0949949779542261E-16"/>
                  <c:y val="0.206060560171035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A8D-4F4B-B8C3-1D2A65152C08}"/>
                </c:ext>
              </c:extLst>
            </c:dLbl>
            <c:dLbl>
              <c:idx val="9"/>
              <c:layout>
                <c:manualLayout>
                  <c:x val="0"/>
                  <c:y val="0.199191874832001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A8D-4F4B-B8C3-1D2A65152C08}"/>
                </c:ext>
              </c:extLst>
            </c:dLbl>
            <c:dLbl>
              <c:idx val="10"/>
              <c:layout>
                <c:manualLayout>
                  <c:x val="-1.0949949779542261E-16"/>
                  <c:y val="0.23010095885765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A8D-4F4B-B8C3-1D2A65152C08}"/>
                </c:ext>
              </c:extLst>
            </c:dLbl>
            <c:dLbl>
              <c:idx val="11"/>
              <c:layout>
                <c:manualLayout>
                  <c:x val="-1.0949949779542261E-16"/>
                  <c:y val="0.219797930849104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A8D-4F4B-B8C3-1D2A65152C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'กราฟยอดขาย 69'!$E$10:$E$21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'กราฟยอดขาย 69'!$G$10:$G$21</c:f>
              <c:numCache>
                <c:formatCode>_(* #,##0.00_);_(* \(#,##0.00\);_(* "-"??_);_(@_)</c:formatCode>
                <c:ptCount val="12"/>
                <c:pt idx="0">
                  <c:v>558941.06200000003</c:v>
                </c:pt>
                <c:pt idx="1">
                  <c:v>561976.65220000024</c:v>
                </c:pt>
                <c:pt idx="2">
                  <c:v>653338.81279999996</c:v>
                </c:pt>
                <c:pt idx="3">
                  <c:v>720476.7699999999</c:v>
                </c:pt>
                <c:pt idx="4">
                  <c:v>645959.59849999973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A8D-4F4B-B8C3-1D2A65152C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891800976"/>
        <c:axId val="-1891798800"/>
        <c:axId val="0"/>
      </c:bar3DChart>
      <c:catAx>
        <c:axId val="-189180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-1891798800"/>
        <c:crosses val="autoZero"/>
        <c:auto val="1"/>
        <c:lblAlgn val="ctr"/>
        <c:lblOffset val="100"/>
        <c:noMultiLvlLbl val="0"/>
      </c:catAx>
      <c:valAx>
        <c:axId val="-189179880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-18918009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th-TH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'กราฟยอดขาย 69'!$F$38</c:f>
              <c:strCache>
                <c:ptCount val="1"/>
                <c:pt idx="0">
                  <c:v>ปี68</c:v>
                </c:pt>
              </c:strCache>
            </c:strRef>
          </c:tx>
          <c:spPr>
            <a:solidFill>
              <a:srgbClr val="FF99FF"/>
            </a:solidFill>
          </c:spPr>
          <c:invertIfNegative val="0"/>
          <c:dLbls>
            <c:dLbl>
              <c:idx val="0"/>
              <c:layout>
                <c:manualLayout>
                  <c:x val="-4.5358781550043159E-3"/>
                  <c:y val="0.435783065182821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F6-4317-8C50-A1080B4222A1}"/>
                </c:ext>
              </c:extLst>
            </c:dLbl>
            <c:dLbl>
              <c:idx val="1"/>
              <c:layout>
                <c:manualLayout>
                  <c:x val="0"/>
                  <c:y val="0.358889124380464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F6-4317-8C50-A1080B4222A1}"/>
                </c:ext>
              </c:extLst>
            </c:dLbl>
            <c:dLbl>
              <c:idx val="2"/>
              <c:layout>
                <c:manualLayout>
                  <c:x val="-1.5108094250715941E-3"/>
                  <c:y val="0.447037330368618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F6-4317-8C50-A1080B4222A1}"/>
                </c:ext>
              </c:extLst>
            </c:dLbl>
            <c:dLbl>
              <c:idx val="3"/>
              <c:layout>
                <c:manualLayout>
                  <c:x val="1.5108094250715941E-3"/>
                  <c:y val="0.425000278871574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F6-4317-8C50-A1080B4222A1}"/>
                </c:ext>
              </c:extLst>
            </c:dLbl>
            <c:dLbl>
              <c:idx val="4"/>
              <c:layout>
                <c:manualLayout>
                  <c:x val="0"/>
                  <c:y val="0.377778025663633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F6-4317-8C50-A1080B4222A1}"/>
                </c:ext>
              </c:extLst>
            </c:dLbl>
            <c:dLbl>
              <c:idx val="5"/>
              <c:layout>
                <c:manualLayout>
                  <c:x val="-1.1079141130009581E-16"/>
                  <c:y val="0.352592823952726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F6-4317-8C50-A1080B4222A1}"/>
                </c:ext>
              </c:extLst>
            </c:dLbl>
            <c:dLbl>
              <c:idx val="6"/>
              <c:layout>
                <c:manualLayout>
                  <c:x val="0"/>
                  <c:y val="0.258148317536807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F6-4317-8C50-A1080B4222A1}"/>
                </c:ext>
              </c:extLst>
            </c:dLbl>
            <c:dLbl>
              <c:idx val="7"/>
              <c:layout>
                <c:manualLayout>
                  <c:x val="0"/>
                  <c:y val="0.318297241844672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0F6-4317-8C50-A1080B4222A1}"/>
                </c:ext>
              </c:extLst>
            </c:dLbl>
            <c:dLbl>
              <c:idx val="8"/>
              <c:layout>
                <c:manualLayout>
                  <c:x val="0"/>
                  <c:y val="0.2550001673229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F6-4317-8C50-A1080B4222A1}"/>
                </c:ext>
              </c:extLst>
            </c:dLbl>
            <c:dLbl>
              <c:idx val="9"/>
              <c:layout>
                <c:manualLayout>
                  <c:x val="0"/>
                  <c:y val="0.261296467750671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F6-4317-8C50-A1080B4222A1}"/>
                </c:ext>
              </c:extLst>
            </c:dLbl>
            <c:dLbl>
              <c:idx val="10"/>
              <c:layout>
                <c:manualLayout>
                  <c:x val="0"/>
                  <c:y val="0.286481669461579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F6-4317-8C50-A1080B4222A1}"/>
                </c:ext>
              </c:extLst>
            </c:dLbl>
            <c:dLbl>
              <c:idx val="11"/>
              <c:layout>
                <c:manualLayout>
                  <c:x val="-1.0890407186061815E-16"/>
                  <c:y val="0.327601021311896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0F6-4317-8C50-A1080B422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'กราฟยอดขาย 69'!$E$39:$E$50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'กราฟยอดขาย 69'!$F$39:$F$50</c:f>
              <c:numCache>
                <c:formatCode>_(* #,##0.00_);_(* \(#,##0.00\);_(* "-"??_);_(@_)</c:formatCode>
                <c:ptCount val="12"/>
                <c:pt idx="0">
                  <c:v>34735764.533500016</c:v>
                </c:pt>
                <c:pt idx="1">
                  <c:v>36840991.972499974</c:v>
                </c:pt>
                <c:pt idx="2">
                  <c:v>45332204.901499987</c:v>
                </c:pt>
                <c:pt idx="3">
                  <c:v>38101957.658700012</c:v>
                </c:pt>
                <c:pt idx="4">
                  <c:v>40498295.919800013</c:v>
                </c:pt>
                <c:pt idx="5">
                  <c:v>35323733.510899998</c:v>
                </c:pt>
                <c:pt idx="6">
                  <c:v>36452703.973900013</c:v>
                </c:pt>
                <c:pt idx="7">
                  <c:v>31884197.572499998</c:v>
                </c:pt>
                <c:pt idx="8">
                  <c:v>33750597.745099992</c:v>
                </c:pt>
                <c:pt idx="9">
                  <c:v>29949967.256100003</c:v>
                </c:pt>
                <c:pt idx="10">
                  <c:v>30435492.458500013</c:v>
                </c:pt>
                <c:pt idx="11">
                  <c:v>35744232.285999998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F6-4317-8C50-A1080B4222A1}"/>
            </c:ext>
          </c:extLst>
        </c:ser>
        <c:ser>
          <c:idx val="1"/>
          <c:order val="1"/>
          <c:tx>
            <c:strRef>
              <c:f>'กราฟยอดขาย 69'!$G$38</c:f>
              <c:strCache>
                <c:ptCount val="1"/>
                <c:pt idx="0">
                  <c:v>ปี69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0.36574074074074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0F6-4317-8C50-A1080B4222A1}"/>
                </c:ext>
              </c:extLst>
            </c:dLbl>
            <c:dLbl>
              <c:idx val="1"/>
              <c:layout>
                <c:manualLayout>
                  <c:x val="1.5879753548095619E-3"/>
                  <c:y val="0.343148283908355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0F6-4317-8C50-A1080B4222A1}"/>
                </c:ext>
              </c:extLst>
            </c:dLbl>
            <c:dLbl>
              <c:idx val="2"/>
              <c:layout>
                <c:manualLayout>
                  <c:x val="-3.0216188501432247E-3"/>
                  <c:y val="0.352592823952726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0F6-4317-8C50-A1080B4222A1}"/>
                </c:ext>
              </c:extLst>
            </c:dLbl>
            <c:dLbl>
              <c:idx val="3"/>
              <c:layout>
                <c:manualLayout>
                  <c:x val="-1.1079141130009628E-16"/>
                  <c:y val="0.289629819675461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0F6-4317-8C50-A1080B4222A1}"/>
                </c:ext>
              </c:extLst>
            </c:dLbl>
            <c:dLbl>
              <c:idx val="4"/>
              <c:layout>
                <c:manualLayout>
                  <c:x val="1.5108094250715941E-3"/>
                  <c:y val="0.283333519247716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0F6-4317-8C50-A1080B4222A1}"/>
                </c:ext>
              </c:extLst>
            </c:dLbl>
            <c:dLbl>
              <c:idx val="5"/>
              <c:layout>
                <c:manualLayout>
                  <c:x val="1.1079141130009581E-16"/>
                  <c:y val="0.28962981967546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0F6-4317-8C50-A1080B4222A1}"/>
                </c:ext>
              </c:extLst>
            </c:dLbl>
            <c:dLbl>
              <c:idx val="6"/>
              <c:layout>
                <c:manualLayout>
                  <c:x val="-1.0890407186061815E-16"/>
                  <c:y val="0.2437618138730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0F6-4317-8C50-A1080B4222A1}"/>
                </c:ext>
              </c:extLst>
            </c:dLbl>
            <c:dLbl>
              <c:idx val="7"/>
              <c:layout>
                <c:manualLayout>
                  <c:x val="-1.0890407186061815E-16"/>
                  <c:y val="0.253259027400582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0F6-4317-8C50-A1080B4222A1}"/>
                </c:ext>
              </c:extLst>
            </c:dLbl>
            <c:dLbl>
              <c:idx val="8"/>
              <c:layout>
                <c:manualLayout>
                  <c:x val="2.9701453617204392E-3"/>
                  <c:y val="0.23743033818804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0F6-4317-8C50-A1080B4222A1}"/>
                </c:ext>
              </c:extLst>
            </c:dLbl>
            <c:dLbl>
              <c:idx val="9"/>
              <c:layout>
                <c:manualLayout>
                  <c:x val="0"/>
                  <c:y val="0.2342646003455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0F6-4317-8C50-A1080B4222A1}"/>
                </c:ext>
              </c:extLst>
            </c:dLbl>
            <c:dLbl>
              <c:idx val="10"/>
              <c:layout>
                <c:manualLayout>
                  <c:x val="0"/>
                  <c:y val="0.256424765243090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0F6-4317-8C50-A1080B4222A1}"/>
                </c:ext>
              </c:extLst>
            </c:dLbl>
            <c:dLbl>
              <c:idx val="11"/>
              <c:layout>
                <c:manualLayout>
                  <c:x val="0"/>
                  <c:y val="0.237430338188046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0F6-4317-8C50-A1080B422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lang="th-TH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'กราฟยอดขาย 69'!$E$39:$E$50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'กราฟยอดขาย 69'!$G$39:$G$50</c:f>
              <c:numCache>
                <c:formatCode>_(* #,##0.00_);_(* \(#,##0.00\);_(* "-"??_);_(@_)</c:formatCode>
                <c:ptCount val="12"/>
                <c:pt idx="0">
                  <c:v>32494837.4617</c:v>
                </c:pt>
                <c:pt idx="1">
                  <c:v>32378292.818000015</c:v>
                </c:pt>
                <c:pt idx="2">
                  <c:v>38381392.795599997</c:v>
                </c:pt>
                <c:pt idx="3">
                  <c:v>53379280.633600019</c:v>
                </c:pt>
                <c:pt idx="4">
                  <c:v>59376879.599499986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0F6-4317-8C50-A1080B4222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891794992"/>
        <c:axId val="-1891797712"/>
        <c:axId val="0"/>
      </c:bar3DChart>
      <c:catAx>
        <c:axId val="-189179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-1891797712"/>
        <c:crosses val="autoZero"/>
        <c:auto val="1"/>
        <c:lblAlgn val="ctr"/>
        <c:lblOffset val="100"/>
        <c:noMultiLvlLbl val="0"/>
      </c:catAx>
      <c:valAx>
        <c:axId val="-189179771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-18917949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th-TH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 horizontalDpi="0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613833</xdr:colOff>
      <xdr:row>4</xdr:row>
      <xdr:rowOff>243416</xdr:rowOff>
    </xdr:from>
    <xdr:to>
      <xdr:col>6</xdr:col>
      <xdr:colOff>537948</xdr:colOff>
      <xdr:row>9</xdr:row>
      <xdr:rowOff>645584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0721D5-258A-1BBF-554C-39214A931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3217333"/>
          <a:ext cx="3046198" cy="3175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390807</xdr:colOff>
      <xdr:row>6</xdr:row>
      <xdr:rowOff>0</xdr:rowOff>
    </xdr:from>
    <xdr:to>
      <xdr:col>10</xdr:col>
      <xdr:colOff>331974</xdr:colOff>
      <xdr:row>21</xdr:row>
      <xdr:rowOff>302559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4D873F6B-45EE-45F5-99DE-EC475F02B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360689</xdr:colOff>
      <xdr:row>35</xdr:row>
      <xdr:rowOff>67233</xdr:rowOff>
    </xdr:from>
    <xdr:to>
      <xdr:col>11</xdr:col>
      <xdr:colOff>38801</xdr:colOff>
      <xdr:row>49</xdr:row>
      <xdr:rowOff>273839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AADD8491-0E74-4AB0-ACDF-8D2C1A8A4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6F84-B3E3-4555-B6F9-FE0F718D0A7B}">
  <sheetPr>
    <pageSetUpPr fitToPage="1"/>
  </sheetPr>
  <dimension ref="A1:H12"/>
  <sheetViews>
    <sheetView view="pageBreakPreview" topLeftCell="A3" zoomScale="90" zoomScaleNormal="90" zoomScaleSheetLayoutView="90" workbookViewId="0">
      <selection activeCell="A5" sqref="A5"/>
    </sheetView>
  </sheetViews>
  <sheetFormatPr defaultColWidth="7.875" defaultRowHeight="12.75" x14ac:dyDescent="0.2"/>
  <cols>
    <col min="1" max="6" width="8.125" style="212" customWidth="1"/>
    <col min="7" max="7" width="8.375" style="212" customWidth="1"/>
    <col min="8" max="8" width="18" style="212" customWidth="1"/>
    <col min="9" max="16384" width="7.875" style="212"/>
  </cols>
  <sheetData>
    <row r="1" spans="1:8" ht="24" customHeight="1" x14ac:dyDescent="0.2"/>
    <row r="2" spans="1:8" ht="36.75" customHeight="1" x14ac:dyDescent="0.2"/>
    <row r="3" spans="1:8" ht="86.25" x14ac:dyDescent="1.75">
      <c r="A3" s="351" t="s">
        <v>316</v>
      </c>
      <c r="B3" s="352"/>
      <c r="C3" s="352"/>
      <c r="D3" s="352"/>
      <c r="E3" s="352"/>
      <c r="F3" s="352"/>
      <c r="G3" s="352"/>
      <c r="H3" s="352"/>
    </row>
    <row r="4" spans="1:8" ht="86.25" x14ac:dyDescent="1.75">
      <c r="A4" s="351" t="s">
        <v>856</v>
      </c>
      <c r="B4" s="352"/>
      <c r="C4" s="352"/>
      <c r="D4" s="352"/>
      <c r="E4" s="352"/>
      <c r="F4" s="352"/>
      <c r="G4" s="352"/>
      <c r="H4" s="352"/>
    </row>
    <row r="5" spans="1:8" ht="78.75" customHeight="1" x14ac:dyDescent="1.3">
      <c r="B5"/>
      <c r="C5" s="213"/>
      <c r="D5" s="214"/>
      <c r="E5" s="214"/>
      <c r="F5" s="214"/>
      <c r="G5" s="214"/>
      <c r="H5" s="215"/>
    </row>
    <row r="6" spans="1:8" ht="55.5" customHeight="1" x14ac:dyDescent="0.35">
      <c r="C6" s="216"/>
      <c r="D6" s="216"/>
    </row>
    <row r="7" spans="1:8" ht="38.25" customHeight="1" x14ac:dyDescent="0.3">
      <c r="E7"/>
    </row>
    <row r="8" spans="1:8" ht="21.75" customHeight="1" x14ac:dyDescent="0.2"/>
    <row r="9" spans="1:8" ht="23.25" customHeight="1" x14ac:dyDescent="0.2"/>
    <row r="10" spans="1:8" ht="66.75" customHeight="1" x14ac:dyDescent="0.2"/>
    <row r="11" spans="1:8" ht="57" x14ac:dyDescent="1.1499999999999999">
      <c r="A11" s="353" t="s">
        <v>317</v>
      </c>
      <c r="B11" s="352"/>
      <c r="C11" s="352"/>
      <c r="D11" s="352"/>
      <c r="E11" s="352"/>
      <c r="F11" s="352"/>
      <c r="G11" s="352"/>
      <c r="H11" s="352"/>
    </row>
    <row r="12" spans="1:8" ht="51" x14ac:dyDescent="1.05">
      <c r="A12" s="354" t="s">
        <v>318</v>
      </c>
      <c r="B12" s="355"/>
      <c r="C12" s="355"/>
      <c r="D12" s="355"/>
      <c r="E12" s="355"/>
      <c r="F12" s="355"/>
      <c r="G12" s="355"/>
      <c r="H12" s="355"/>
    </row>
  </sheetData>
  <mergeCells count="4">
    <mergeCell ref="A3:H3"/>
    <mergeCell ref="A4:H4"/>
    <mergeCell ref="A11:H11"/>
    <mergeCell ref="A12:H12"/>
  </mergeCells>
  <pageMargins left="0.7" right="0.7" top="0.75" bottom="0.75" header="0.3" footer="0.3"/>
  <pageSetup paperSize="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931A-D1C6-4C5B-A5E6-33D969E7877C}">
  <sheetPr>
    <tabColor theme="4" tint="-0.249977111117893"/>
  </sheetPr>
  <dimension ref="A8:O84"/>
  <sheetViews>
    <sheetView zoomScale="80" zoomScaleNormal="80" workbookViewId="0">
      <selection activeCell="I66" sqref="I66"/>
    </sheetView>
  </sheetViews>
  <sheetFormatPr defaultRowHeight="12.75" x14ac:dyDescent="0.2"/>
  <cols>
    <col min="1" max="1" width="5.25" style="283" customWidth="1"/>
    <col min="2" max="2" width="8.625" style="283" customWidth="1"/>
    <col min="3" max="3" width="6.5" style="283" customWidth="1"/>
    <col min="4" max="4" width="12.875" style="283" customWidth="1"/>
    <col min="5" max="5" width="14" style="283" customWidth="1"/>
    <col min="6" max="7" width="10.75" style="283" customWidth="1"/>
    <col min="8" max="8" width="12.125" style="283" bestFit="1" customWidth="1"/>
    <col min="9" max="9" width="14.25" style="283" customWidth="1"/>
    <col min="10" max="10" width="12" style="283" customWidth="1"/>
    <col min="11" max="11" width="4.75" style="283" customWidth="1"/>
    <col min="12" max="12" width="6.125" style="283" customWidth="1"/>
    <col min="13" max="15" width="8.625" style="283" customWidth="1"/>
    <col min="16" max="255" width="9" style="283"/>
    <col min="256" max="256" width="8.5" style="283" customWidth="1"/>
    <col min="257" max="257" width="9.75" style="283" bestFit="1" customWidth="1"/>
    <col min="258" max="258" width="11.125" style="283" customWidth="1"/>
    <col min="259" max="259" width="8.125" style="283" customWidth="1"/>
    <col min="260" max="260" width="8.625" style="283" bestFit="1" customWidth="1"/>
    <col min="261" max="261" width="9.75" style="283" bestFit="1" customWidth="1"/>
    <col min="262" max="262" width="11.375" style="283" bestFit="1" customWidth="1"/>
    <col min="263" max="263" width="10.625" style="283" bestFit="1" customWidth="1"/>
    <col min="264" max="264" width="8.625" style="283" bestFit="1" customWidth="1"/>
    <col min="265" max="265" width="7.875" style="283" bestFit="1" customWidth="1"/>
    <col min="266" max="266" width="8.625" style="283" bestFit="1" customWidth="1"/>
    <col min="267" max="511" width="9" style="283"/>
    <col min="512" max="512" width="8.5" style="283" customWidth="1"/>
    <col min="513" max="513" width="9.75" style="283" bestFit="1" customWidth="1"/>
    <col min="514" max="514" width="11.125" style="283" customWidth="1"/>
    <col min="515" max="515" width="8.125" style="283" customWidth="1"/>
    <col min="516" max="516" width="8.625" style="283" bestFit="1" customWidth="1"/>
    <col min="517" max="517" width="9.75" style="283" bestFit="1" customWidth="1"/>
    <col min="518" max="518" width="11.375" style="283" bestFit="1" customWidth="1"/>
    <col min="519" max="519" width="10.625" style="283" bestFit="1" customWidth="1"/>
    <col min="520" max="520" width="8.625" style="283" bestFit="1" customWidth="1"/>
    <col min="521" max="521" width="7.875" style="283" bestFit="1" customWidth="1"/>
    <col min="522" max="522" width="8.625" style="283" bestFit="1" customWidth="1"/>
    <col min="523" max="767" width="9" style="283"/>
    <col min="768" max="768" width="8.5" style="283" customWidth="1"/>
    <col min="769" max="769" width="9.75" style="283" bestFit="1" customWidth="1"/>
    <col min="770" max="770" width="11.125" style="283" customWidth="1"/>
    <col min="771" max="771" width="8.125" style="283" customWidth="1"/>
    <col min="772" max="772" width="8.625" style="283" bestFit="1" customWidth="1"/>
    <col min="773" max="773" width="9.75" style="283" bestFit="1" customWidth="1"/>
    <col min="774" max="774" width="11.375" style="283" bestFit="1" customWidth="1"/>
    <col min="775" max="775" width="10.625" style="283" bestFit="1" customWidth="1"/>
    <col min="776" max="776" width="8.625" style="283" bestFit="1" customWidth="1"/>
    <col min="777" max="777" width="7.875" style="283" bestFit="1" customWidth="1"/>
    <col min="778" max="778" width="8.625" style="283" bestFit="1" customWidth="1"/>
    <col min="779" max="1023" width="9" style="283"/>
    <col min="1024" max="1024" width="8.5" style="283" customWidth="1"/>
    <col min="1025" max="1025" width="9.75" style="283" bestFit="1" customWidth="1"/>
    <col min="1026" max="1026" width="11.125" style="283" customWidth="1"/>
    <col min="1027" max="1027" width="8.125" style="283" customWidth="1"/>
    <col min="1028" max="1028" width="8.625" style="283" bestFit="1" customWidth="1"/>
    <col min="1029" max="1029" width="9.75" style="283" bestFit="1" customWidth="1"/>
    <col min="1030" max="1030" width="11.375" style="283" bestFit="1" customWidth="1"/>
    <col min="1031" max="1031" width="10.625" style="283" bestFit="1" customWidth="1"/>
    <col min="1032" max="1032" width="8.625" style="283" bestFit="1" customWidth="1"/>
    <col min="1033" max="1033" width="7.875" style="283" bestFit="1" customWidth="1"/>
    <col min="1034" max="1034" width="8.625" style="283" bestFit="1" customWidth="1"/>
    <col min="1035" max="1279" width="9" style="283"/>
    <col min="1280" max="1280" width="8.5" style="283" customWidth="1"/>
    <col min="1281" max="1281" width="9.75" style="283" bestFit="1" customWidth="1"/>
    <col min="1282" max="1282" width="11.125" style="283" customWidth="1"/>
    <col min="1283" max="1283" width="8.125" style="283" customWidth="1"/>
    <col min="1284" max="1284" width="8.625" style="283" bestFit="1" customWidth="1"/>
    <col min="1285" max="1285" width="9.75" style="283" bestFit="1" customWidth="1"/>
    <col min="1286" max="1286" width="11.375" style="283" bestFit="1" customWidth="1"/>
    <col min="1287" max="1287" width="10.625" style="283" bestFit="1" customWidth="1"/>
    <col min="1288" max="1288" width="8.625" style="283" bestFit="1" customWidth="1"/>
    <col min="1289" max="1289" width="7.875" style="283" bestFit="1" customWidth="1"/>
    <col min="1290" max="1290" width="8.625" style="283" bestFit="1" customWidth="1"/>
    <col min="1291" max="1535" width="9" style="283"/>
    <col min="1536" max="1536" width="8.5" style="283" customWidth="1"/>
    <col min="1537" max="1537" width="9.75" style="283" bestFit="1" customWidth="1"/>
    <col min="1538" max="1538" width="11.125" style="283" customWidth="1"/>
    <col min="1539" max="1539" width="8.125" style="283" customWidth="1"/>
    <col min="1540" max="1540" width="8.625" style="283" bestFit="1" customWidth="1"/>
    <col min="1541" max="1541" width="9.75" style="283" bestFit="1" customWidth="1"/>
    <col min="1542" max="1542" width="11.375" style="283" bestFit="1" customWidth="1"/>
    <col min="1543" max="1543" width="10.625" style="283" bestFit="1" customWidth="1"/>
    <col min="1544" max="1544" width="8.625" style="283" bestFit="1" customWidth="1"/>
    <col min="1545" max="1545" width="7.875" style="283" bestFit="1" customWidth="1"/>
    <col min="1546" max="1546" width="8.625" style="283" bestFit="1" customWidth="1"/>
    <col min="1547" max="1791" width="9" style="283"/>
    <col min="1792" max="1792" width="8.5" style="283" customWidth="1"/>
    <col min="1793" max="1793" width="9.75" style="283" bestFit="1" customWidth="1"/>
    <col min="1794" max="1794" width="11.125" style="283" customWidth="1"/>
    <col min="1795" max="1795" width="8.125" style="283" customWidth="1"/>
    <col min="1796" max="1796" width="8.625" style="283" bestFit="1" customWidth="1"/>
    <col min="1797" max="1797" width="9.75" style="283" bestFit="1" customWidth="1"/>
    <col min="1798" max="1798" width="11.375" style="283" bestFit="1" customWidth="1"/>
    <col min="1799" max="1799" width="10.625" style="283" bestFit="1" customWidth="1"/>
    <col min="1800" max="1800" width="8.625" style="283" bestFit="1" customWidth="1"/>
    <col min="1801" max="1801" width="7.875" style="283" bestFit="1" customWidth="1"/>
    <col min="1802" max="1802" width="8.625" style="283" bestFit="1" customWidth="1"/>
    <col min="1803" max="2047" width="9" style="283"/>
    <col min="2048" max="2048" width="8.5" style="283" customWidth="1"/>
    <col min="2049" max="2049" width="9.75" style="283" bestFit="1" customWidth="1"/>
    <col min="2050" max="2050" width="11.125" style="283" customWidth="1"/>
    <col min="2051" max="2051" width="8.125" style="283" customWidth="1"/>
    <col min="2052" max="2052" width="8.625" style="283" bestFit="1" customWidth="1"/>
    <col min="2053" max="2053" width="9.75" style="283" bestFit="1" customWidth="1"/>
    <col min="2054" max="2054" width="11.375" style="283" bestFit="1" customWidth="1"/>
    <col min="2055" max="2055" width="10.625" style="283" bestFit="1" customWidth="1"/>
    <col min="2056" max="2056" width="8.625" style="283" bestFit="1" customWidth="1"/>
    <col min="2057" max="2057" width="7.875" style="283" bestFit="1" customWidth="1"/>
    <col min="2058" max="2058" width="8.625" style="283" bestFit="1" customWidth="1"/>
    <col min="2059" max="2303" width="9" style="283"/>
    <col min="2304" max="2304" width="8.5" style="283" customWidth="1"/>
    <col min="2305" max="2305" width="9.75" style="283" bestFit="1" customWidth="1"/>
    <col min="2306" max="2306" width="11.125" style="283" customWidth="1"/>
    <col min="2307" max="2307" width="8.125" style="283" customWidth="1"/>
    <col min="2308" max="2308" width="8.625" style="283" bestFit="1" customWidth="1"/>
    <col min="2309" max="2309" width="9.75" style="283" bestFit="1" customWidth="1"/>
    <col min="2310" max="2310" width="11.375" style="283" bestFit="1" customWidth="1"/>
    <col min="2311" max="2311" width="10.625" style="283" bestFit="1" customWidth="1"/>
    <col min="2312" max="2312" width="8.625" style="283" bestFit="1" customWidth="1"/>
    <col min="2313" max="2313" width="7.875" style="283" bestFit="1" customWidth="1"/>
    <col min="2314" max="2314" width="8.625" style="283" bestFit="1" customWidth="1"/>
    <col min="2315" max="2559" width="9" style="283"/>
    <col min="2560" max="2560" width="8.5" style="283" customWidth="1"/>
    <col min="2561" max="2561" width="9.75" style="283" bestFit="1" customWidth="1"/>
    <col min="2562" max="2562" width="11.125" style="283" customWidth="1"/>
    <col min="2563" max="2563" width="8.125" style="283" customWidth="1"/>
    <col min="2564" max="2564" width="8.625" style="283" bestFit="1" customWidth="1"/>
    <col min="2565" max="2565" width="9.75" style="283" bestFit="1" customWidth="1"/>
    <col min="2566" max="2566" width="11.375" style="283" bestFit="1" customWidth="1"/>
    <col min="2567" max="2567" width="10.625" style="283" bestFit="1" customWidth="1"/>
    <col min="2568" max="2568" width="8.625" style="283" bestFit="1" customWidth="1"/>
    <col min="2569" max="2569" width="7.875" style="283" bestFit="1" customWidth="1"/>
    <col min="2570" max="2570" width="8.625" style="283" bestFit="1" customWidth="1"/>
    <col min="2571" max="2815" width="9" style="283"/>
    <col min="2816" max="2816" width="8.5" style="283" customWidth="1"/>
    <col min="2817" max="2817" width="9.75" style="283" bestFit="1" customWidth="1"/>
    <col min="2818" max="2818" width="11.125" style="283" customWidth="1"/>
    <col min="2819" max="2819" width="8.125" style="283" customWidth="1"/>
    <col min="2820" max="2820" width="8.625" style="283" bestFit="1" customWidth="1"/>
    <col min="2821" max="2821" width="9.75" style="283" bestFit="1" customWidth="1"/>
    <col min="2822" max="2822" width="11.375" style="283" bestFit="1" customWidth="1"/>
    <col min="2823" max="2823" width="10.625" style="283" bestFit="1" customWidth="1"/>
    <col min="2824" max="2824" width="8.625" style="283" bestFit="1" customWidth="1"/>
    <col min="2825" max="2825" width="7.875" style="283" bestFit="1" customWidth="1"/>
    <col min="2826" max="2826" width="8.625" style="283" bestFit="1" customWidth="1"/>
    <col min="2827" max="3071" width="9" style="283"/>
    <col min="3072" max="3072" width="8.5" style="283" customWidth="1"/>
    <col min="3073" max="3073" width="9.75" style="283" bestFit="1" customWidth="1"/>
    <col min="3074" max="3074" width="11.125" style="283" customWidth="1"/>
    <col min="3075" max="3075" width="8.125" style="283" customWidth="1"/>
    <col min="3076" max="3076" width="8.625" style="283" bestFit="1" customWidth="1"/>
    <col min="3077" max="3077" width="9.75" style="283" bestFit="1" customWidth="1"/>
    <col min="3078" max="3078" width="11.375" style="283" bestFit="1" customWidth="1"/>
    <col min="3079" max="3079" width="10.625" style="283" bestFit="1" customWidth="1"/>
    <col min="3080" max="3080" width="8.625" style="283" bestFit="1" customWidth="1"/>
    <col min="3081" max="3081" width="7.875" style="283" bestFit="1" customWidth="1"/>
    <col min="3082" max="3082" width="8.625" style="283" bestFit="1" customWidth="1"/>
    <col min="3083" max="3327" width="9" style="283"/>
    <col min="3328" max="3328" width="8.5" style="283" customWidth="1"/>
    <col min="3329" max="3329" width="9.75" style="283" bestFit="1" customWidth="1"/>
    <col min="3330" max="3330" width="11.125" style="283" customWidth="1"/>
    <col min="3331" max="3331" width="8.125" style="283" customWidth="1"/>
    <col min="3332" max="3332" width="8.625" style="283" bestFit="1" customWidth="1"/>
    <col min="3333" max="3333" width="9.75" style="283" bestFit="1" customWidth="1"/>
    <col min="3334" max="3334" width="11.375" style="283" bestFit="1" customWidth="1"/>
    <col min="3335" max="3335" width="10.625" style="283" bestFit="1" customWidth="1"/>
    <col min="3336" max="3336" width="8.625" style="283" bestFit="1" customWidth="1"/>
    <col min="3337" max="3337" width="7.875" style="283" bestFit="1" customWidth="1"/>
    <col min="3338" max="3338" width="8.625" style="283" bestFit="1" customWidth="1"/>
    <col min="3339" max="3583" width="9" style="283"/>
    <col min="3584" max="3584" width="8.5" style="283" customWidth="1"/>
    <col min="3585" max="3585" width="9.75" style="283" bestFit="1" customWidth="1"/>
    <col min="3586" max="3586" width="11.125" style="283" customWidth="1"/>
    <col min="3587" max="3587" width="8.125" style="283" customWidth="1"/>
    <col min="3588" max="3588" width="8.625" style="283" bestFit="1" customWidth="1"/>
    <col min="3589" max="3589" width="9.75" style="283" bestFit="1" customWidth="1"/>
    <col min="3590" max="3590" width="11.375" style="283" bestFit="1" customWidth="1"/>
    <col min="3591" max="3591" width="10.625" style="283" bestFit="1" customWidth="1"/>
    <col min="3592" max="3592" width="8.625" style="283" bestFit="1" customWidth="1"/>
    <col min="3593" max="3593" width="7.875" style="283" bestFit="1" customWidth="1"/>
    <col min="3594" max="3594" width="8.625" style="283" bestFit="1" customWidth="1"/>
    <col min="3595" max="3839" width="9" style="283"/>
    <col min="3840" max="3840" width="8.5" style="283" customWidth="1"/>
    <col min="3841" max="3841" width="9.75" style="283" bestFit="1" customWidth="1"/>
    <col min="3842" max="3842" width="11.125" style="283" customWidth="1"/>
    <col min="3843" max="3843" width="8.125" style="283" customWidth="1"/>
    <col min="3844" max="3844" width="8.625" style="283" bestFit="1" customWidth="1"/>
    <col min="3845" max="3845" width="9.75" style="283" bestFit="1" customWidth="1"/>
    <col min="3846" max="3846" width="11.375" style="283" bestFit="1" customWidth="1"/>
    <col min="3847" max="3847" width="10.625" style="283" bestFit="1" customWidth="1"/>
    <col min="3848" max="3848" width="8.625" style="283" bestFit="1" customWidth="1"/>
    <col min="3849" max="3849" width="7.875" style="283" bestFit="1" customWidth="1"/>
    <col min="3850" max="3850" width="8.625" style="283" bestFit="1" customWidth="1"/>
    <col min="3851" max="4095" width="9" style="283"/>
    <col min="4096" max="4096" width="8.5" style="283" customWidth="1"/>
    <col min="4097" max="4097" width="9.75" style="283" bestFit="1" customWidth="1"/>
    <col min="4098" max="4098" width="11.125" style="283" customWidth="1"/>
    <col min="4099" max="4099" width="8.125" style="283" customWidth="1"/>
    <col min="4100" max="4100" width="8.625" style="283" bestFit="1" customWidth="1"/>
    <col min="4101" max="4101" width="9.75" style="283" bestFit="1" customWidth="1"/>
    <col min="4102" max="4102" width="11.375" style="283" bestFit="1" customWidth="1"/>
    <col min="4103" max="4103" width="10.625" style="283" bestFit="1" customWidth="1"/>
    <col min="4104" max="4104" width="8.625" style="283" bestFit="1" customWidth="1"/>
    <col min="4105" max="4105" width="7.875" style="283" bestFit="1" customWidth="1"/>
    <col min="4106" max="4106" width="8.625" style="283" bestFit="1" customWidth="1"/>
    <col min="4107" max="4351" width="9" style="283"/>
    <col min="4352" max="4352" width="8.5" style="283" customWidth="1"/>
    <col min="4353" max="4353" width="9.75" style="283" bestFit="1" customWidth="1"/>
    <col min="4354" max="4354" width="11.125" style="283" customWidth="1"/>
    <col min="4355" max="4355" width="8.125" style="283" customWidth="1"/>
    <col min="4356" max="4356" width="8.625" style="283" bestFit="1" customWidth="1"/>
    <col min="4357" max="4357" width="9.75" style="283" bestFit="1" customWidth="1"/>
    <col min="4358" max="4358" width="11.375" style="283" bestFit="1" customWidth="1"/>
    <col min="4359" max="4359" width="10.625" style="283" bestFit="1" customWidth="1"/>
    <col min="4360" max="4360" width="8.625" style="283" bestFit="1" customWidth="1"/>
    <col min="4361" max="4361" width="7.875" style="283" bestFit="1" customWidth="1"/>
    <col min="4362" max="4362" width="8.625" style="283" bestFit="1" customWidth="1"/>
    <col min="4363" max="4607" width="9" style="283"/>
    <col min="4608" max="4608" width="8.5" style="283" customWidth="1"/>
    <col min="4609" max="4609" width="9.75" style="283" bestFit="1" customWidth="1"/>
    <col min="4610" max="4610" width="11.125" style="283" customWidth="1"/>
    <col min="4611" max="4611" width="8.125" style="283" customWidth="1"/>
    <col min="4612" max="4612" width="8.625" style="283" bestFit="1" customWidth="1"/>
    <col min="4613" max="4613" width="9.75" style="283" bestFit="1" customWidth="1"/>
    <col min="4614" max="4614" width="11.375" style="283" bestFit="1" customWidth="1"/>
    <col min="4615" max="4615" width="10.625" style="283" bestFit="1" customWidth="1"/>
    <col min="4616" max="4616" width="8.625" style="283" bestFit="1" customWidth="1"/>
    <col min="4617" max="4617" width="7.875" style="283" bestFit="1" customWidth="1"/>
    <col min="4618" max="4618" width="8.625" style="283" bestFit="1" customWidth="1"/>
    <col min="4619" max="4863" width="9" style="283"/>
    <col min="4864" max="4864" width="8.5" style="283" customWidth="1"/>
    <col min="4865" max="4865" width="9.75" style="283" bestFit="1" customWidth="1"/>
    <col min="4866" max="4866" width="11.125" style="283" customWidth="1"/>
    <col min="4867" max="4867" width="8.125" style="283" customWidth="1"/>
    <col min="4868" max="4868" width="8.625" style="283" bestFit="1" customWidth="1"/>
    <col min="4869" max="4869" width="9.75" style="283" bestFit="1" customWidth="1"/>
    <col min="4870" max="4870" width="11.375" style="283" bestFit="1" customWidth="1"/>
    <col min="4871" max="4871" width="10.625" style="283" bestFit="1" customWidth="1"/>
    <col min="4872" max="4872" width="8.625" style="283" bestFit="1" customWidth="1"/>
    <col min="4873" max="4873" width="7.875" style="283" bestFit="1" customWidth="1"/>
    <col min="4874" max="4874" width="8.625" style="283" bestFit="1" customWidth="1"/>
    <col min="4875" max="5119" width="9" style="283"/>
    <col min="5120" max="5120" width="8.5" style="283" customWidth="1"/>
    <col min="5121" max="5121" width="9.75" style="283" bestFit="1" customWidth="1"/>
    <col min="5122" max="5122" width="11.125" style="283" customWidth="1"/>
    <col min="5123" max="5123" width="8.125" style="283" customWidth="1"/>
    <col min="5124" max="5124" width="8.625" style="283" bestFit="1" customWidth="1"/>
    <col min="5125" max="5125" width="9.75" style="283" bestFit="1" customWidth="1"/>
    <col min="5126" max="5126" width="11.375" style="283" bestFit="1" customWidth="1"/>
    <col min="5127" max="5127" width="10.625" style="283" bestFit="1" customWidth="1"/>
    <col min="5128" max="5128" width="8.625" style="283" bestFit="1" customWidth="1"/>
    <col min="5129" max="5129" width="7.875" style="283" bestFit="1" customWidth="1"/>
    <col min="5130" max="5130" width="8.625" style="283" bestFit="1" customWidth="1"/>
    <col min="5131" max="5375" width="9" style="283"/>
    <col min="5376" max="5376" width="8.5" style="283" customWidth="1"/>
    <col min="5377" max="5377" width="9.75" style="283" bestFit="1" customWidth="1"/>
    <col min="5378" max="5378" width="11.125" style="283" customWidth="1"/>
    <col min="5379" max="5379" width="8.125" style="283" customWidth="1"/>
    <col min="5380" max="5380" width="8.625" style="283" bestFit="1" customWidth="1"/>
    <col min="5381" max="5381" width="9.75" style="283" bestFit="1" customWidth="1"/>
    <col min="5382" max="5382" width="11.375" style="283" bestFit="1" customWidth="1"/>
    <col min="5383" max="5383" width="10.625" style="283" bestFit="1" customWidth="1"/>
    <col min="5384" max="5384" width="8.625" style="283" bestFit="1" customWidth="1"/>
    <col min="5385" max="5385" width="7.875" style="283" bestFit="1" customWidth="1"/>
    <col min="5386" max="5386" width="8.625" style="283" bestFit="1" customWidth="1"/>
    <col min="5387" max="5631" width="9" style="283"/>
    <col min="5632" max="5632" width="8.5" style="283" customWidth="1"/>
    <col min="5633" max="5633" width="9.75" style="283" bestFit="1" customWidth="1"/>
    <col min="5634" max="5634" width="11.125" style="283" customWidth="1"/>
    <col min="5635" max="5635" width="8.125" style="283" customWidth="1"/>
    <col min="5636" max="5636" width="8.625" style="283" bestFit="1" customWidth="1"/>
    <col min="5637" max="5637" width="9.75" style="283" bestFit="1" customWidth="1"/>
    <col min="5638" max="5638" width="11.375" style="283" bestFit="1" customWidth="1"/>
    <col min="5639" max="5639" width="10.625" style="283" bestFit="1" customWidth="1"/>
    <col min="5640" max="5640" width="8.625" style="283" bestFit="1" customWidth="1"/>
    <col min="5641" max="5641" width="7.875" style="283" bestFit="1" customWidth="1"/>
    <col min="5642" max="5642" width="8.625" style="283" bestFit="1" customWidth="1"/>
    <col min="5643" max="5887" width="9" style="283"/>
    <col min="5888" max="5888" width="8.5" style="283" customWidth="1"/>
    <col min="5889" max="5889" width="9.75" style="283" bestFit="1" customWidth="1"/>
    <col min="5890" max="5890" width="11.125" style="283" customWidth="1"/>
    <col min="5891" max="5891" width="8.125" style="283" customWidth="1"/>
    <col min="5892" max="5892" width="8.625" style="283" bestFit="1" customWidth="1"/>
    <col min="5893" max="5893" width="9.75" style="283" bestFit="1" customWidth="1"/>
    <col min="5894" max="5894" width="11.375" style="283" bestFit="1" customWidth="1"/>
    <col min="5895" max="5895" width="10.625" style="283" bestFit="1" customWidth="1"/>
    <col min="5896" max="5896" width="8.625" style="283" bestFit="1" customWidth="1"/>
    <col min="5897" max="5897" width="7.875" style="283" bestFit="1" customWidth="1"/>
    <col min="5898" max="5898" width="8.625" style="283" bestFit="1" customWidth="1"/>
    <col min="5899" max="6143" width="9" style="283"/>
    <col min="6144" max="6144" width="8.5" style="283" customWidth="1"/>
    <col min="6145" max="6145" width="9.75" style="283" bestFit="1" customWidth="1"/>
    <col min="6146" max="6146" width="11.125" style="283" customWidth="1"/>
    <col min="6147" max="6147" width="8.125" style="283" customWidth="1"/>
    <col min="6148" max="6148" width="8.625" style="283" bestFit="1" customWidth="1"/>
    <col min="6149" max="6149" width="9.75" style="283" bestFit="1" customWidth="1"/>
    <col min="6150" max="6150" width="11.375" style="283" bestFit="1" customWidth="1"/>
    <col min="6151" max="6151" width="10.625" style="283" bestFit="1" customWidth="1"/>
    <col min="6152" max="6152" width="8.625" style="283" bestFit="1" customWidth="1"/>
    <col min="6153" max="6153" width="7.875" style="283" bestFit="1" customWidth="1"/>
    <col min="6154" max="6154" width="8.625" style="283" bestFit="1" customWidth="1"/>
    <col min="6155" max="6399" width="9" style="283"/>
    <col min="6400" max="6400" width="8.5" style="283" customWidth="1"/>
    <col min="6401" max="6401" width="9.75" style="283" bestFit="1" customWidth="1"/>
    <col min="6402" max="6402" width="11.125" style="283" customWidth="1"/>
    <col min="6403" max="6403" width="8.125" style="283" customWidth="1"/>
    <col min="6404" max="6404" width="8.625" style="283" bestFit="1" customWidth="1"/>
    <col min="6405" max="6405" width="9.75" style="283" bestFit="1" customWidth="1"/>
    <col min="6406" max="6406" width="11.375" style="283" bestFit="1" customWidth="1"/>
    <col min="6407" max="6407" width="10.625" style="283" bestFit="1" customWidth="1"/>
    <col min="6408" max="6408" width="8.625" style="283" bestFit="1" customWidth="1"/>
    <col min="6409" max="6409" width="7.875" style="283" bestFit="1" customWidth="1"/>
    <col min="6410" max="6410" width="8.625" style="283" bestFit="1" customWidth="1"/>
    <col min="6411" max="6655" width="9" style="283"/>
    <col min="6656" max="6656" width="8.5" style="283" customWidth="1"/>
    <col min="6657" max="6657" width="9.75" style="283" bestFit="1" customWidth="1"/>
    <col min="6658" max="6658" width="11.125" style="283" customWidth="1"/>
    <col min="6659" max="6659" width="8.125" style="283" customWidth="1"/>
    <col min="6660" max="6660" width="8.625" style="283" bestFit="1" customWidth="1"/>
    <col min="6661" max="6661" width="9.75" style="283" bestFit="1" customWidth="1"/>
    <col min="6662" max="6662" width="11.375" style="283" bestFit="1" customWidth="1"/>
    <col min="6663" max="6663" width="10.625" style="283" bestFit="1" customWidth="1"/>
    <col min="6664" max="6664" width="8.625" style="283" bestFit="1" customWidth="1"/>
    <col min="6665" max="6665" width="7.875" style="283" bestFit="1" customWidth="1"/>
    <col min="6666" max="6666" width="8.625" style="283" bestFit="1" customWidth="1"/>
    <col min="6667" max="6911" width="9" style="283"/>
    <col min="6912" max="6912" width="8.5" style="283" customWidth="1"/>
    <col min="6913" max="6913" width="9.75" style="283" bestFit="1" customWidth="1"/>
    <col min="6914" max="6914" width="11.125" style="283" customWidth="1"/>
    <col min="6915" max="6915" width="8.125" style="283" customWidth="1"/>
    <col min="6916" max="6916" width="8.625" style="283" bestFit="1" customWidth="1"/>
    <col min="6917" max="6917" width="9.75" style="283" bestFit="1" customWidth="1"/>
    <col min="6918" max="6918" width="11.375" style="283" bestFit="1" customWidth="1"/>
    <col min="6919" max="6919" width="10.625" style="283" bestFit="1" customWidth="1"/>
    <col min="6920" max="6920" width="8.625" style="283" bestFit="1" customWidth="1"/>
    <col min="6921" max="6921" width="7.875" style="283" bestFit="1" customWidth="1"/>
    <col min="6922" max="6922" width="8.625" style="283" bestFit="1" customWidth="1"/>
    <col min="6923" max="7167" width="9" style="283"/>
    <col min="7168" max="7168" width="8.5" style="283" customWidth="1"/>
    <col min="7169" max="7169" width="9.75" style="283" bestFit="1" customWidth="1"/>
    <col min="7170" max="7170" width="11.125" style="283" customWidth="1"/>
    <col min="7171" max="7171" width="8.125" style="283" customWidth="1"/>
    <col min="7172" max="7172" width="8.625" style="283" bestFit="1" customWidth="1"/>
    <col min="7173" max="7173" width="9.75" style="283" bestFit="1" customWidth="1"/>
    <col min="7174" max="7174" width="11.375" style="283" bestFit="1" customWidth="1"/>
    <col min="7175" max="7175" width="10.625" style="283" bestFit="1" customWidth="1"/>
    <col min="7176" max="7176" width="8.625" style="283" bestFit="1" customWidth="1"/>
    <col min="7177" max="7177" width="7.875" style="283" bestFit="1" customWidth="1"/>
    <col min="7178" max="7178" width="8.625" style="283" bestFit="1" customWidth="1"/>
    <col min="7179" max="7423" width="9" style="283"/>
    <col min="7424" max="7424" width="8.5" style="283" customWidth="1"/>
    <col min="7425" max="7425" width="9.75" style="283" bestFit="1" customWidth="1"/>
    <col min="7426" max="7426" width="11.125" style="283" customWidth="1"/>
    <col min="7427" max="7427" width="8.125" style="283" customWidth="1"/>
    <col min="7428" max="7428" width="8.625" style="283" bestFit="1" customWidth="1"/>
    <col min="7429" max="7429" width="9.75" style="283" bestFit="1" customWidth="1"/>
    <col min="7430" max="7430" width="11.375" style="283" bestFit="1" customWidth="1"/>
    <col min="7431" max="7431" width="10.625" style="283" bestFit="1" customWidth="1"/>
    <col min="7432" max="7432" width="8.625" style="283" bestFit="1" customWidth="1"/>
    <col min="7433" max="7433" width="7.875" style="283" bestFit="1" customWidth="1"/>
    <col min="7434" max="7434" width="8.625" style="283" bestFit="1" customWidth="1"/>
    <col min="7435" max="7679" width="9" style="283"/>
    <col min="7680" max="7680" width="8.5" style="283" customWidth="1"/>
    <col min="7681" max="7681" width="9.75" style="283" bestFit="1" customWidth="1"/>
    <col min="7682" max="7682" width="11.125" style="283" customWidth="1"/>
    <col min="7683" max="7683" width="8.125" style="283" customWidth="1"/>
    <col min="7684" max="7684" width="8.625" style="283" bestFit="1" customWidth="1"/>
    <col min="7685" max="7685" width="9.75" style="283" bestFit="1" customWidth="1"/>
    <col min="7686" max="7686" width="11.375" style="283" bestFit="1" customWidth="1"/>
    <col min="7687" max="7687" width="10.625" style="283" bestFit="1" customWidth="1"/>
    <col min="7688" max="7688" width="8.625" style="283" bestFit="1" customWidth="1"/>
    <col min="7689" max="7689" width="7.875" style="283" bestFit="1" customWidth="1"/>
    <col min="7690" max="7690" width="8.625" style="283" bestFit="1" customWidth="1"/>
    <col min="7691" max="7935" width="9" style="283"/>
    <col min="7936" max="7936" width="8.5" style="283" customWidth="1"/>
    <col min="7937" max="7937" width="9.75" style="283" bestFit="1" customWidth="1"/>
    <col min="7938" max="7938" width="11.125" style="283" customWidth="1"/>
    <col min="7939" max="7939" width="8.125" style="283" customWidth="1"/>
    <col min="7940" max="7940" width="8.625" style="283" bestFit="1" customWidth="1"/>
    <col min="7941" max="7941" width="9.75" style="283" bestFit="1" customWidth="1"/>
    <col min="7942" max="7942" width="11.375" style="283" bestFit="1" customWidth="1"/>
    <col min="7943" max="7943" width="10.625" style="283" bestFit="1" customWidth="1"/>
    <col min="7944" max="7944" width="8.625" style="283" bestFit="1" customWidth="1"/>
    <col min="7945" max="7945" width="7.875" style="283" bestFit="1" customWidth="1"/>
    <col min="7946" max="7946" width="8.625" style="283" bestFit="1" customWidth="1"/>
    <col min="7947" max="8191" width="9" style="283"/>
    <col min="8192" max="8192" width="8.5" style="283" customWidth="1"/>
    <col min="8193" max="8193" width="9.75" style="283" bestFit="1" customWidth="1"/>
    <col min="8194" max="8194" width="11.125" style="283" customWidth="1"/>
    <col min="8195" max="8195" width="8.125" style="283" customWidth="1"/>
    <col min="8196" max="8196" width="8.625" style="283" bestFit="1" customWidth="1"/>
    <col min="8197" max="8197" width="9.75" style="283" bestFit="1" customWidth="1"/>
    <col min="8198" max="8198" width="11.375" style="283" bestFit="1" customWidth="1"/>
    <col min="8199" max="8199" width="10.625" style="283" bestFit="1" customWidth="1"/>
    <col min="8200" max="8200" width="8.625" style="283" bestFit="1" customWidth="1"/>
    <col min="8201" max="8201" width="7.875" style="283" bestFit="1" customWidth="1"/>
    <col min="8202" max="8202" width="8.625" style="283" bestFit="1" customWidth="1"/>
    <col min="8203" max="8447" width="9" style="283"/>
    <col min="8448" max="8448" width="8.5" style="283" customWidth="1"/>
    <col min="8449" max="8449" width="9.75" style="283" bestFit="1" customWidth="1"/>
    <col min="8450" max="8450" width="11.125" style="283" customWidth="1"/>
    <col min="8451" max="8451" width="8.125" style="283" customWidth="1"/>
    <col min="8452" max="8452" width="8.625" style="283" bestFit="1" customWidth="1"/>
    <col min="8453" max="8453" width="9.75" style="283" bestFit="1" customWidth="1"/>
    <col min="8454" max="8454" width="11.375" style="283" bestFit="1" customWidth="1"/>
    <col min="8455" max="8455" width="10.625" style="283" bestFit="1" customWidth="1"/>
    <col min="8456" max="8456" width="8.625" style="283" bestFit="1" customWidth="1"/>
    <col min="8457" max="8457" width="7.875" style="283" bestFit="1" customWidth="1"/>
    <col min="8458" max="8458" width="8.625" style="283" bestFit="1" customWidth="1"/>
    <col min="8459" max="8703" width="9" style="283"/>
    <col min="8704" max="8704" width="8.5" style="283" customWidth="1"/>
    <col min="8705" max="8705" width="9.75" style="283" bestFit="1" customWidth="1"/>
    <col min="8706" max="8706" width="11.125" style="283" customWidth="1"/>
    <col min="8707" max="8707" width="8.125" style="283" customWidth="1"/>
    <col min="8708" max="8708" width="8.625" style="283" bestFit="1" customWidth="1"/>
    <col min="8709" max="8709" width="9.75" style="283" bestFit="1" customWidth="1"/>
    <col min="8710" max="8710" width="11.375" style="283" bestFit="1" customWidth="1"/>
    <col min="8711" max="8711" width="10.625" style="283" bestFit="1" customWidth="1"/>
    <col min="8712" max="8712" width="8.625" style="283" bestFit="1" customWidth="1"/>
    <col min="8713" max="8713" width="7.875" style="283" bestFit="1" customWidth="1"/>
    <col min="8714" max="8714" width="8.625" style="283" bestFit="1" customWidth="1"/>
    <col min="8715" max="8959" width="9" style="283"/>
    <col min="8960" max="8960" width="8.5" style="283" customWidth="1"/>
    <col min="8961" max="8961" width="9.75" style="283" bestFit="1" customWidth="1"/>
    <col min="8962" max="8962" width="11.125" style="283" customWidth="1"/>
    <col min="8963" max="8963" width="8.125" style="283" customWidth="1"/>
    <col min="8964" max="8964" width="8.625" style="283" bestFit="1" customWidth="1"/>
    <col min="8965" max="8965" width="9.75" style="283" bestFit="1" customWidth="1"/>
    <col min="8966" max="8966" width="11.375" style="283" bestFit="1" customWidth="1"/>
    <col min="8967" max="8967" width="10.625" style="283" bestFit="1" customWidth="1"/>
    <col min="8968" max="8968" width="8.625" style="283" bestFit="1" customWidth="1"/>
    <col min="8969" max="8969" width="7.875" style="283" bestFit="1" customWidth="1"/>
    <col min="8970" max="8970" width="8.625" style="283" bestFit="1" customWidth="1"/>
    <col min="8971" max="9215" width="9" style="283"/>
    <col min="9216" max="9216" width="8.5" style="283" customWidth="1"/>
    <col min="9217" max="9217" width="9.75" style="283" bestFit="1" customWidth="1"/>
    <col min="9218" max="9218" width="11.125" style="283" customWidth="1"/>
    <col min="9219" max="9219" width="8.125" style="283" customWidth="1"/>
    <col min="9220" max="9220" width="8.625" style="283" bestFit="1" customWidth="1"/>
    <col min="9221" max="9221" width="9.75" style="283" bestFit="1" customWidth="1"/>
    <col min="9222" max="9222" width="11.375" style="283" bestFit="1" customWidth="1"/>
    <col min="9223" max="9223" width="10.625" style="283" bestFit="1" customWidth="1"/>
    <col min="9224" max="9224" width="8.625" style="283" bestFit="1" customWidth="1"/>
    <col min="9225" max="9225" width="7.875" style="283" bestFit="1" customWidth="1"/>
    <col min="9226" max="9226" width="8.625" style="283" bestFit="1" customWidth="1"/>
    <col min="9227" max="9471" width="9" style="283"/>
    <col min="9472" max="9472" width="8.5" style="283" customWidth="1"/>
    <col min="9473" max="9473" width="9.75" style="283" bestFit="1" customWidth="1"/>
    <col min="9474" max="9474" width="11.125" style="283" customWidth="1"/>
    <col min="9475" max="9475" width="8.125" style="283" customWidth="1"/>
    <col min="9476" max="9476" width="8.625" style="283" bestFit="1" customWidth="1"/>
    <col min="9477" max="9477" width="9.75" style="283" bestFit="1" customWidth="1"/>
    <col min="9478" max="9478" width="11.375" style="283" bestFit="1" customWidth="1"/>
    <col min="9479" max="9479" width="10.625" style="283" bestFit="1" customWidth="1"/>
    <col min="9480" max="9480" width="8.625" style="283" bestFit="1" customWidth="1"/>
    <col min="9481" max="9481" width="7.875" style="283" bestFit="1" customWidth="1"/>
    <col min="9482" max="9482" width="8.625" style="283" bestFit="1" customWidth="1"/>
    <col min="9483" max="9727" width="9" style="283"/>
    <col min="9728" max="9728" width="8.5" style="283" customWidth="1"/>
    <col min="9729" max="9729" width="9.75" style="283" bestFit="1" customWidth="1"/>
    <col min="9730" max="9730" width="11.125" style="283" customWidth="1"/>
    <col min="9731" max="9731" width="8.125" style="283" customWidth="1"/>
    <col min="9732" max="9732" width="8.625" style="283" bestFit="1" customWidth="1"/>
    <col min="9733" max="9733" width="9.75" style="283" bestFit="1" customWidth="1"/>
    <col min="9734" max="9734" width="11.375" style="283" bestFit="1" customWidth="1"/>
    <col min="9735" max="9735" width="10.625" style="283" bestFit="1" customWidth="1"/>
    <col min="9736" max="9736" width="8.625" style="283" bestFit="1" customWidth="1"/>
    <col min="9737" max="9737" width="7.875" style="283" bestFit="1" customWidth="1"/>
    <col min="9738" max="9738" width="8.625" style="283" bestFit="1" customWidth="1"/>
    <col min="9739" max="9983" width="9" style="283"/>
    <col min="9984" max="9984" width="8.5" style="283" customWidth="1"/>
    <col min="9985" max="9985" width="9.75" style="283" bestFit="1" customWidth="1"/>
    <col min="9986" max="9986" width="11.125" style="283" customWidth="1"/>
    <col min="9987" max="9987" width="8.125" style="283" customWidth="1"/>
    <col min="9988" max="9988" width="8.625" style="283" bestFit="1" customWidth="1"/>
    <col min="9989" max="9989" width="9.75" style="283" bestFit="1" customWidth="1"/>
    <col min="9990" max="9990" width="11.375" style="283" bestFit="1" customWidth="1"/>
    <col min="9991" max="9991" width="10.625" style="283" bestFit="1" customWidth="1"/>
    <col min="9992" max="9992" width="8.625" style="283" bestFit="1" customWidth="1"/>
    <col min="9993" max="9993" width="7.875" style="283" bestFit="1" customWidth="1"/>
    <col min="9994" max="9994" width="8.625" style="283" bestFit="1" customWidth="1"/>
    <col min="9995" max="10239" width="9" style="283"/>
    <col min="10240" max="10240" width="8.5" style="283" customWidth="1"/>
    <col min="10241" max="10241" width="9.75" style="283" bestFit="1" customWidth="1"/>
    <col min="10242" max="10242" width="11.125" style="283" customWidth="1"/>
    <col min="10243" max="10243" width="8.125" style="283" customWidth="1"/>
    <col min="10244" max="10244" width="8.625" style="283" bestFit="1" customWidth="1"/>
    <col min="10245" max="10245" width="9.75" style="283" bestFit="1" customWidth="1"/>
    <col min="10246" max="10246" width="11.375" style="283" bestFit="1" customWidth="1"/>
    <col min="10247" max="10247" width="10.625" style="283" bestFit="1" customWidth="1"/>
    <col min="10248" max="10248" width="8.625" style="283" bestFit="1" customWidth="1"/>
    <col min="10249" max="10249" width="7.875" style="283" bestFit="1" customWidth="1"/>
    <col min="10250" max="10250" width="8.625" style="283" bestFit="1" customWidth="1"/>
    <col min="10251" max="10495" width="9" style="283"/>
    <col min="10496" max="10496" width="8.5" style="283" customWidth="1"/>
    <col min="10497" max="10497" width="9.75" style="283" bestFit="1" customWidth="1"/>
    <col min="10498" max="10498" width="11.125" style="283" customWidth="1"/>
    <col min="10499" max="10499" width="8.125" style="283" customWidth="1"/>
    <col min="10500" max="10500" width="8.625" style="283" bestFit="1" customWidth="1"/>
    <col min="10501" max="10501" width="9.75" style="283" bestFit="1" customWidth="1"/>
    <col min="10502" max="10502" width="11.375" style="283" bestFit="1" customWidth="1"/>
    <col min="10503" max="10503" width="10.625" style="283" bestFit="1" customWidth="1"/>
    <col min="10504" max="10504" width="8.625" style="283" bestFit="1" customWidth="1"/>
    <col min="10505" max="10505" width="7.875" style="283" bestFit="1" customWidth="1"/>
    <col min="10506" max="10506" width="8.625" style="283" bestFit="1" customWidth="1"/>
    <col min="10507" max="10751" width="9" style="283"/>
    <col min="10752" max="10752" width="8.5" style="283" customWidth="1"/>
    <col min="10753" max="10753" width="9.75" style="283" bestFit="1" customWidth="1"/>
    <col min="10754" max="10754" width="11.125" style="283" customWidth="1"/>
    <col min="10755" max="10755" width="8.125" style="283" customWidth="1"/>
    <col min="10756" max="10756" width="8.625" style="283" bestFit="1" customWidth="1"/>
    <col min="10757" max="10757" width="9.75" style="283" bestFit="1" customWidth="1"/>
    <col min="10758" max="10758" width="11.375" style="283" bestFit="1" customWidth="1"/>
    <col min="10759" max="10759" width="10.625" style="283" bestFit="1" customWidth="1"/>
    <col min="10760" max="10760" width="8.625" style="283" bestFit="1" customWidth="1"/>
    <col min="10761" max="10761" width="7.875" style="283" bestFit="1" customWidth="1"/>
    <col min="10762" max="10762" width="8.625" style="283" bestFit="1" customWidth="1"/>
    <col min="10763" max="11007" width="9" style="283"/>
    <col min="11008" max="11008" width="8.5" style="283" customWidth="1"/>
    <col min="11009" max="11009" width="9.75" style="283" bestFit="1" customWidth="1"/>
    <col min="11010" max="11010" width="11.125" style="283" customWidth="1"/>
    <col min="11011" max="11011" width="8.125" style="283" customWidth="1"/>
    <col min="11012" max="11012" width="8.625" style="283" bestFit="1" customWidth="1"/>
    <col min="11013" max="11013" width="9.75" style="283" bestFit="1" customWidth="1"/>
    <col min="11014" max="11014" width="11.375" style="283" bestFit="1" customWidth="1"/>
    <col min="11015" max="11015" width="10.625" style="283" bestFit="1" customWidth="1"/>
    <col min="11016" max="11016" width="8.625" style="283" bestFit="1" customWidth="1"/>
    <col min="11017" max="11017" width="7.875" style="283" bestFit="1" customWidth="1"/>
    <col min="11018" max="11018" width="8.625" style="283" bestFit="1" customWidth="1"/>
    <col min="11019" max="11263" width="9" style="283"/>
    <col min="11264" max="11264" width="8.5" style="283" customWidth="1"/>
    <col min="11265" max="11265" width="9.75" style="283" bestFit="1" customWidth="1"/>
    <col min="11266" max="11266" width="11.125" style="283" customWidth="1"/>
    <col min="11267" max="11267" width="8.125" style="283" customWidth="1"/>
    <col min="11268" max="11268" width="8.625" style="283" bestFit="1" customWidth="1"/>
    <col min="11269" max="11269" width="9.75" style="283" bestFit="1" customWidth="1"/>
    <col min="11270" max="11270" width="11.375" style="283" bestFit="1" customWidth="1"/>
    <col min="11271" max="11271" width="10.625" style="283" bestFit="1" customWidth="1"/>
    <col min="11272" max="11272" width="8.625" style="283" bestFit="1" customWidth="1"/>
    <col min="11273" max="11273" width="7.875" style="283" bestFit="1" customWidth="1"/>
    <col min="11274" max="11274" width="8.625" style="283" bestFit="1" customWidth="1"/>
    <col min="11275" max="11519" width="9" style="283"/>
    <col min="11520" max="11520" width="8.5" style="283" customWidth="1"/>
    <col min="11521" max="11521" width="9.75" style="283" bestFit="1" customWidth="1"/>
    <col min="11522" max="11522" width="11.125" style="283" customWidth="1"/>
    <col min="11523" max="11523" width="8.125" style="283" customWidth="1"/>
    <col min="11524" max="11524" width="8.625" style="283" bestFit="1" customWidth="1"/>
    <col min="11525" max="11525" width="9.75" style="283" bestFit="1" customWidth="1"/>
    <col min="11526" max="11526" width="11.375" style="283" bestFit="1" customWidth="1"/>
    <col min="11527" max="11527" width="10.625" style="283" bestFit="1" customWidth="1"/>
    <col min="11528" max="11528" width="8.625" style="283" bestFit="1" customWidth="1"/>
    <col min="11529" max="11529" width="7.875" style="283" bestFit="1" customWidth="1"/>
    <col min="11530" max="11530" width="8.625" style="283" bestFit="1" customWidth="1"/>
    <col min="11531" max="11775" width="9" style="283"/>
    <col min="11776" max="11776" width="8.5" style="283" customWidth="1"/>
    <col min="11777" max="11777" width="9.75" style="283" bestFit="1" customWidth="1"/>
    <col min="11778" max="11778" width="11.125" style="283" customWidth="1"/>
    <col min="11779" max="11779" width="8.125" style="283" customWidth="1"/>
    <col min="11780" max="11780" width="8.625" style="283" bestFit="1" customWidth="1"/>
    <col min="11781" max="11781" width="9.75" style="283" bestFit="1" customWidth="1"/>
    <col min="11782" max="11782" width="11.375" style="283" bestFit="1" customWidth="1"/>
    <col min="11783" max="11783" width="10.625" style="283" bestFit="1" customWidth="1"/>
    <col min="11784" max="11784" width="8.625" style="283" bestFit="1" customWidth="1"/>
    <col min="11785" max="11785" width="7.875" style="283" bestFit="1" customWidth="1"/>
    <col min="11786" max="11786" width="8.625" style="283" bestFit="1" customWidth="1"/>
    <col min="11787" max="12031" width="9" style="283"/>
    <col min="12032" max="12032" width="8.5" style="283" customWidth="1"/>
    <col min="12033" max="12033" width="9.75" style="283" bestFit="1" customWidth="1"/>
    <col min="12034" max="12034" width="11.125" style="283" customWidth="1"/>
    <col min="12035" max="12035" width="8.125" style="283" customWidth="1"/>
    <col min="12036" max="12036" width="8.625" style="283" bestFit="1" customWidth="1"/>
    <col min="12037" max="12037" width="9.75" style="283" bestFit="1" customWidth="1"/>
    <col min="12038" max="12038" width="11.375" style="283" bestFit="1" customWidth="1"/>
    <col min="12039" max="12039" width="10.625" style="283" bestFit="1" customWidth="1"/>
    <col min="12040" max="12040" width="8.625" style="283" bestFit="1" customWidth="1"/>
    <col min="12041" max="12041" width="7.875" style="283" bestFit="1" customWidth="1"/>
    <col min="12042" max="12042" width="8.625" style="283" bestFit="1" customWidth="1"/>
    <col min="12043" max="12287" width="9" style="283"/>
    <col min="12288" max="12288" width="8.5" style="283" customWidth="1"/>
    <col min="12289" max="12289" width="9.75" style="283" bestFit="1" customWidth="1"/>
    <col min="12290" max="12290" width="11.125" style="283" customWidth="1"/>
    <col min="12291" max="12291" width="8.125" style="283" customWidth="1"/>
    <col min="12292" max="12292" width="8.625" style="283" bestFit="1" customWidth="1"/>
    <col min="12293" max="12293" width="9.75" style="283" bestFit="1" customWidth="1"/>
    <col min="12294" max="12294" width="11.375" style="283" bestFit="1" customWidth="1"/>
    <col min="12295" max="12295" width="10.625" style="283" bestFit="1" customWidth="1"/>
    <col min="12296" max="12296" width="8.625" style="283" bestFit="1" customWidth="1"/>
    <col min="12297" max="12297" width="7.875" style="283" bestFit="1" customWidth="1"/>
    <col min="12298" max="12298" width="8.625" style="283" bestFit="1" customWidth="1"/>
    <col min="12299" max="12543" width="9" style="283"/>
    <col min="12544" max="12544" width="8.5" style="283" customWidth="1"/>
    <col min="12545" max="12545" width="9.75" style="283" bestFit="1" customWidth="1"/>
    <col min="12546" max="12546" width="11.125" style="283" customWidth="1"/>
    <col min="12547" max="12547" width="8.125" style="283" customWidth="1"/>
    <col min="12548" max="12548" width="8.625" style="283" bestFit="1" customWidth="1"/>
    <col min="12549" max="12549" width="9.75" style="283" bestFit="1" customWidth="1"/>
    <col min="12550" max="12550" width="11.375" style="283" bestFit="1" customWidth="1"/>
    <col min="12551" max="12551" width="10.625" style="283" bestFit="1" customWidth="1"/>
    <col min="12552" max="12552" width="8.625" style="283" bestFit="1" customWidth="1"/>
    <col min="12553" max="12553" width="7.875" style="283" bestFit="1" customWidth="1"/>
    <col min="12554" max="12554" width="8.625" style="283" bestFit="1" customWidth="1"/>
    <col min="12555" max="12799" width="9" style="283"/>
    <col min="12800" max="12800" width="8.5" style="283" customWidth="1"/>
    <col min="12801" max="12801" width="9.75" style="283" bestFit="1" customWidth="1"/>
    <col min="12802" max="12802" width="11.125" style="283" customWidth="1"/>
    <col min="12803" max="12803" width="8.125" style="283" customWidth="1"/>
    <col min="12804" max="12804" width="8.625" style="283" bestFit="1" customWidth="1"/>
    <col min="12805" max="12805" width="9.75" style="283" bestFit="1" customWidth="1"/>
    <col min="12806" max="12806" width="11.375" style="283" bestFit="1" customWidth="1"/>
    <col min="12807" max="12807" width="10.625" style="283" bestFit="1" customWidth="1"/>
    <col min="12808" max="12808" width="8.625" style="283" bestFit="1" customWidth="1"/>
    <col min="12809" max="12809" width="7.875" style="283" bestFit="1" customWidth="1"/>
    <col min="12810" max="12810" width="8.625" style="283" bestFit="1" customWidth="1"/>
    <col min="12811" max="13055" width="9" style="283"/>
    <col min="13056" max="13056" width="8.5" style="283" customWidth="1"/>
    <col min="13057" max="13057" width="9.75" style="283" bestFit="1" customWidth="1"/>
    <col min="13058" max="13058" width="11.125" style="283" customWidth="1"/>
    <col min="13059" max="13059" width="8.125" style="283" customWidth="1"/>
    <col min="13060" max="13060" width="8.625" style="283" bestFit="1" customWidth="1"/>
    <col min="13061" max="13061" width="9.75" style="283" bestFit="1" customWidth="1"/>
    <col min="13062" max="13062" width="11.375" style="283" bestFit="1" customWidth="1"/>
    <col min="13063" max="13063" width="10.625" style="283" bestFit="1" customWidth="1"/>
    <col min="13064" max="13064" width="8.625" style="283" bestFit="1" customWidth="1"/>
    <col min="13065" max="13065" width="7.875" style="283" bestFit="1" customWidth="1"/>
    <col min="13066" max="13066" width="8.625" style="283" bestFit="1" customWidth="1"/>
    <col min="13067" max="13311" width="9" style="283"/>
    <col min="13312" max="13312" width="8.5" style="283" customWidth="1"/>
    <col min="13313" max="13313" width="9.75" style="283" bestFit="1" customWidth="1"/>
    <col min="13314" max="13314" width="11.125" style="283" customWidth="1"/>
    <col min="13315" max="13315" width="8.125" style="283" customWidth="1"/>
    <col min="13316" max="13316" width="8.625" style="283" bestFit="1" customWidth="1"/>
    <col min="13317" max="13317" width="9.75" style="283" bestFit="1" customWidth="1"/>
    <col min="13318" max="13318" width="11.375" style="283" bestFit="1" customWidth="1"/>
    <col min="13319" max="13319" width="10.625" style="283" bestFit="1" customWidth="1"/>
    <col min="13320" max="13320" width="8.625" style="283" bestFit="1" customWidth="1"/>
    <col min="13321" max="13321" width="7.875" style="283" bestFit="1" customWidth="1"/>
    <col min="13322" max="13322" width="8.625" style="283" bestFit="1" customWidth="1"/>
    <col min="13323" max="13567" width="9" style="283"/>
    <col min="13568" max="13568" width="8.5" style="283" customWidth="1"/>
    <col min="13569" max="13569" width="9.75" style="283" bestFit="1" customWidth="1"/>
    <col min="13570" max="13570" width="11.125" style="283" customWidth="1"/>
    <col min="13571" max="13571" width="8.125" style="283" customWidth="1"/>
    <col min="13572" max="13572" width="8.625" style="283" bestFit="1" customWidth="1"/>
    <col min="13573" max="13573" width="9.75" style="283" bestFit="1" customWidth="1"/>
    <col min="13574" max="13574" width="11.375" style="283" bestFit="1" customWidth="1"/>
    <col min="13575" max="13575" width="10.625" style="283" bestFit="1" customWidth="1"/>
    <col min="13576" max="13576" width="8.625" style="283" bestFit="1" customWidth="1"/>
    <col min="13577" max="13577" width="7.875" style="283" bestFit="1" customWidth="1"/>
    <col min="13578" max="13578" width="8.625" style="283" bestFit="1" customWidth="1"/>
    <col min="13579" max="13823" width="9" style="283"/>
    <col min="13824" max="13824" width="8.5" style="283" customWidth="1"/>
    <col min="13825" max="13825" width="9.75" style="283" bestFit="1" customWidth="1"/>
    <col min="13826" max="13826" width="11.125" style="283" customWidth="1"/>
    <col min="13827" max="13827" width="8.125" style="283" customWidth="1"/>
    <col min="13828" max="13828" width="8.625" style="283" bestFit="1" customWidth="1"/>
    <col min="13829" max="13829" width="9.75" style="283" bestFit="1" customWidth="1"/>
    <col min="13830" max="13830" width="11.375" style="283" bestFit="1" customWidth="1"/>
    <col min="13831" max="13831" width="10.625" style="283" bestFit="1" customWidth="1"/>
    <col min="13832" max="13832" width="8.625" style="283" bestFit="1" customWidth="1"/>
    <col min="13833" max="13833" width="7.875" style="283" bestFit="1" customWidth="1"/>
    <col min="13834" max="13834" width="8.625" style="283" bestFit="1" customWidth="1"/>
    <col min="13835" max="14079" width="9" style="283"/>
    <col min="14080" max="14080" width="8.5" style="283" customWidth="1"/>
    <col min="14081" max="14081" width="9.75" style="283" bestFit="1" customWidth="1"/>
    <col min="14082" max="14082" width="11.125" style="283" customWidth="1"/>
    <col min="14083" max="14083" width="8.125" style="283" customWidth="1"/>
    <col min="14084" max="14084" width="8.625" style="283" bestFit="1" customWidth="1"/>
    <col min="14085" max="14085" width="9.75" style="283" bestFit="1" customWidth="1"/>
    <col min="14086" max="14086" width="11.375" style="283" bestFit="1" customWidth="1"/>
    <col min="14087" max="14087" width="10.625" style="283" bestFit="1" customWidth="1"/>
    <col min="14088" max="14088" width="8.625" style="283" bestFit="1" customWidth="1"/>
    <col min="14089" max="14089" width="7.875" style="283" bestFit="1" customWidth="1"/>
    <col min="14090" max="14090" width="8.625" style="283" bestFit="1" customWidth="1"/>
    <col min="14091" max="14335" width="9" style="283"/>
    <col min="14336" max="14336" width="8.5" style="283" customWidth="1"/>
    <col min="14337" max="14337" width="9.75" style="283" bestFit="1" customWidth="1"/>
    <col min="14338" max="14338" width="11.125" style="283" customWidth="1"/>
    <col min="14339" max="14339" width="8.125" style="283" customWidth="1"/>
    <col min="14340" max="14340" width="8.625" style="283" bestFit="1" customWidth="1"/>
    <col min="14341" max="14341" width="9.75" style="283" bestFit="1" customWidth="1"/>
    <col min="14342" max="14342" width="11.375" style="283" bestFit="1" customWidth="1"/>
    <col min="14343" max="14343" width="10.625" style="283" bestFit="1" customWidth="1"/>
    <col min="14344" max="14344" width="8.625" style="283" bestFit="1" customWidth="1"/>
    <col min="14345" max="14345" width="7.875" style="283" bestFit="1" customWidth="1"/>
    <col min="14346" max="14346" width="8.625" style="283" bestFit="1" customWidth="1"/>
    <col min="14347" max="14591" width="9" style="283"/>
    <col min="14592" max="14592" width="8.5" style="283" customWidth="1"/>
    <col min="14593" max="14593" width="9.75" style="283" bestFit="1" customWidth="1"/>
    <col min="14594" max="14594" width="11.125" style="283" customWidth="1"/>
    <col min="14595" max="14595" width="8.125" style="283" customWidth="1"/>
    <col min="14596" max="14596" width="8.625" style="283" bestFit="1" customWidth="1"/>
    <col min="14597" max="14597" width="9.75" style="283" bestFit="1" customWidth="1"/>
    <col min="14598" max="14598" width="11.375" style="283" bestFit="1" customWidth="1"/>
    <col min="14599" max="14599" width="10.625" style="283" bestFit="1" customWidth="1"/>
    <col min="14600" max="14600" width="8.625" style="283" bestFit="1" customWidth="1"/>
    <col min="14601" max="14601" width="7.875" style="283" bestFit="1" customWidth="1"/>
    <col min="14602" max="14602" width="8.625" style="283" bestFit="1" customWidth="1"/>
    <col min="14603" max="14847" width="9" style="283"/>
    <col min="14848" max="14848" width="8.5" style="283" customWidth="1"/>
    <col min="14849" max="14849" width="9.75" style="283" bestFit="1" customWidth="1"/>
    <col min="14850" max="14850" width="11.125" style="283" customWidth="1"/>
    <col min="14851" max="14851" width="8.125" style="283" customWidth="1"/>
    <col min="14852" max="14852" width="8.625" style="283" bestFit="1" customWidth="1"/>
    <col min="14853" max="14853" width="9.75" style="283" bestFit="1" customWidth="1"/>
    <col min="14854" max="14854" width="11.375" style="283" bestFit="1" customWidth="1"/>
    <col min="14855" max="14855" width="10.625" style="283" bestFit="1" customWidth="1"/>
    <col min="14856" max="14856" width="8.625" style="283" bestFit="1" customWidth="1"/>
    <col min="14857" max="14857" width="7.875" style="283" bestFit="1" customWidth="1"/>
    <col min="14858" max="14858" width="8.625" style="283" bestFit="1" customWidth="1"/>
    <col min="14859" max="15103" width="9" style="283"/>
    <col min="15104" max="15104" width="8.5" style="283" customWidth="1"/>
    <col min="15105" max="15105" width="9.75" style="283" bestFit="1" customWidth="1"/>
    <col min="15106" max="15106" width="11.125" style="283" customWidth="1"/>
    <col min="15107" max="15107" width="8.125" style="283" customWidth="1"/>
    <col min="15108" max="15108" width="8.625" style="283" bestFit="1" customWidth="1"/>
    <col min="15109" max="15109" width="9.75" style="283" bestFit="1" customWidth="1"/>
    <col min="15110" max="15110" width="11.375" style="283" bestFit="1" customWidth="1"/>
    <col min="15111" max="15111" width="10.625" style="283" bestFit="1" customWidth="1"/>
    <col min="15112" max="15112" width="8.625" style="283" bestFit="1" customWidth="1"/>
    <col min="15113" max="15113" width="7.875" style="283" bestFit="1" customWidth="1"/>
    <col min="15114" max="15114" width="8.625" style="283" bestFit="1" customWidth="1"/>
    <col min="15115" max="15359" width="9" style="283"/>
    <col min="15360" max="15360" width="8.5" style="283" customWidth="1"/>
    <col min="15361" max="15361" width="9.75" style="283" bestFit="1" customWidth="1"/>
    <col min="15362" max="15362" width="11.125" style="283" customWidth="1"/>
    <col min="15363" max="15363" width="8.125" style="283" customWidth="1"/>
    <col min="15364" max="15364" width="8.625" style="283" bestFit="1" customWidth="1"/>
    <col min="15365" max="15365" width="9.75" style="283" bestFit="1" customWidth="1"/>
    <col min="15366" max="15366" width="11.375" style="283" bestFit="1" customWidth="1"/>
    <col min="15367" max="15367" width="10.625" style="283" bestFit="1" customWidth="1"/>
    <col min="15368" max="15368" width="8.625" style="283" bestFit="1" customWidth="1"/>
    <col min="15369" max="15369" width="7.875" style="283" bestFit="1" customWidth="1"/>
    <col min="15370" max="15370" width="8.625" style="283" bestFit="1" customWidth="1"/>
    <col min="15371" max="15615" width="9" style="283"/>
    <col min="15616" max="15616" width="8.5" style="283" customWidth="1"/>
    <col min="15617" max="15617" width="9.75" style="283" bestFit="1" customWidth="1"/>
    <col min="15618" max="15618" width="11.125" style="283" customWidth="1"/>
    <col min="15619" max="15619" width="8.125" style="283" customWidth="1"/>
    <col min="15620" max="15620" width="8.625" style="283" bestFit="1" customWidth="1"/>
    <col min="15621" max="15621" width="9.75" style="283" bestFit="1" customWidth="1"/>
    <col min="15622" max="15622" width="11.375" style="283" bestFit="1" customWidth="1"/>
    <col min="15623" max="15623" width="10.625" style="283" bestFit="1" customWidth="1"/>
    <col min="15624" max="15624" width="8.625" style="283" bestFit="1" customWidth="1"/>
    <col min="15625" max="15625" width="7.875" style="283" bestFit="1" customWidth="1"/>
    <col min="15626" max="15626" width="8.625" style="283" bestFit="1" customWidth="1"/>
    <col min="15627" max="15871" width="9" style="283"/>
    <col min="15872" max="15872" width="8.5" style="283" customWidth="1"/>
    <col min="15873" max="15873" width="9.75" style="283" bestFit="1" customWidth="1"/>
    <col min="15874" max="15874" width="11.125" style="283" customWidth="1"/>
    <col min="15875" max="15875" width="8.125" style="283" customWidth="1"/>
    <col min="15876" max="15876" width="8.625" style="283" bestFit="1" customWidth="1"/>
    <col min="15877" max="15877" width="9.75" style="283" bestFit="1" customWidth="1"/>
    <col min="15878" max="15878" width="11.375" style="283" bestFit="1" customWidth="1"/>
    <col min="15879" max="15879" width="10.625" style="283" bestFit="1" customWidth="1"/>
    <col min="15880" max="15880" width="8.625" style="283" bestFit="1" customWidth="1"/>
    <col min="15881" max="15881" width="7.875" style="283" bestFit="1" customWidth="1"/>
    <col min="15882" max="15882" width="8.625" style="283" bestFit="1" customWidth="1"/>
    <col min="15883" max="16127" width="9" style="283"/>
    <col min="16128" max="16128" width="8.5" style="283" customWidth="1"/>
    <col min="16129" max="16129" width="9.75" style="283" bestFit="1" customWidth="1"/>
    <col min="16130" max="16130" width="11.125" style="283" customWidth="1"/>
    <col min="16131" max="16131" width="8.125" style="283" customWidth="1"/>
    <col min="16132" max="16132" width="8.625" style="283" bestFit="1" customWidth="1"/>
    <col min="16133" max="16133" width="9.75" style="283" bestFit="1" customWidth="1"/>
    <col min="16134" max="16134" width="11.375" style="283" bestFit="1" customWidth="1"/>
    <col min="16135" max="16135" width="10.625" style="283" bestFit="1" customWidth="1"/>
    <col min="16136" max="16136" width="8.625" style="283" bestFit="1" customWidth="1"/>
    <col min="16137" max="16137" width="7.875" style="283" bestFit="1" customWidth="1"/>
    <col min="16138" max="16138" width="8.625" style="283" bestFit="1" customWidth="1"/>
    <col min="16139" max="16384" width="9" style="283"/>
  </cols>
  <sheetData>
    <row r="8" spans="4:8" ht="6.75" customHeight="1" x14ac:dyDescent="0.5">
      <c r="F8" s="283" t="s">
        <v>414</v>
      </c>
      <c r="G8" s="284"/>
    </row>
    <row r="9" spans="4:8" x14ac:dyDescent="0.2">
      <c r="F9" s="283" t="s">
        <v>457</v>
      </c>
      <c r="G9" s="283" t="s">
        <v>456</v>
      </c>
    </row>
    <row r="10" spans="4:8" ht="23.25" x14ac:dyDescent="0.5">
      <c r="E10" s="285" t="s">
        <v>415</v>
      </c>
      <c r="F10" s="286">
        <f>+D60</f>
        <v>489981.27719999984</v>
      </c>
      <c r="G10" s="287">
        <f>+H60</f>
        <v>558941.06200000003</v>
      </c>
      <c r="H10" s="287"/>
    </row>
    <row r="11" spans="4:8" ht="23.25" x14ac:dyDescent="0.5">
      <c r="D11" s="285"/>
      <c r="E11" s="285" t="s">
        <v>416</v>
      </c>
      <c r="F11" s="286">
        <f t="shared" ref="F11:F21" si="0">+D61</f>
        <v>538468.56060000008</v>
      </c>
      <c r="G11" s="287">
        <f t="shared" ref="G11:G21" si="1">+H61</f>
        <v>561976.65220000024</v>
      </c>
      <c r="H11" s="287"/>
    </row>
    <row r="12" spans="4:8" ht="23.25" x14ac:dyDescent="0.5">
      <c r="E12" s="285" t="s">
        <v>417</v>
      </c>
      <c r="F12" s="286">
        <f t="shared" si="0"/>
        <v>656094.53312000004</v>
      </c>
      <c r="G12" s="287">
        <f t="shared" si="1"/>
        <v>653338.81279999996</v>
      </c>
      <c r="H12" s="287"/>
    </row>
    <row r="13" spans="4:8" ht="23.25" x14ac:dyDescent="0.5">
      <c r="E13" s="288" t="s">
        <v>418</v>
      </c>
      <c r="F13" s="286">
        <f t="shared" si="0"/>
        <v>571816.37831249973</v>
      </c>
      <c r="G13" s="287">
        <f t="shared" si="1"/>
        <v>720476.7699999999</v>
      </c>
    </row>
    <row r="14" spans="4:8" ht="23.25" x14ac:dyDescent="0.5">
      <c r="E14" s="288" t="s">
        <v>419</v>
      </c>
      <c r="F14" s="286">
        <f t="shared" si="0"/>
        <v>609063.31799999997</v>
      </c>
      <c r="G14" s="287">
        <f t="shared" si="1"/>
        <v>645959.59849999973</v>
      </c>
    </row>
    <row r="15" spans="4:8" ht="23.25" x14ac:dyDescent="0.5">
      <c r="E15" s="288" t="s">
        <v>420</v>
      </c>
      <c r="F15" s="286">
        <f t="shared" si="0"/>
        <v>518142.91943500005</v>
      </c>
      <c r="G15" s="287">
        <f>+H65</f>
        <v>0</v>
      </c>
    </row>
    <row r="16" spans="4:8" ht="23.25" x14ac:dyDescent="0.5">
      <c r="E16" s="288" t="s">
        <v>421</v>
      </c>
      <c r="F16" s="286">
        <f t="shared" si="0"/>
        <v>598462.11777499982</v>
      </c>
      <c r="G16" s="287">
        <f t="shared" si="1"/>
        <v>0</v>
      </c>
    </row>
    <row r="17" spans="1:12" ht="23.25" x14ac:dyDescent="0.5">
      <c r="E17" s="288" t="s">
        <v>422</v>
      </c>
      <c r="F17" s="286">
        <f t="shared" si="0"/>
        <v>537848.66772000026</v>
      </c>
      <c r="G17" s="287">
        <f t="shared" si="1"/>
        <v>0</v>
      </c>
    </row>
    <row r="18" spans="1:12" ht="23.25" x14ac:dyDescent="0.5">
      <c r="E18" s="288" t="s">
        <v>423</v>
      </c>
      <c r="F18" s="286">
        <f t="shared" si="0"/>
        <v>569528.0955500002</v>
      </c>
      <c r="G18" s="287">
        <f t="shared" si="1"/>
        <v>0</v>
      </c>
    </row>
    <row r="19" spans="1:12" ht="23.25" x14ac:dyDescent="0.5">
      <c r="E19" s="283" t="s">
        <v>424</v>
      </c>
      <c r="F19" s="286">
        <f t="shared" si="0"/>
        <v>516554.95600000001</v>
      </c>
      <c r="G19" s="287">
        <f t="shared" si="1"/>
        <v>0</v>
      </c>
    </row>
    <row r="20" spans="1:12" ht="23.25" x14ac:dyDescent="0.5">
      <c r="E20" s="283" t="s">
        <v>425</v>
      </c>
      <c r="F20" s="286">
        <f t="shared" si="0"/>
        <v>508400.05599999998</v>
      </c>
      <c r="G20" s="287">
        <f t="shared" si="1"/>
        <v>0</v>
      </c>
    </row>
    <row r="21" spans="1:12" ht="23.25" x14ac:dyDescent="0.5">
      <c r="E21" s="283" t="s">
        <v>426</v>
      </c>
      <c r="F21" s="286">
        <f t="shared" si="0"/>
        <v>595252.2699999999</v>
      </c>
      <c r="G21" s="287">
        <f t="shared" si="1"/>
        <v>0</v>
      </c>
    </row>
    <row r="22" spans="1:12" ht="27.75" customHeight="1" x14ac:dyDescent="0.5">
      <c r="L22" s="289"/>
    </row>
    <row r="23" spans="1:12" ht="27.75" customHeight="1" x14ac:dyDescent="0.5">
      <c r="A23" s="356" t="s">
        <v>454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</row>
    <row r="24" spans="1:12" ht="27.75" customHeight="1" x14ac:dyDescent="0.5">
      <c r="A24" s="284"/>
      <c r="B24" s="284"/>
      <c r="C24" s="284"/>
      <c r="D24" s="284"/>
      <c r="E24" s="284"/>
      <c r="F24" s="284"/>
      <c r="G24" s="284"/>
      <c r="H24" s="284"/>
    </row>
    <row r="25" spans="1:12" ht="27.75" customHeight="1" x14ac:dyDescent="0.5">
      <c r="A25" s="284"/>
      <c r="B25" s="284"/>
      <c r="C25" s="284"/>
      <c r="D25" s="284"/>
      <c r="E25" s="284"/>
      <c r="F25" s="284"/>
      <c r="G25" s="284"/>
      <c r="H25" s="284"/>
    </row>
    <row r="31" spans="1:12" ht="38.25" customHeight="1" x14ac:dyDescent="0.2"/>
    <row r="37" spans="5:8" ht="21.75" customHeight="1" x14ac:dyDescent="0.2"/>
    <row r="38" spans="5:8" ht="21.75" customHeight="1" x14ac:dyDescent="0.2">
      <c r="F38" s="283" t="s">
        <v>457</v>
      </c>
      <c r="G38" s="283" t="s">
        <v>456</v>
      </c>
    </row>
    <row r="39" spans="5:8" ht="21.75" customHeight="1" x14ac:dyDescent="0.5">
      <c r="E39" s="285" t="s">
        <v>415</v>
      </c>
      <c r="F39" s="290">
        <f>+E60</f>
        <v>34735764.533500016</v>
      </c>
      <c r="G39" s="291">
        <f t="shared" ref="G39:G50" si="2">+I60</f>
        <v>32494837.4617</v>
      </c>
      <c r="H39" s="292"/>
    </row>
    <row r="40" spans="5:8" ht="21.75" customHeight="1" x14ac:dyDescent="0.5">
      <c r="E40" s="285" t="s">
        <v>416</v>
      </c>
      <c r="F40" s="290">
        <f t="shared" ref="F40:F50" si="3">+E61</f>
        <v>36840991.972499974</v>
      </c>
      <c r="G40" s="291">
        <f t="shared" si="2"/>
        <v>32378292.818000015</v>
      </c>
      <c r="H40" s="292"/>
    </row>
    <row r="41" spans="5:8" ht="21.75" customHeight="1" x14ac:dyDescent="0.5">
      <c r="E41" s="285" t="s">
        <v>417</v>
      </c>
      <c r="F41" s="290">
        <f t="shared" si="3"/>
        <v>45332204.901499987</v>
      </c>
      <c r="G41" s="291">
        <f t="shared" si="2"/>
        <v>38381392.795599997</v>
      </c>
      <c r="H41" s="292"/>
    </row>
    <row r="42" spans="5:8" ht="21.75" customHeight="1" x14ac:dyDescent="0.5">
      <c r="E42" s="293" t="s">
        <v>418</v>
      </c>
      <c r="F42" s="290">
        <f t="shared" si="3"/>
        <v>38101957.658700012</v>
      </c>
      <c r="G42" s="291">
        <f t="shared" si="2"/>
        <v>53379280.633600019</v>
      </c>
    </row>
    <row r="43" spans="5:8" ht="21.75" customHeight="1" x14ac:dyDescent="0.5">
      <c r="E43" s="293" t="s">
        <v>419</v>
      </c>
      <c r="F43" s="290">
        <f t="shared" si="3"/>
        <v>40498295.919800013</v>
      </c>
      <c r="G43" s="291">
        <f t="shared" si="2"/>
        <v>59376879.599499986</v>
      </c>
    </row>
    <row r="44" spans="5:8" ht="21.75" customHeight="1" x14ac:dyDescent="0.5">
      <c r="E44" s="285" t="s">
        <v>420</v>
      </c>
      <c r="F44" s="290">
        <f t="shared" si="3"/>
        <v>35323733.510899998</v>
      </c>
      <c r="G44" s="291">
        <f t="shared" si="2"/>
        <v>0</v>
      </c>
    </row>
    <row r="45" spans="5:8" ht="21.75" customHeight="1" x14ac:dyDescent="0.5">
      <c r="E45" s="285" t="s">
        <v>421</v>
      </c>
      <c r="F45" s="290">
        <f t="shared" si="3"/>
        <v>36452703.973900013</v>
      </c>
      <c r="G45" s="291">
        <f t="shared" si="2"/>
        <v>0</v>
      </c>
    </row>
    <row r="46" spans="5:8" ht="21.75" customHeight="1" x14ac:dyDescent="0.5">
      <c r="E46" s="285" t="s">
        <v>422</v>
      </c>
      <c r="F46" s="290">
        <f t="shared" si="3"/>
        <v>31884197.572499998</v>
      </c>
      <c r="G46" s="291">
        <f t="shared" si="2"/>
        <v>0</v>
      </c>
    </row>
    <row r="47" spans="5:8" ht="21.75" customHeight="1" x14ac:dyDescent="0.5">
      <c r="E47" s="285" t="s">
        <v>423</v>
      </c>
      <c r="F47" s="290">
        <f t="shared" si="3"/>
        <v>33750597.745099992</v>
      </c>
      <c r="G47" s="291">
        <f t="shared" si="2"/>
        <v>0</v>
      </c>
    </row>
    <row r="48" spans="5:8" ht="21.75" customHeight="1" x14ac:dyDescent="0.5">
      <c r="E48" s="285" t="s">
        <v>424</v>
      </c>
      <c r="F48" s="290">
        <f t="shared" si="3"/>
        <v>29949967.256100003</v>
      </c>
      <c r="G48" s="291">
        <f t="shared" si="2"/>
        <v>0</v>
      </c>
    </row>
    <row r="49" spans="1:15" ht="21.75" customHeight="1" x14ac:dyDescent="0.5">
      <c r="E49" s="285" t="s">
        <v>425</v>
      </c>
      <c r="F49" s="290">
        <f t="shared" si="3"/>
        <v>30435492.458500013</v>
      </c>
      <c r="G49" s="291">
        <f t="shared" si="2"/>
        <v>0</v>
      </c>
    </row>
    <row r="50" spans="1:15" ht="21.75" customHeight="1" x14ac:dyDescent="0.5">
      <c r="E50" s="285" t="s">
        <v>426</v>
      </c>
      <c r="F50" s="290">
        <f t="shared" si="3"/>
        <v>35744232.285999998</v>
      </c>
      <c r="G50" s="291">
        <f t="shared" si="2"/>
        <v>0</v>
      </c>
    </row>
    <row r="51" spans="1:15" ht="32.25" customHeight="1" x14ac:dyDescent="0.5">
      <c r="A51" s="356" t="s">
        <v>455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289"/>
    </row>
    <row r="52" spans="1:15" ht="23.25" x14ac:dyDescent="0.5">
      <c r="A52" s="294"/>
      <c r="B52" s="294"/>
      <c r="C52" s="294"/>
      <c r="D52" s="294"/>
      <c r="E52" s="294"/>
      <c r="F52" s="294"/>
      <c r="G52" s="294"/>
      <c r="H52" s="294"/>
      <c r="J52" s="295"/>
      <c r="L52" s="295"/>
    </row>
    <row r="53" spans="1:15" ht="23.25" x14ac:dyDescent="0.5">
      <c r="A53" s="294"/>
      <c r="B53" s="294"/>
      <c r="C53" s="294"/>
      <c r="D53" s="294"/>
      <c r="E53" s="294"/>
      <c r="F53" s="294"/>
      <c r="G53" s="294"/>
      <c r="H53" s="294"/>
      <c r="J53" s="295"/>
      <c r="L53" s="295"/>
    </row>
    <row r="54" spans="1:15" ht="23.25" x14ac:dyDescent="0.5">
      <c r="A54" s="294"/>
      <c r="B54" s="294"/>
      <c r="C54" s="294"/>
      <c r="D54" s="294"/>
      <c r="E54" s="294"/>
      <c r="F54" s="294"/>
      <c r="G54" s="294"/>
      <c r="H54" s="294"/>
      <c r="J54" s="295"/>
      <c r="L54" s="295"/>
    </row>
    <row r="55" spans="1:15" ht="23.25" x14ac:dyDescent="0.5">
      <c r="A55" s="294"/>
      <c r="B55" s="294"/>
      <c r="C55" s="294"/>
      <c r="D55" s="294"/>
      <c r="E55" s="294"/>
      <c r="F55" s="294"/>
      <c r="G55" s="294"/>
      <c r="H55" s="294"/>
      <c r="J55" s="295"/>
      <c r="L55" s="295"/>
    </row>
    <row r="56" spans="1:15" ht="23.25" x14ac:dyDescent="0.5">
      <c r="A56" s="294"/>
      <c r="B56" s="294"/>
      <c r="C56" s="294"/>
      <c r="D56" s="294"/>
      <c r="E56" s="294"/>
      <c r="F56" s="294"/>
      <c r="G56" s="294"/>
      <c r="H56" s="294"/>
      <c r="J56" s="295"/>
      <c r="L56" s="295"/>
    </row>
    <row r="57" spans="1:15" ht="23.25" x14ac:dyDescent="0.5">
      <c r="A57" s="294"/>
      <c r="B57" s="294"/>
      <c r="C57" s="294"/>
      <c r="D57" s="294"/>
      <c r="E57" s="294"/>
      <c r="F57" s="294"/>
      <c r="G57" s="294"/>
      <c r="H57" s="294"/>
      <c r="J57" s="295"/>
      <c r="L57" s="295"/>
    </row>
    <row r="58" spans="1:15" ht="68.25" customHeight="1" x14ac:dyDescent="0.5">
      <c r="A58" s="294"/>
      <c r="B58" s="294"/>
      <c r="C58" s="294"/>
      <c r="D58" s="294"/>
      <c r="E58" s="294"/>
      <c r="F58" s="294"/>
      <c r="G58" s="294"/>
      <c r="H58" s="294"/>
      <c r="J58" s="295"/>
      <c r="L58" s="295"/>
    </row>
    <row r="59" spans="1:15" s="296" customFormat="1" ht="23.25" x14ac:dyDescent="0.5">
      <c r="C59" s="294" t="s">
        <v>403</v>
      </c>
      <c r="D59" s="294" t="s">
        <v>427</v>
      </c>
      <c r="E59" s="294" t="s">
        <v>428</v>
      </c>
      <c r="F59" s="294"/>
      <c r="G59" s="294" t="s">
        <v>403</v>
      </c>
      <c r="H59" s="294" t="s">
        <v>427</v>
      </c>
      <c r="I59" s="294" t="s">
        <v>428</v>
      </c>
      <c r="J59" s="294"/>
      <c r="L59" s="297"/>
    </row>
    <row r="60" spans="1:15" s="296" customFormat="1" ht="23.25" x14ac:dyDescent="0.5">
      <c r="C60" s="298" t="s">
        <v>429</v>
      </c>
      <c r="D60" s="299">
        <v>489981.27719999984</v>
      </c>
      <c r="E60" s="299">
        <v>34735764.533500016</v>
      </c>
      <c r="F60" s="292"/>
      <c r="G60" s="298" t="s">
        <v>442</v>
      </c>
      <c r="H60" s="299">
        <v>558941.06200000003</v>
      </c>
      <c r="I60" s="299">
        <v>32494837.4617</v>
      </c>
      <c r="J60" s="292"/>
      <c r="M60" s="287"/>
      <c r="N60" s="292"/>
      <c r="O60" s="297"/>
    </row>
    <row r="61" spans="1:15" s="296" customFormat="1" ht="23.25" x14ac:dyDescent="0.5">
      <c r="C61" s="298" t="s">
        <v>430</v>
      </c>
      <c r="D61" s="299">
        <v>538468.56060000008</v>
      </c>
      <c r="E61" s="299">
        <v>36840991.972499974</v>
      </c>
      <c r="F61" s="292"/>
      <c r="G61" s="298" t="s">
        <v>443</v>
      </c>
      <c r="H61" s="299">
        <v>561976.65220000024</v>
      </c>
      <c r="I61" s="299">
        <v>32378292.818000015</v>
      </c>
      <c r="J61" s="292"/>
      <c r="M61" s="287"/>
      <c r="N61" s="292"/>
      <c r="O61" s="297"/>
    </row>
    <row r="62" spans="1:15" s="296" customFormat="1" ht="23.25" x14ac:dyDescent="0.5">
      <c r="C62" s="298" t="s">
        <v>431</v>
      </c>
      <c r="D62" s="299">
        <v>656094.53312000004</v>
      </c>
      <c r="E62" s="299">
        <v>45332204.901499987</v>
      </c>
      <c r="F62" s="292"/>
      <c r="G62" s="298" t="s">
        <v>444</v>
      </c>
      <c r="H62" s="299">
        <v>653338.81279999996</v>
      </c>
      <c r="I62" s="299">
        <v>38381392.795599997</v>
      </c>
      <c r="J62" s="292"/>
      <c r="M62" s="287"/>
      <c r="N62" s="292"/>
      <c r="O62" s="297"/>
    </row>
    <row r="63" spans="1:15" s="296" customFormat="1" ht="23.25" x14ac:dyDescent="0.5">
      <c r="C63" s="298" t="s">
        <v>432</v>
      </c>
      <c r="D63" s="299">
        <v>571816.37831249973</v>
      </c>
      <c r="E63" s="299">
        <v>38101957.658700012</v>
      </c>
      <c r="F63" s="292"/>
      <c r="G63" s="298" t="s">
        <v>445</v>
      </c>
      <c r="H63" s="299">
        <v>720476.7699999999</v>
      </c>
      <c r="I63" s="299">
        <v>53379280.633600019</v>
      </c>
      <c r="J63" s="292"/>
      <c r="M63" s="287"/>
      <c r="N63" s="292"/>
      <c r="O63" s="297"/>
    </row>
    <row r="64" spans="1:15" s="296" customFormat="1" ht="23.25" x14ac:dyDescent="0.5">
      <c r="C64" s="298" t="s">
        <v>433</v>
      </c>
      <c r="D64" s="299">
        <v>609063.31799999997</v>
      </c>
      <c r="E64" s="299">
        <v>40498295.919800013</v>
      </c>
      <c r="F64" s="292"/>
      <c r="G64" s="298" t="s">
        <v>447</v>
      </c>
      <c r="H64" s="299">
        <v>645959.59849999973</v>
      </c>
      <c r="I64" s="299">
        <v>59376879.599499986</v>
      </c>
      <c r="J64" s="292"/>
      <c r="M64" s="287"/>
      <c r="N64" s="292"/>
      <c r="O64" s="297"/>
    </row>
    <row r="65" spans="3:15" s="296" customFormat="1" ht="23.25" x14ac:dyDescent="0.5">
      <c r="C65" s="298" t="s">
        <v>434</v>
      </c>
      <c r="D65" s="299">
        <v>518142.91943500005</v>
      </c>
      <c r="E65" s="299">
        <v>35323733.510899998</v>
      </c>
      <c r="F65" s="292"/>
      <c r="G65" s="298" t="s">
        <v>446</v>
      </c>
      <c r="H65" s="299"/>
      <c r="I65" s="299"/>
      <c r="J65" s="292"/>
      <c r="M65" s="287"/>
      <c r="N65" s="292"/>
      <c r="O65" s="297"/>
    </row>
    <row r="66" spans="3:15" s="296" customFormat="1" ht="23.25" x14ac:dyDescent="0.5">
      <c r="C66" s="298" t="s">
        <v>435</v>
      </c>
      <c r="D66" s="299">
        <v>598462.11777499982</v>
      </c>
      <c r="E66" s="299">
        <v>36452703.973900013</v>
      </c>
      <c r="F66" s="292"/>
      <c r="G66" s="298" t="s">
        <v>448</v>
      </c>
      <c r="H66" s="299"/>
      <c r="I66" s="299"/>
      <c r="J66" s="292"/>
      <c r="M66" s="287"/>
      <c r="N66" s="292"/>
      <c r="O66" s="297"/>
    </row>
    <row r="67" spans="3:15" s="296" customFormat="1" ht="23.25" x14ac:dyDescent="0.5">
      <c r="C67" s="298" t="s">
        <v>436</v>
      </c>
      <c r="D67" s="299">
        <v>537848.66772000026</v>
      </c>
      <c r="E67" s="299">
        <v>31884197.572499998</v>
      </c>
      <c r="F67" s="292"/>
      <c r="G67" s="298" t="s">
        <v>449</v>
      </c>
      <c r="H67" s="299"/>
      <c r="I67" s="299"/>
      <c r="J67" s="292"/>
      <c r="M67" s="287"/>
      <c r="N67" s="292"/>
      <c r="O67" s="297"/>
    </row>
    <row r="68" spans="3:15" s="296" customFormat="1" ht="23.25" x14ac:dyDescent="0.5">
      <c r="C68" s="298" t="s">
        <v>437</v>
      </c>
      <c r="D68" s="299">
        <v>569528.0955500002</v>
      </c>
      <c r="E68" s="299">
        <v>33750597.745099992</v>
      </c>
      <c r="F68" s="292"/>
      <c r="G68" s="298" t="s">
        <v>450</v>
      </c>
      <c r="H68" s="299"/>
      <c r="I68" s="299"/>
      <c r="J68" s="292"/>
      <c r="M68" s="287"/>
      <c r="N68" s="292"/>
      <c r="O68" s="297"/>
    </row>
    <row r="69" spans="3:15" s="296" customFormat="1" ht="23.25" x14ac:dyDescent="0.5">
      <c r="C69" s="298" t="s">
        <v>438</v>
      </c>
      <c r="D69" s="299">
        <v>516554.95600000001</v>
      </c>
      <c r="E69" s="299">
        <v>29949967.256100003</v>
      </c>
      <c r="F69" s="292"/>
      <c r="G69" s="298" t="s">
        <v>451</v>
      </c>
      <c r="H69" s="299"/>
      <c r="I69" s="299"/>
      <c r="J69" s="292"/>
      <c r="M69" s="287"/>
      <c r="N69" s="292"/>
      <c r="O69" s="297"/>
    </row>
    <row r="70" spans="3:15" s="296" customFormat="1" ht="23.25" x14ac:dyDescent="0.5">
      <c r="C70" s="298" t="s">
        <v>439</v>
      </c>
      <c r="D70" s="299">
        <v>508400.05599999998</v>
      </c>
      <c r="E70" s="299">
        <v>30435492.458500013</v>
      </c>
      <c r="F70" s="292"/>
      <c r="G70" s="298" t="s">
        <v>452</v>
      </c>
      <c r="H70" s="299"/>
      <c r="I70" s="299"/>
      <c r="J70" s="292"/>
      <c r="M70" s="287"/>
      <c r="N70" s="292"/>
      <c r="O70" s="297"/>
    </row>
    <row r="71" spans="3:15" s="296" customFormat="1" ht="23.25" x14ac:dyDescent="0.5">
      <c r="C71" s="298" t="s">
        <v>440</v>
      </c>
      <c r="D71" s="299">
        <v>595252.2699999999</v>
      </c>
      <c r="E71" s="299">
        <v>35744232.285999998</v>
      </c>
      <c r="F71" s="292"/>
      <c r="G71" s="298" t="s">
        <v>453</v>
      </c>
      <c r="H71" s="299"/>
      <c r="I71" s="299"/>
      <c r="J71" s="292"/>
      <c r="M71" s="287"/>
      <c r="N71" s="292"/>
      <c r="O71" s="297"/>
    </row>
    <row r="72" spans="3:15" s="296" customFormat="1" ht="24" thickBot="1" x14ac:dyDescent="0.55000000000000004">
      <c r="D72" s="300">
        <f>SUM(D60:D71)</f>
        <v>6709613.1497124992</v>
      </c>
      <c r="E72" s="300">
        <f>SUM(E60:E71)</f>
        <v>429050139.78900009</v>
      </c>
      <c r="F72" s="301"/>
      <c r="G72" s="298"/>
      <c r="H72" s="302">
        <f>SUM(H60:H71)</f>
        <v>3140692.8955000001</v>
      </c>
      <c r="I72" s="302">
        <f>SUM(I60:I71)</f>
        <v>216010683.30840003</v>
      </c>
      <c r="J72" s="301"/>
    </row>
    <row r="73" spans="3:15" s="296" customFormat="1" ht="24" thickTop="1" x14ac:dyDescent="0.5">
      <c r="H73" s="287"/>
      <c r="I73" s="292"/>
      <c r="J73" s="303"/>
    </row>
    <row r="74" spans="3:15" s="296" customFormat="1" ht="26.25" x14ac:dyDescent="0.55000000000000004">
      <c r="C74" s="304" t="s">
        <v>441</v>
      </c>
    </row>
    <row r="75" spans="3:15" s="296" customFormat="1" ht="23.25" x14ac:dyDescent="0.5">
      <c r="C75" s="305"/>
      <c r="D75" s="306"/>
    </row>
    <row r="76" spans="3:15" s="296" customFormat="1" ht="23.25" x14ac:dyDescent="0.5"/>
    <row r="77" spans="3:15" s="296" customFormat="1" ht="23.25" x14ac:dyDescent="0.5"/>
    <row r="78" spans="3:15" s="296" customFormat="1" ht="23.25" x14ac:dyDescent="0.5"/>
    <row r="79" spans="3:15" s="296" customFormat="1" ht="23.25" x14ac:dyDescent="0.5"/>
    <row r="80" spans="3:15" s="296" customFormat="1" ht="23.25" x14ac:dyDescent="0.5"/>
    <row r="81" spans="6:6" s="296" customFormat="1" ht="23.25" x14ac:dyDescent="0.5"/>
    <row r="82" spans="6:6" s="296" customFormat="1" ht="23.25" x14ac:dyDescent="0.5"/>
    <row r="83" spans="6:6" s="296" customFormat="1" ht="23.25" x14ac:dyDescent="0.5"/>
    <row r="84" spans="6:6" x14ac:dyDescent="0.2">
      <c r="F84" s="295"/>
    </row>
  </sheetData>
  <mergeCells count="2">
    <mergeCell ref="A23:K23"/>
    <mergeCell ref="A51:K51"/>
  </mergeCells>
  <pageMargins left="0.39370078740157483" right="0.39370078740157483" top="0.44" bottom="0.19685039370078741" header="0.28000000000000003" footer="0.31496062992125984"/>
  <pageSetup paperSize="9" scale="95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B471-1CBE-438D-BE8B-509CF418CBE2}">
  <sheetPr>
    <pageSetUpPr fitToPage="1"/>
  </sheetPr>
  <dimension ref="A1:K713"/>
  <sheetViews>
    <sheetView topLeftCell="A155" zoomScale="110" zoomScaleNormal="110" workbookViewId="0">
      <selection activeCell="H175" sqref="H175"/>
    </sheetView>
  </sheetViews>
  <sheetFormatPr defaultRowHeight="16.5" x14ac:dyDescent="0.3"/>
  <cols>
    <col min="1" max="1" width="5.875" customWidth="1"/>
    <col min="2" max="2" width="45" bestFit="1" customWidth="1"/>
    <col min="3" max="3" width="10.625" bestFit="1" customWidth="1"/>
    <col min="4" max="4" width="8.125" customWidth="1"/>
    <col min="5" max="5" width="12.125" bestFit="1" customWidth="1"/>
    <col min="6" max="6" width="10.25" customWidth="1"/>
    <col min="7" max="7" width="9.625" customWidth="1"/>
  </cols>
  <sheetData>
    <row r="1" spans="1:11" ht="23.25" x14ac:dyDescent="0.5">
      <c r="A1" s="363" t="s">
        <v>0</v>
      </c>
      <c r="B1" s="364"/>
      <c r="C1" s="364"/>
      <c r="D1" s="364"/>
      <c r="E1" s="364"/>
      <c r="F1" s="364"/>
      <c r="G1" s="364"/>
    </row>
    <row r="2" spans="1:11" ht="23.25" x14ac:dyDescent="0.3">
      <c r="A2" s="359" t="s">
        <v>1</v>
      </c>
      <c r="B2" s="365"/>
      <c r="C2" s="365"/>
      <c r="D2" s="365"/>
      <c r="E2" s="365"/>
      <c r="F2" s="365"/>
      <c r="G2" s="365"/>
    </row>
    <row r="3" spans="1:11" ht="18" customHeight="1" x14ac:dyDescent="0.3">
      <c r="A3" s="1" t="s">
        <v>2</v>
      </c>
      <c r="B3" s="2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2" t="s">
        <v>8</v>
      </c>
    </row>
    <row r="4" spans="1:11" ht="18" customHeight="1" x14ac:dyDescent="0.4">
      <c r="A4" s="4" t="s">
        <v>187</v>
      </c>
      <c r="B4" s="5" t="s">
        <v>191</v>
      </c>
      <c r="C4" s="6">
        <v>489.1</v>
      </c>
      <c r="D4" s="7">
        <v>52</v>
      </c>
      <c r="E4" s="37">
        <f>+C4*D4</f>
        <v>25433.200000000001</v>
      </c>
      <c r="F4" s="8">
        <f>+E4*7%</f>
        <v>1780.3240000000003</v>
      </c>
      <c r="G4" s="8">
        <f>+E4+F4</f>
        <v>27213.524000000001</v>
      </c>
      <c r="I4">
        <v>6901026</v>
      </c>
      <c r="J4">
        <v>6901352</v>
      </c>
      <c r="K4" t="s">
        <v>292</v>
      </c>
    </row>
    <row r="5" spans="1:11" ht="18" customHeight="1" x14ac:dyDescent="0.4">
      <c r="A5" s="4" t="s">
        <v>284</v>
      </c>
      <c r="B5" s="5" t="s">
        <v>191</v>
      </c>
      <c r="C5" s="6">
        <v>469.3</v>
      </c>
      <c r="D5" s="7">
        <v>52</v>
      </c>
      <c r="E5" s="37">
        <f>+C5*D5</f>
        <v>24403.600000000002</v>
      </c>
      <c r="F5" s="8">
        <f>+E5*7%</f>
        <v>1708.2520000000004</v>
      </c>
      <c r="G5" s="8">
        <f>+E5+F5</f>
        <v>26111.852000000003</v>
      </c>
      <c r="I5">
        <v>6901353</v>
      </c>
    </row>
    <row r="6" spans="1:11" ht="18" customHeight="1" x14ac:dyDescent="0.4">
      <c r="A6" s="4" t="s">
        <v>192</v>
      </c>
      <c r="B6" s="5" t="s">
        <v>9</v>
      </c>
      <c r="C6" s="6">
        <v>486.85</v>
      </c>
      <c r="D6" s="7">
        <v>52</v>
      </c>
      <c r="E6" s="37">
        <f t="shared" ref="E6:E50" si="0">+C6*D6</f>
        <v>25316.2</v>
      </c>
      <c r="F6" s="8">
        <f t="shared" ref="F6:F50" si="1">+E6*7%</f>
        <v>1772.1340000000002</v>
      </c>
      <c r="G6" s="8">
        <f t="shared" ref="G6:G50" si="2">+E6+F6</f>
        <v>27088.334000000003</v>
      </c>
      <c r="I6">
        <v>6901003</v>
      </c>
    </row>
    <row r="7" spans="1:11" ht="18" customHeight="1" x14ac:dyDescent="0.4">
      <c r="A7" s="4" t="s">
        <v>213</v>
      </c>
      <c r="B7" s="5" t="s">
        <v>9</v>
      </c>
      <c r="C7" s="6">
        <v>966.9</v>
      </c>
      <c r="D7" s="7">
        <v>52</v>
      </c>
      <c r="E7" s="37">
        <f t="shared" ref="E7" si="3">+C7*D7</f>
        <v>50278.799999999996</v>
      </c>
      <c r="F7" s="8">
        <f t="shared" ref="F7" si="4">+E7*7%</f>
        <v>3519.5160000000001</v>
      </c>
      <c r="G7" s="8">
        <f t="shared" ref="G7" si="5">+E7+F7</f>
        <v>53798.315999999999</v>
      </c>
      <c r="I7">
        <v>6901103</v>
      </c>
    </row>
    <row r="8" spans="1:11" ht="18" customHeight="1" x14ac:dyDescent="0.4">
      <c r="A8" s="4" t="s">
        <v>187</v>
      </c>
      <c r="B8" s="5" t="s">
        <v>10</v>
      </c>
      <c r="C8" s="6">
        <v>4785.41</v>
      </c>
      <c r="D8" s="7">
        <v>52</v>
      </c>
      <c r="E8" s="37">
        <f t="shared" si="0"/>
        <v>248841.32</v>
      </c>
      <c r="F8" s="8">
        <f t="shared" si="1"/>
        <v>17418.892400000001</v>
      </c>
      <c r="G8" s="8">
        <f t="shared" si="2"/>
        <v>266260.21240000002</v>
      </c>
      <c r="I8">
        <v>6901029</v>
      </c>
    </row>
    <row r="9" spans="1:11" ht="18" customHeight="1" x14ac:dyDescent="0.4">
      <c r="A9" s="4" t="s">
        <v>192</v>
      </c>
      <c r="B9" s="5" t="s">
        <v>10</v>
      </c>
      <c r="C9" s="9">
        <v>4789.34</v>
      </c>
      <c r="D9" s="10">
        <v>52</v>
      </c>
      <c r="E9" s="37">
        <f t="shared" si="0"/>
        <v>249045.68</v>
      </c>
      <c r="F9" s="8">
        <f t="shared" si="1"/>
        <v>17433.1976</v>
      </c>
      <c r="G9" s="8">
        <f t="shared" si="2"/>
        <v>266478.87760000001</v>
      </c>
      <c r="I9">
        <v>6901002</v>
      </c>
    </row>
    <row r="10" spans="1:11" ht="18" customHeight="1" x14ac:dyDescent="0.4">
      <c r="A10" s="4" t="s">
        <v>202</v>
      </c>
      <c r="B10" s="5" t="s">
        <v>10</v>
      </c>
      <c r="C10" s="6">
        <v>4793.09</v>
      </c>
      <c r="D10" s="7">
        <v>52</v>
      </c>
      <c r="E10" s="37">
        <f t="shared" si="0"/>
        <v>249240.68</v>
      </c>
      <c r="F10" s="8">
        <f t="shared" si="1"/>
        <v>17446.847600000001</v>
      </c>
      <c r="G10" s="8">
        <f t="shared" si="2"/>
        <v>266687.52759999997</v>
      </c>
      <c r="I10">
        <v>6901064</v>
      </c>
    </row>
    <row r="11" spans="1:11" ht="18" customHeight="1" x14ac:dyDescent="0.4">
      <c r="A11" s="4" t="s">
        <v>213</v>
      </c>
      <c r="B11" s="5" t="s">
        <v>10</v>
      </c>
      <c r="C11" s="6">
        <v>4791.25</v>
      </c>
      <c r="D11" s="7">
        <v>52</v>
      </c>
      <c r="E11" s="37">
        <f t="shared" si="0"/>
        <v>249145</v>
      </c>
      <c r="F11" s="8">
        <f t="shared" si="1"/>
        <v>17440.150000000001</v>
      </c>
      <c r="G11" s="8">
        <f t="shared" si="2"/>
        <v>266585.15000000002</v>
      </c>
      <c r="I11">
        <v>6901101</v>
      </c>
    </row>
    <row r="12" spans="1:11" ht="18" customHeight="1" x14ac:dyDescent="0.4">
      <c r="A12" s="4" t="s">
        <v>235</v>
      </c>
      <c r="B12" s="5" t="s">
        <v>10</v>
      </c>
      <c r="C12" s="6">
        <v>4781.03</v>
      </c>
      <c r="D12" s="7">
        <v>52</v>
      </c>
      <c r="E12" s="37">
        <f t="shared" si="0"/>
        <v>248613.56</v>
      </c>
      <c r="F12" s="8">
        <f t="shared" si="1"/>
        <v>17402.949200000003</v>
      </c>
      <c r="G12" s="8">
        <f t="shared" si="2"/>
        <v>266016.50919999997</v>
      </c>
      <c r="I12">
        <v>6901133</v>
      </c>
    </row>
    <row r="13" spans="1:11" ht="18" customHeight="1" x14ac:dyDescent="0.4">
      <c r="A13" s="4" t="s">
        <v>237</v>
      </c>
      <c r="B13" s="5" t="s">
        <v>10</v>
      </c>
      <c r="C13" s="6">
        <v>4779.47</v>
      </c>
      <c r="D13" s="7">
        <v>52</v>
      </c>
      <c r="E13" s="37">
        <f t="shared" si="0"/>
        <v>248532.44</v>
      </c>
      <c r="F13" s="8">
        <f t="shared" si="1"/>
        <v>17397.270800000002</v>
      </c>
      <c r="G13" s="8">
        <f t="shared" si="2"/>
        <v>265929.7108</v>
      </c>
      <c r="I13">
        <v>6901144</v>
      </c>
    </row>
    <row r="14" spans="1:11" ht="18" customHeight="1" x14ac:dyDescent="0.4">
      <c r="A14" s="4" t="s">
        <v>249</v>
      </c>
      <c r="B14" s="5" t="s">
        <v>10</v>
      </c>
      <c r="C14" s="6">
        <v>4792.67</v>
      </c>
      <c r="D14" s="7">
        <v>52</v>
      </c>
      <c r="E14" s="37">
        <f t="shared" si="0"/>
        <v>249218.84</v>
      </c>
      <c r="F14" s="8">
        <f t="shared" si="1"/>
        <v>17445.318800000001</v>
      </c>
      <c r="G14" s="8">
        <f t="shared" si="2"/>
        <v>266664.15879999998</v>
      </c>
      <c r="I14">
        <v>6901184</v>
      </c>
    </row>
    <row r="15" spans="1:11" ht="18" customHeight="1" x14ac:dyDescent="0.4">
      <c r="A15" s="4" t="s">
        <v>253</v>
      </c>
      <c r="B15" s="5" t="s">
        <v>10</v>
      </c>
      <c r="C15" s="6">
        <v>4787.13</v>
      </c>
      <c r="D15" s="7">
        <v>52</v>
      </c>
      <c r="E15" s="37">
        <f t="shared" si="0"/>
        <v>248930.76</v>
      </c>
      <c r="F15" s="8">
        <f t="shared" si="1"/>
        <v>17425.153200000001</v>
      </c>
      <c r="G15" s="8">
        <f t="shared" si="2"/>
        <v>266355.91320000001</v>
      </c>
      <c r="I15">
        <v>6901195</v>
      </c>
    </row>
    <row r="16" spans="1:11" ht="18" customHeight="1" x14ac:dyDescent="0.4">
      <c r="A16" s="4" t="s">
        <v>261</v>
      </c>
      <c r="B16" s="5" t="s">
        <v>10</v>
      </c>
      <c r="C16" s="6">
        <v>4779.17</v>
      </c>
      <c r="D16" s="7">
        <v>52</v>
      </c>
      <c r="E16" s="37">
        <f t="shared" si="0"/>
        <v>248516.84</v>
      </c>
      <c r="F16" s="8">
        <f t="shared" si="1"/>
        <v>17396.178800000002</v>
      </c>
      <c r="G16" s="8">
        <f t="shared" si="2"/>
        <v>265913.01880000002</v>
      </c>
      <c r="I16">
        <v>6901237</v>
      </c>
    </row>
    <row r="17" spans="1:9" ht="18" customHeight="1" x14ac:dyDescent="0.4">
      <c r="A17" s="4" t="s">
        <v>264</v>
      </c>
      <c r="B17" s="5" t="s">
        <v>10</v>
      </c>
      <c r="C17" s="6">
        <v>4778.9399999999996</v>
      </c>
      <c r="D17" s="7">
        <v>52</v>
      </c>
      <c r="E17" s="37">
        <f t="shared" si="0"/>
        <v>248504.87999999998</v>
      </c>
      <c r="F17" s="8">
        <f t="shared" si="1"/>
        <v>17395.3416</v>
      </c>
      <c r="G17" s="8">
        <f t="shared" si="2"/>
        <v>265900.22159999999</v>
      </c>
      <c r="I17">
        <v>6901248</v>
      </c>
    </row>
    <row r="18" spans="1:9" ht="18" customHeight="1" x14ac:dyDescent="0.4">
      <c r="A18" s="4" t="s">
        <v>274</v>
      </c>
      <c r="B18" s="5" t="s">
        <v>10</v>
      </c>
      <c r="C18" s="6">
        <v>4788.87</v>
      </c>
      <c r="D18" s="7">
        <v>52</v>
      </c>
      <c r="E18" s="37">
        <f t="shared" si="0"/>
        <v>249021.24</v>
      </c>
      <c r="F18" s="8">
        <f t="shared" si="1"/>
        <v>17431.486800000002</v>
      </c>
      <c r="G18" s="8">
        <f t="shared" si="2"/>
        <v>266452.7268</v>
      </c>
      <c r="I18">
        <v>6901257</v>
      </c>
    </row>
    <row r="19" spans="1:9" ht="18" customHeight="1" x14ac:dyDescent="0.4">
      <c r="A19" s="4" t="s">
        <v>275</v>
      </c>
      <c r="B19" s="5" t="s">
        <v>10</v>
      </c>
      <c r="C19" s="6">
        <v>4799.37</v>
      </c>
      <c r="D19" s="7">
        <v>52</v>
      </c>
      <c r="E19" s="37">
        <f t="shared" si="0"/>
        <v>249567.24</v>
      </c>
      <c r="F19" s="8">
        <f t="shared" si="1"/>
        <v>17469.7068</v>
      </c>
      <c r="G19" s="8">
        <f t="shared" si="2"/>
        <v>267036.94679999998</v>
      </c>
      <c r="I19">
        <v>6901294</v>
      </c>
    </row>
    <row r="20" spans="1:9" ht="18" customHeight="1" x14ac:dyDescent="0.4">
      <c r="A20" s="4" t="s">
        <v>280</v>
      </c>
      <c r="B20" s="5" t="s">
        <v>10</v>
      </c>
      <c r="C20" s="6">
        <v>4791.37</v>
      </c>
      <c r="D20" s="7">
        <v>52</v>
      </c>
      <c r="E20" s="37">
        <f t="shared" ref="E20" si="6">+C20*D20</f>
        <v>249151.24</v>
      </c>
      <c r="F20" s="8">
        <f t="shared" ref="F20" si="7">+E20*7%</f>
        <v>17440.586800000001</v>
      </c>
      <c r="G20" s="8">
        <f t="shared" ref="G20" si="8">+E20+F20</f>
        <v>266591.82679999998</v>
      </c>
      <c r="I20">
        <v>6901321</v>
      </c>
    </row>
    <row r="21" spans="1:9" ht="18" customHeight="1" x14ac:dyDescent="0.4">
      <c r="A21" s="4" t="s">
        <v>286</v>
      </c>
      <c r="B21" s="5" t="s">
        <v>10</v>
      </c>
      <c r="C21" s="6">
        <v>4782.4399999999996</v>
      </c>
      <c r="D21" s="7">
        <v>52</v>
      </c>
      <c r="E21" s="37">
        <f t="shared" ref="E21" si="9">+C21*D21</f>
        <v>248686.87999999998</v>
      </c>
      <c r="F21" s="8">
        <f t="shared" ref="F21" si="10">+E21*7%</f>
        <v>17408.081600000001</v>
      </c>
      <c r="G21" s="8">
        <f t="shared" ref="G21" si="11">+E21+F21</f>
        <v>266094.96159999998</v>
      </c>
      <c r="I21">
        <v>6901341</v>
      </c>
    </row>
    <row r="22" spans="1:9" ht="18" customHeight="1" x14ac:dyDescent="0.4">
      <c r="A22" s="4" t="s">
        <v>235</v>
      </c>
      <c r="B22" s="5" t="s">
        <v>137</v>
      </c>
      <c r="C22" s="9">
        <v>1484.9</v>
      </c>
      <c r="D22" s="10">
        <v>68</v>
      </c>
      <c r="E22" s="37">
        <f t="shared" si="0"/>
        <v>100973.20000000001</v>
      </c>
      <c r="F22" s="8">
        <f t="shared" si="1"/>
        <v>7068.1240000000016</v>
      </c>
      <c r="G22" s="8">
        <f t="shared" si="2"/>
        <v>108041.32400000001</v>
      </c>
      <c r="I22">
        <v>6901136</v>
      </c>
    </row>
    <row r="23" spans="1:9" ht="18" customHeight="1" x14ac:dyDescent="0.4">
      <c r="A23" s="4" t="s">
        <v>280</v>
      </c>
      <c r="B23" s="5" t="s">
        <v>137</v>
      </c>
      <c r="C23" s="9">
        <v>1498.45</v>
      </c>
      <c r="D23" s="10">
        <v>68</v>
      </c>
      <c r="E23" s="37">
        <f t="shared" ref="E23" si="12">+C23*D23</f>
        <v>101894.6</v>
      </c>
      <c r="F23" s="8">
        <f t="shared" ref="F23" si="13">+E23*7%</f>
        <v>7132.6220000000012</v>
      </c>
      <c r="G23" s="8">
        <f t="shared" ref="G23" si="14">+E23+F23</f>
        <v>109027.22200000001</v>
      </c>
      <c r="I23">
        <v>6901322</v>
      </c>
    </row>
    <row r="24" spans="1:9" ht="18" customHeight="1" x14ac:dyDescent="0.4">
      <c r="A24" s="4" t="s">
        <v>192</v>
      </c>
      <c r="B24" s="5" t="s">
        <v>198</v>
      </c>
      <c r="C24" s="9">
        <v>1481.2</v>
      </c>
      <c r="D24" s="10">
        <v>68</v>
      </c>
      <c r="E24" s="37">
        <f t="shared" ref="E24" si="15">+C24*D24</f>
        <v>100721.60000000001</v>
      </c>
      <c r="F24" s="8">
        <f t="shared" ref="F24" si="16">+E24*7%</f>
        <v>7050.5120000000006</v>
      </c>
      <c r="G24" s="8">
        <f t="shared" ref="G24" si="17">+E24+F24</f>
        <v>107772.11200000001</v>
      </c>
      <c r="I24">
        <v>6901004</v>
      </c>
    </row>
    <row r="25" spans="1:9" ht="18" customHeight="1" x14ac:dyDescent="0.4">
      <c r="A25" s="4" t="s">
        <v>274</v>
      </c>
      <c r="B25" s="5" t="s">
        <v>174</v>
      </c>
      <c r="C25" s="9">
        <v>1496.45</v>
      </c>
      <c r="D25" s="10">
        <v>68</v>
      </c>
      <c r="E25" s="37">
        <f t="shared" ref="E25" si="18">+C25*D25</f>
        <v>101758.6</v>
      </c>
      <c r="F25" s="8">
        <f t="shared" ref="F25" si="19">+E25*7%</f>
        <v>7123.1020000000008</v>
      </c>
      <c r="G25" s="8">
        <f t="shared" ref="G25" si="20">+E25+F25</f>
        <v>108881.702</v>
      </c>
      <c r="I25">
        <v>6901259</v>
      </c>
    </row>
    <row r="26" spans="1:9" ht="18" customHeight="1" x14ac:dyDescent="0.4">
      <c r="A26" s="4" t="s">
        <v>187</v>
      </c>
      <c r="B26" s="5" t="s">
        <v>146</v>
      </c>
      <c r="C26" s="9">
        <v>1483.3</v>
      </c>
      <c r="D26" s="10">
        <v>68</v>
      </c>
      <c r="E26" s="37">
        <f t="shared" ref="E26" si="21">+C26*D26</f>
        <v>100864.4</v>
      </c>
      <c r="F26" s="8">
        <f t="shared" ref="F26" si="22">+E26*7%</f>
        <v>7060.5079999999998</v>
      </c>
      <c r="G26" s="8">
        <f t="shared" ref="G26" si="23">+E26+F26</f>
        <v>107924.908</v>
      </c>
      <c r="I26">
        <v>6901032</v>
      </c>
    </row>
    <row r="27" spans="1:9" ht="18" customHeight="1" x14ac:dyDescent="0.4">
      <c r="A27" s="4" t="s">
        <v>229</v>
      </c>
      <c r="B27" s="5" t="s">
        <v>146</v>
      </c>
      <c r="C27" s="9">
        <v>1479.25</v>
      </c>
      <c r="D27" s="10">
        <v>68</v>
      </c>
      <c r="E27" s="37">
        <f t="shared" ref="E27" si="24">+C27*D27</f>
        <v>100589</v>
      </c>
      <c r="F27" s="8">
        <f t="shared" ref="F27" si="25">+E27*7%</f>
        <v>7041.2300000000005</v>
      </c>
      <c r="G27" s="8">
        <f t="shared" ref="G27" si="26">+E27+F27</f>
        <v>107630.23</v>
      </c>
      <c r="I27">
        <v>6901110</v>
      </c>
    </row>
    <row r="28" spans="1:9" ht="18" customHeight="1" x14ac:dyDescent="0.4">
      <c r="A28" s="4" t="s">
        <v>242</v>
      </c>
      <c r="B28" s="5" t="s">
        <v>146</v>
      </c>
      <c r="C28" s="9">
        <v>1490.55</v>
      </c>
      <c r="D28" s="10">
        <v>68</v>
      </c>
      <c r="E28" s="37">
        <f t="shared" ref="E28" si="27">+C28*D28</f>
        <v>101357.4</v>
      </c>
      <c r="F28" s="8">
        <f t="shared" ref="F28" si="28">+E28*7%</f>
        <v>7095.018</v>
      </c>
      <c r="G28" s="8">
        <f t="shared" ref="G28" si="29">+E28+F28</f>
        <v>108452.41799999999</v>
      </c>
      <c r="I28">
        <v>6901177</v>
      </c>
    </row>
    <row r="29" spans="1:9" ht="18" customHeight="1" x14ac:dyDescent="0.4">
      <c r="A29" s="4" t="s">
        <v>254</v>
      </c>
      <c r="B29" s="5" t="s">
        <v>146</v>
      </c>
      <c r="C29" s="9">
        <v>1497.8</v>
      </c>
      <c r="D29" s="10">
        <v>68</v>
      </c>
      <c r="E29" s="37">
        <f t="shared" ref="E29" si="30">+C29*D29</f>
        <v>101850.4</v>
      </c>
      <c r="F29" s="8">
        <f t="shared" ref="F29" si="31">+E29*7%</f>
        <v>7129.5280000000002</v>
      </c>
      <c r="G29" s="8">
        <f t="shared" ref="G29" si="32">+E29+F29</f>
        <v>108979.928</v>
      </c>
      <c r="I29">
        <v>6901202</v>
      </c>
    </row>
    <row r="30" spans="1:9" ht="18" customHeight="1" x14ac:dyDescent="0.4">
      <c r="A30" s="4" t="s">
        <v>259</v>
      </c>
      <c r="B30" s="5" t="s">
        <v>146</v>
      </c>
      <c r="C30" s="9">
        <v>1482.2</v>
      </c>
      <c r="D30" s="10">
        <v>68</v>
      </c>
      <c r="E30" s="37">
        <f t="shared" ref="E30" si="33">+C30*D30</f>
        <v>100789.6</v>
      </c>
      <c r="F30" s="8">
        <f t="shared" ref="F30" si="34">+E30*7%</f>
        <v>7055.2720000000008</v>
      </c>
      <c r="G30" s="8">
        <f t="shared" ref="G30" si="35">+E30+F30</f>
        <v>107844.872</v>
      </c>
      <c r="I30">
        <v>6901225</v>
      </c>
    </row>
    <row r="31" spans="1:9" ht="18" customHeight="1" x14ac:dyDescent="0.4">
      <c r="A31" s="4" t="s">
        <v>268</v>
      </c>
      <c r="B31" s="5" t="s">
        <v>146</v>
      </c>
      <c r="C31" s="9">
        <v>1561</v>
      </c>
      <c r="D31" s="10">
        <v>68</v>
      </c>
      <c r="E31" s="37">
        <f t="shared" ref="E31" si="36">+C31*D31</f>
        <v>106148</v>
      </c>
      <c r="F31" s="8">
        <f t="shared" ref="F31" si="37">+E31*7%</f>
        <v>7430.3600000000006</v>
      </c>
      <c r="G31" s="8">
        <f t="shared" ref="G31" si="38">+E31+F31</f>
        <v>113578.36</v>
      </c>
      <c r="I31">
        <v>6901274</v>
      </c>
    </row>
    <row r="32" spans="1:9" ht="18" customHeight="1" x14ac:dyDescent="0.4">
      <c r="A32" s="4" t="s">
        <v>274</v>
      </c>
      <c r="B32" s="5" t="s">
        <v>166</v>
      </c>
      <c r="C32" s="9">
        <v>1993.95</v>
      </c>
      <c r="D32" s="10">
        <v>104</v>
      </c>
      <c r="E32" s="37">
        <f t="shared" ref="E32" si="39">+C32*D32</f>
        <v>207370.80000000002</v>
      </c>
      <c r="F32" s="8">
        <f t="shared" ref="F32" si="40">+E32*7%</f>
        <v>14515.956000000002</v>
      </c>
      <c r="G32" s="8">
        <f t="shared" ref="G32" si="41">+E32+F32</f>
        <v>221886.75600000002</v>
      </c>
      <c r="I32">
        <v>6901258</v>
      </c>
    </row>
    <row r="33" spans="1:9" ht="18" customHeight="1" x14ac:dyDescent="0.4">
      <c r="A33" s="4" t="s">
        <v>277</v>
      </c>
      <c r="B33" s="5" t="s">
        <v>166</v>
      </c>
      <c r="C33" s="9">
        <v>2996.1</v>
      </c>
      <c r="D33" s="10">
        <v>104</v>
      </c>
      <c r="E33" s="37">
        <f t="shared" ref="E33" si="42">+C33*D33</f>
        <v>311594.39999999997</v>
      </c>
      <c r="F33" s="8">
        <f t="shared" ref="F33" si="43">+E33*7%</f>
        <v>21811.608</v>
      </c>
      <c r="G33" s="8">
        <f t="shared" ref="G33" si="44">+E33+F33</f>
        <v>333406.00799999997</v>
      </c>
      <c r="I33">
        <v>6901282</v>
      </c>
    </row>
    <row r="34" spans="1:9" ht="18" customHeight="1" x14ac:dyDescent="0.4">
      <c r="A34" s="11" t="s">
        <v>199</v>
      </c>
      <c r="B34" s="5" t="s">
        <v>11</v>
      </c>
      <c r="C34" s="9">
        <v>1489.35</v>
      </c>
      <c r="D34" s="10">
        <v>68</v>
      </c>
      <c r="E34" s="37">
        <f t="shared" si="0"/>
        <v>101275.79999999999</v>
      </c>
      <c r="F34" s="8">
        <f t="shared" si="1"/>
        <v>7089.3059999999996</v>
      </c>
      <c r="G34" s="8">
        <f t="shared" si="2"/>
        <v>108365.10599999999</v>
      </c>
      <c r="I34">
        <v>6901065</v>
      </c>
    </row>
    <row r="35" spans="1:9" ht="18" customHeight="1" x14ac:dyDescent="0.4">
      <c r="A35" s="4" t="s">
        <v>235</v>
      </c>
      <c r="B35" s="5" t="s">
        <v>11</v>
      </c>
      <c r="C35" s="6">
        <v>783.65</v>
      </c>
      <c r="D35" s="7">
        <v>68</v>
      </c>
      <c r="E35" s="37">
        <f t="shared" si="0"/>
        <v>53288.2</v>
      </c>
      <c r="F35" s="8">
        <f t="shared" si="1"/>
        <v>3730.174</v>
      </c>
      <c r="G35" s="8">
        <f t="shared" si="2"/>
        <v>57018.373999999996</v>
      </c>
      <c r="I35">
        <v>6901135</v>
      </c>
    </row>
    <row r="36" spans="1:9" ht="18" customHeight="1" x14ac:dyDescent="0.4">
      <c r="A36" s="4" t="s">
        <v>242</v>
      </c>
      <c r="B36" s="5" t="s">
        <v>11</v>
      </c>
      <c r="C36" s="6">
        <v>694.2</v>
      </c>
      <c r="D36" s="7">
        <v>68</v>
      </c>
      <c r="E36" s="37">
        <f t="shared" si="0"/>
        <v>47205.600000000006</v>
      </c>
      <c r="F36" s="8">
        <f t="shared" si="1"/>
        <v>3304.3920000000007</v>
      </c>
      <c r="G36" s="8">
        <f t="shared" si="2"/>
        <v>50509.992000000006</v>
      </c>
      <c r="I36">
        <v>6901176</v>
      </c>
    </row>
    <row r="37" spans="1:9" ht="18" customHeight="1" x14ac:dyDescent="0.4">
      <c r="A37" s="4" t="s">
        <v>257</v>
      </c>
      <c r="B37" s="5" t="s">
        <v>11</v>
      </c>
      <c r="C37" s="6">
        <v>1485.45</v>
      </c>
      <c r="D37" s="7">
        <v>68</v>
      </c>
      <c r="E37" s="37">
        <f t="shared" si="0"/>
        <v>101010.6</v>
      </c>
      <c r="F37" s="8">
        <f t="shared" si="1"/>
        <v>7070.7420000000011</v>
      </c>
      <c r="G37" s="8">
        <f t="shared" si="2"/>
        <v>108081.342</v>
      </c>
      <c r="I37">
        <v>6901213</v>
      </c>
    </row>
    <row r="38" spans="1:9" ht="18" customHeight="1" x14ac:dyDescent="0.4">
      <c r="A38" s="4" t="s">
        <v>277</v>
      </c>
      <c r="B38" s="5" t="s">
        <v>11</v>
      </c>
      <c r="C38" s="6">
        <v>1517.65</v>
      </c>
      <c r="D38" s="7">
        <v>68</v>
      </c>
      <c r="E38" s="37">
        <f t="shared" ref="E38" si="45">+C38*D38</f>
        <v>103200.20000000001</v>
      </c>
      <c r="F38" s="8">
        <f t="shared" ref="F38" si="46">+E38*7%</f>
        <v>7224.0140000000019</v>
      </c>
      <c r="G38" s="8">
        <f t="shared" ref="G38" si="47">+E38+F38</f>
        <v>110424.21400000001</v>
      </c>
      <c r="I38">
        <v>6901281</v>
      </c>
    </row>
    <row r="39" spans="1:9" ht="18" customHeight="1" x14ac:dyDescent="0.4">
      <c r="A39" s="12" t="s">
        <v>235</v>
      </c>
      <c r="B39" s="5" t="s">
        <v>236</v>
      </c>
      <c r="C39" s="6">
        <v>697.35</v>
      </c>
      <c r="D39" s="7">
        <v>68</v>
      </c>
      <c r="E39" s="37">
        <f t="shared" ref="E39" si="48">+C39*D39</f>
        <v>47419.8</v>
      </c>
      <c r="F39" s="8">
        <f t="shared" ref="F39" si="49">+E39*7%</f>
        <v>3319.3860000000004</v>
      </c>
      <c r="G39" s="8">
        <f t="shared" ref="G39" si="50">+E39+F39</f>
        <v>50739.186000000002</v>
      </c>
      <c r="I39">
        <v>6901134</v>
      </c>
    </row>
    <row r="40" spans="1:9" ht="18" customHeight="1" x14ac:dyDescent="0.4">
      <c r="A40" s="12" t="s">
        <v>229</v>
      </c>
      <c r="B40" s="5" t="s">
        <v>12</v>
      </c>
      <c r="C40" s="6">
        <v>483.85</v>
      </c>
      <c r="D40" s="7">
        <v>68</v>
      </c>
      <c r="E40" s="37">
        <f t="shared" si="0"/>
        <v>32901.800000000003</v>
      </c>
      <c r="F40" s="8">
        <f t="shared" si="1"/>
        <v>2303.1260000000002</v>
      </c>
      <c r="G40" s="8">
        <f t="shared" si="2"/>
        <v>35204.926000000007</v>
      </c>
      <c r="I40">
        <v>6901111</v>
      </c>
    </row>
    <row r="41" spans="1:9" ht="18" customHeight="1" x14ac:dyDescent="0.4">
      <c r="A41" s="12" t="s">
        <v>187</v>
      </c>
      <c r="B41" s="5" t="s">
        <v>190</v>
      </c>
      <c r="C41" s="6">
        <v>458.35</v>
      </c>
      <c r="D41" s="7">
        <v>68</v>
      </c>
      <c r="E41" s="37">
        <f t="shared" ref="E41" si="51">+C41*D41</f>
        <v>31167.800000000003</v>
      </c>
      <c r="F41" s="8">
        <f t="shared" ref="F41" si="52">+E41*7%</f>
        <v>2181.7460000000005</v>
      </c>
      <c r="G41" s="8">
        <f t="shared" ref="G41" si="53">+E41+F41</f>
        <v>33349.546000000002</v>
      </c>
      <c r="I41">
        <v>6901030</v>
      </c>
    </row>
    <row r="42" spans="1:9" ht="18" customHeight="1" x14ac:dyDescent="0.4">
      <c r="A42" s="12" t="s">
        <v>187</v>
      </c>
      <c r="B42" s="5" t="s">
        <v>147</v>
      </c>
      <c r="C42" s="6">
        <v>482.1</v>
      </c>
      <c r="D42" s="7">
        <v>68</v>
      </c>
      <c r="E42" s="37">
        <f t="shared" ref="E42" si="54">+C42*D42</f>
        <v>32782.800000000003</v>
      </c>
      <c r="F42" s="8">
        <f t="shared" ref="F42" si="55">+E42*7%</f>
        <v>2294.7960000000003</v>
      </c>
      <c r="G42" s="8">
        <f t="shared" ref="G42" si="56">+E42+F42</f>
        <v>35077.596000000005</v>
      </c>
      <c r="I42">
        <v>6901031</v>
      </c>
    </row>
    <row r="43" spans="1:9" ht="18" customHeight="1" x14ac:dyDescent="0.4">
      <c r="A43" s="12" t="s">
        <v>216</v>
      </c>
      <c r="B43" s="5" t="s">
        <v>228</v>
      </c>
      <c r="C43" s="6">
        <v>498.65</v>
      </c>
      <c r="D43" s="7">
        <v>68</v>
      </c>
      <c r="E43" s="37">
        <f t="shared" ref="E43" si="57">+C43*D43</f>
        <v>33908.199999999997</v>
      </c>
      <c r="F43" s="8">
        <f t="shared" ref="F43" si="58">+E43*7%</f>
        <v>2373.5740000000001</v>
      </c>
      <c r="G43" s="8">
        <f t="shared" ref="G43" si="59">+E43+F43</f>
        <v>36281.773999999998</v>
      </c>
      <c r="I43">
        <v>6901082</v>
      </c>
    </row>
    <row r="44" spans="1:9" ht="18" customHeight="1" x14ac:dyDescent="0.4">
      <c r="A44" s="12" t="s">
        <v>227</v>
      </c>
      <c r="B44" s="5" t="s">
        <v>226</v>
      </c>
      <c r="C44" s="6">
        <v>497</v>
      </c>
      <c r="D44" s="7">
        <v>68</v>
      </c>
      <c r="E44" s="37">
        <f t="shared" ref="E44" si="60">+C44*D44</f>
        <v>33796</v>
      </c>
      <c r="F44" s="8">
        <f t="shared" ref="F44" si="61">+E44*7%</f>
        <v>2365.7200000000003</v>
      </c>
      <c r="G44" s="8">
        <f t="shared" ref="G44" si="62">+E44+F44</f>
        <v>36161.72</v>
      </c>
      <c r="I44">
        <v>6901083</v>
      </c>
    </row>
    <row r="45" spans="1:9" ht="18" customHeight="1" x14ac:dyDescent="0.4">
      <c r="A45" s="12" t="s">
        <v>192</v>
      </c>
      <c r="B45" s="5" t="s">
        <v>197</v>
      </c>
      <c r="C45" s="6">
        <v>486.25</v>
      </c>
      <c r="D45" s="7">
        <v>68</v>
      </c>
      <c r="E45" s="37">
        <f t="shared" ref="E45" si="63">+C45*D45</f>
        <v>33065</v>
      </c>
      <c r="F45" s="8">
        <f t="shared" ref="F45" si="64">+E45*7%</f>
        <v>2314.5500000000002</v>
      </c>
      <c r="G45" s="8">
        <f t="shared" ref="G45" si="65">+E45+F45</f>
        <v>35379.550000000003</v>
      </c>
      <c r="I45">
        <v>6901005</v>
      </c>
    </row>
    <row r="46" spans="1:9" ht="18" customHeight="1" x14ac:dyDescent="0.4">
      <c r="A46" s="12" t="s">
        <v>187</v>
      </c>
      <c r="B46" s="5" t="s">
        <v>162</v>
      </c>
      <c r="C46" s="6">
        <v>1195.2</v>
      </c>
      <c r="D46" s="7">
        <v>68</v>
      </c>
      <c r="E46" s="37">
        <f t="shared" ref="E46" si="66">+C46*D46</f>
        <v>81273.600000000006</v>
      </c>
      <c r="F46" s="8">
        <f t="shared" ref="F46" si="67">+E46*7%</f>
        <v>5689.152000000001</v>
      </c>
      <c r="G46" s="8">
        <f t="shared" ref="G46" si="68">+E46+F46</f>
        <v>86962.752000000008</v>
      </c>
      <c r="I46">
        <v>6901028</v>
      </c>
    </row>
    <row r="47" spans="1:9" ht="18" customHeight="1" x14ac:dyDescent="0.4">
      <c r="A47" s="4" t="s">
        <v>235</v>
      </c>
      <c r="B47" s="5" t="s">
        <v>13</v>
      </c>
      <c r="C47" s="13">
        <v>478.75</v>
      </c>
      <c r="D47" s="14">
        <v>68</v>
      </c>
      <c r="E47" s="37">
        <f t="shared" si="0"/>
        <v>32555</v>
      </c>
      <c r="F47" s="15">
        <f t="shared" si="1"/>
        <v>2278.8500000000004</v>
      </c>
      <c r="G47" s="15">
        <f t="shared" si="2"/>
        <v>34833.85</v>
      </c>
      <c r="I47">
        <v>6901137</v>
      </c>
    </row>
    <row r="48" spans="1:9" ht="18" customHeight="1" x14ac:dyDescent="0.4">
      <c r="A48" s="4" t="s">
        <v>213</v>
      </c>
      <c r="B48" s="5" t="s">
        <v>214</v>
      </c>
      <c r="C48" s="13">
        <v>484.35</v>
      </c>
      <c r="D48" s="14">
        <v>68</v>
      </c>
      <c r="E48" s="37">
        <f t="shared" ref="E48" si="69">+C48*D48</f>
        <v>32935.800000000003</v>
      </c>
      <c r="F48" s="15">
        <f t="shared" ref="F48" si="70">+E48*7%</f>
        <v>2305.5060000000003</v>
      </c>
      <c r="G48" s="15">
        <f t="shared" ref="G48" si="71">+E48+F48</f>
        <v>35241.306000000004</v>
      </c>
      <c r="I48">
        <v>6901102</v>
      </c>
    </row>
    <row r="49" spans="1:9" ht="18" customHeight="1" x14ac:dyDescent="0.4">
      <c r="A49" s="4" t="s">
        <v>216</v>
      </c>
      <c r="B49" s="5" t="s">
        <v>158</v>
      </c>
      <c r="C49" s="13">
        <v>699.3</v>
      </c>
      <c r="D49" s="14">
        <v>68</v>
      </c>
      <c r="E49" s="37">
        <f t="shared" ref="E49" si="72">+C49*D49</f>
        <v>47552.399999999994</v>
      </c>
      <c r="F49" s="15">
        <f t="shared" ref="F49" si="73">+E49*7%</f>
        <v>3328.6680000000001</v>
      </c>
      <c r="G49" s="15">
        <f t="shared" ref="G49" si="74">+E49+F49</f>
        <v>50881.067999999992</v>
      </c>
      <c r="I49">
        <v>6901084</v>
      </c>
    </row>
    <row r="50" spans="1:9" ht="18" customHeight="1" x14ac:dyDescent="0.4">
      <c r="A50" s="4" t="s">
        <v>192</v>
      </c>
      <c r="B50" s="5" t="s">
        <v>14</v>
      </c>
      <c r="C50" s="13">
        <v>998.9</v>
      </c>
      <c r="D50" s="14">
        <v>68</v>
      </c>
      <c r="E50" s="37">
        <f t="shared" si="0"/>
        <v>67925.2</v>
      </c>
      <c r="F50" s="15">
        <f t="shared" si="1"/>
        <v>4754.7640000000001</v>
      </c>
      <c r="G50" s="15">
        <f t="shared" si="2"/>
        <v>72679.963999999993</v>
      </c>
      <c r="I50">
        <v>6901007</v>
      </c>
    </row>
    <row r="51" spans="1:9" ht="18" customHeight="1" x14ac:dyDescent="0.4">
      <c r="A51" s="4" t="s">
        <v>192</v>
      </c>
      <c r="B51" s="5" t="s">
        <v>153</v>
      </c>
      <c r="C51" s="13">
        <v>990.19</v>
      </c>
      <c r="D51" s="14">
        <v>68</v>
      </c>
      <c r="E51" s="37">
        <f t="shared" ref="E51" si="75">+C51*D51</f>
        <v>67332.92</v>
      </c>
      <c r="F51" s="15">
        <f t="shared" ref="F51" si="76">+E51*7%</f>
        <v>4713.3044</v>
      </c>
      <c r="G51" s="15">
        <f t="shared" ref="G51" si="77">+E51+F51</f>
        <v>72046.224399999992</v>
      </c>
      <c r="I51">
        <v>6901006</v>
      </c>
    </row>
    <row r="52" spans="1:9" ht="18" customHeight="1" x14ac:dyDescent="0.4">
      <c r="A52" s="4" t="s">
        <v>280</v>
      </c>
      <c r="B52" s="5" t="s">
        <v>153</v>
      </c>
      <c r="C52" s="13">
        <v>992.66</v>
      </c>
      <c r="D52" s="14">
        <v>68</v>
      </c>
      <c r="E52" s="37">
        <f t="shared" ref="E52" si="78">+C52*D52</f>
        <v>67500.88</v>
      </c>
      <c r="F52" s="15">
        <f t="shared" ref="F52" si="79">+E52*7%</f>
        <v>4725.0616000000009</v>
      </c>
      <c r="G52" s="15">
        <f t="shared" ref="G52" si="80">+E52+F52</f>
        <v>72225.941600000006</v>
      </c>
      <c r="I52">
        <v>6901323</v>
      </c>
    </row>
    <row r="53" spans="1:9" ht="18" customHeight="1" x14ac:dyDescent="0.4">
      <c r="A53" s="4" t="s">
        <v>277</v>
      </c>
      <c r="B53" s="5" t="s">
        <v>169</v>
      </c>
      <c r="C53" s="13">
        <v>1487.96</v>
      </c>
      <c r="D53" s="14">
        <v>68</v>
      </c>
      <c r="E53" s="37">
        <f t="shared" ref="E53" si="81">+C53*D53</f>
        <v>101181.28</v>
      </c>
      <c r="F53" s="15">
        <f t="shared" ref="F53" si="82">+E53*7%</f>
        <v>7082.6896000000006</v>
      </c>
      <c r="G53" s="15">
        <f t="shared" ref="G53" si="83">+E53+F53</f>
        <v>108263.9696</v>
      </c>
      <c r="I53">
        <v>6901280</v>
      </c>
    </row>
    <row r="54" spans="1:9" ht="18" customHeight="1" x14ac:dyDescent="0.4">
      <c r="A54" s="4" t="s">
        <v>235</v>
      </c>
      <c r="B54" s="5" t="s">
        <v>181</v>
      </c>
      <c r="C54" s="13">
        <v>478.58</v>
      </c>
      <c r="D54" s="14">
        <v>68</v>
      </c>
      <c r="E54" s="37">
        <f t="shared" ref="E54" si="84">+C54*D54</f>
        <v>32543.439999999999</v>
      </c>
      <c r="F54" s="15">
        <f t="shared" ref="F54" si="85">+E54*7%</f>
        <v>2278.0408000000002</v>
      </c>
      <c r="G54" s="15">
        <f t="shared" ref="G54" si="86">+E54+F54</f>
        <v>34821.480799999998</v>
      </c>
      <c r="I54">
        <v>6901138</v>
      </c>
    </row>
    <row r="55" spans="1:9" ht="18" customHeight="1" thickBot="1" x14ac:dyDescent="0.45">
      <c r="A55" s="16"/>
      <c r="B55" s="17" t="s">
        <v>15</v>
      </c>
      <c r="C55" s="18">
        <f>SUM(C4:C54)</f>
        <v>106756.59000000001</v>
      </c>
      <c r="D55" s="19"/>
      <c r="E55" s="20">
        <f>SUM(E4:E54)</f>
        <v>6328182.7200000007</v>
      </c>
      <c r="F55" s="20">
        <f t="shared" ref="F55:G55" si="87">SUM(F4:F54)</f>
        <v>442972.79039999994</v>
      </c>
      <c r="G55" s="20">
        <f t="shared" si="87"/>
        <v>6771155.5103999991</v>
      </c>
    </row>
    <row r="56" spans="1:9" ht="18.75" customHeight="1" thickTop="1" x14ac:dyDescent="0.4">
      <c r="A56" s="21"/>
      <c r="B56" s="22"/>
      <c r="C56" s="23"/>
      <c r="D56" s="24"/>
      <c r="E56" s="23"/>
      <c r="F56" s="25"/>
      <c r="G56" s="23"/>
    </row>
    <row r="57" spans="1:9" s="26" customFormat="1" ht="23.25" x14ac:dyDescent="0.45">
      <c r="A57" s="362" t="s">
        <v>16</v>
      </c>
      <c r="B57" s="362"/>
      <c r="C57" s="362"/>
      <c r="D57" s="362"/>
      <c r="E57" s="362"/>
      <c r="F57" s="362"/>
      <c r="G57" s="362"/>
    </row>
    <row r="58" spans="1:9" s="30" customFormat="1" ht="18" customHeight="1" x14ac:dyDescent="0.5">
      <c r="A58" s="27" t="s">
        <v>2</v>
      </c>
      <c r="B58" s="28" t="s">
        <v>3</v>
      </c>
      <c r="C58" s="28" t="s">
        <v>4</v>
      </c>
      <c r="D58" s="29" t="s">
        <v>5</v>
      </c>
      <c r="E58" s="28" t="s">
        <v>6</v>
      </c>
      <c r="F58" s="28" t="s">
        <v>7</v>
      </c>
      <c r="G58" s="28" t="s">
        <v>8</v>
      </c>
    </row>
    <row r="59" spans="1:9" s="30" customFormat="1" ht="18" customHeight="1" x14ac:dyDescent="0.5">
      <c r="A59" s="31" t="s">
        <v>280</v>
      </c>
      <c r="B59" s="32" t="s">
        <v>182</v>
      </c>
      <c r="C59" s="33">
        <v>544.15</v>
      </c>
      <c r="D59" s="34">
        <v>50.12</v>
      </c>
      <c r="E59" s="35">
        <f>+C59*D59</f>
        <v>27272.797999999999</v>
      </c>
      <c r="F59" s="35">
        <f>+E59*7%</f>
        <v>1909.0958600000001</v>
      </c>
      <c r="G59" s="35">
        <f>+E59+F59</f>
        <v>29181.89386</v>
      </c>
      <c r="I59" s="30">
        <v>6901320</v>
      </c>
    </row>
    <row r="60" spans="1:9" s="30" customFormat="1" ht="18" customHeight="1" x14ac:dyDescent="0.5">
      <c r="A60" s="31" t="s">
        <v>286</v>
      </c>
      <c r="B60" s="32" t="s">
        <v>182</v>
      </c>
      <c r="C60" s="33">
        <v>264.85000000000002</v>
      </c>
      <c r="D60" s="34">
        <v>50.12</v>
      </c>
      <c r="E60" s="35">
        <f>+C60*D60</f>
        <v>13274.282000000001</v>
      </c>
      <c r="F60" s="35">
        <f>+E60*7%</f>
        <v>929.19974000000013</v>
      </c>
      <c r="G60" s="35">
        <f>+E60+F60</f>
        <v>14203.481740000001</v>
      </c>
      <c r="I60" s="30">
        <v>6901339</v>
      </c>
    </row>
    <row r="61" spans="1:9" s="36" customFormat="1" ht="18" customHeight="1" x14ac:dyDescent="0.4">
      <c r="A61" s="31" t="s">
        <v>213</v>
      </c>
      <c r="B61" s="32" t="s">
        <v>17</v>
      </c>
      <c r="C61" s="33">
        <v>1964.6</v>
      </c>
      <c r="D61" s="34">
        <v>50.12</v>
      </c>
      <c r="E61" s="35">
        <f>+C61*D61</f>
        <v>98465.751999999993</v>
      </c>
      <c r="F61" s="35">
        <f>+E61*7%</f>
        <v>6892.6026400000001</v>
      </c>
      <c r="G61" s="35">
        <f>+E61+F61</f>
        <v>105358.35463999999</v>
      </c>
      <c r="I61" s="36">
        <v>6901104</v>
      </c>
    </row>
    <row r="62" spans="1:9" s="36" customFormat="1" ht="18" customHeight="1" x14ac:dyDescent="0.4">
      <c r="A62" s="16" t="s">
        <v>280</v>
      </c>
      <c r="B62" s="5" t="s">
        <v>18</v>
      </c>
      <c r="C62" s="37">
        <v>1566.7</v>
      </c>
      <c r="D62" s="38">
        <v>50.12</v>
      </c>
      <c r="E62" s="39">
        <f t="shared" ref="E62:E69" si="88">+C62*D62</f>
        <v>78523.004000000001</v>
      </c>
      <c r="F62" s="39">
        <f t="shared" ref="F62:F69" si="89">+E62*7%</f>
        <v>5496.6102800000008</v>
      </c>
      <c r="G62" s="39">
        <f t="shared" ref="G62:G69" si="90">+E62+F62</f>
        <v>84019.614280000009</v>
      </c>
      <c r="I62" s="36">
        <v>6901319</v>
      </c>
    </row>
    <row r="63" spans="1:9" s="36" customFormat="1" ht="18" customHeight="1" x14ac:dyDescent="0.4">
      <c r="A63" s="16" t="s">
        <v>275</v>
      </c>
      <c r="B63" s="5" t="s">
        <v>19</v>
      </c>
      <c r="C63" s="37">
        <v>2576.9</v>
      </c>
      <c r="D63" s="38">
        <v>50.12</v>
      </c>
      <c r="E63" s="39">
        <f t="shared" ref="E63" si="91">+C63*D63</f>
        <v>129154.228</v>
      </c>
      <c r="F63" s="39">
        <f t="shared" ref="F63" si="92">+E63*7%</f>
        <v>9040.7959600000013</v>
      </c>
      <c r="G63" s="39">
        <f t="shared" ref="G63" si="93">+E63+F63</f>
        <v>138195.02395999999</v>
      </c>
      <c r="I63" s="36">
        <v>6901314</v>
      </c>
    </row>
    <row r="64" spans="1:9" ht="18" customHeight="1" x14ac:dyDescent="0.4">
      <c r="A64" s="16" t="s">
        <v>235</v>
      </c>
      <c r="B64" s="5" t="s">
        <v>19</v>
      </c>
      <c r="C64" s="37">
        <v>4195.2</v>
      </c>
      <c r="D64" s="38">
        <v>50.12</v>
      </c>
      <c r="E64" s="39">
        <f t="shared" si="88"/>
        <v>210263.42399999997</v>
      </c>
      <c r="F64" s="39">
        <f t="shared" si="89"/>
        <v>14718.439679999999</v>
      </c>
      <c r="G64" s="39">
        <f t="shared" si="90"/>
        <v>224981.86367999998</v>
      </c>
      <c r="I64">
        <v>6901129</v>
      </c>
    </row>
    <row r="65" spans="1:9" ht="18" customHeight="1" x14ac:dyDescent="0.4">
      <c r="A65" s="16" t="s">
        <v>253</v>
      </c>
      <c r="B65" s="5" t="s">
        <v>23</v>
      </c>
      <c r="C65" s="37">
        <v>3039.5</v>
      </c>
      <c r="D65" s="38">
        <v>50.12</v>
      </c>
      <c r="E65" s="39">
        <f t="shared" si="88"/>
        <v>152339.74</v>
      </c>
      <c r="F65" s="39">
        <f t="shared" si="89"/>
        <v>10663.781800000001</v>
      </c>
      <c r="G65" s="39">
        <f t="shared" si="90"/>
        <v>163003.52179999999</v>
      </c>
      <c r="I65" s="36">
        <v>6901196</v>
      </c>
    </row>
    <row r="66" spans="1:9" ht="18" customHeight="1" x14ac:dyDescent="0.4">
      <c r="A66" s="16" t="s">
        <v>261</v>
      </c>
      <c r="B66" s="5" t="s">
        <v>23</v>
      </c>
      <c r="C66" s="37">
        <v>2592.25</v>
      </c>
      <c r="D66" s="38">
        <v>50.12</v>
      </c>
      <c r="E66" s="39">
        <f t="shared" ref="E66" si="94">+C66*D66</f>
        <v>129923.56999999999</v>
      </c>
      <c r="F66" s="39">
        <f t="shared" ref="F66" si="95">+E66*7%</f>
        <v>9094.6499000000003</v>
      </c>
      <c r="G66" s="39">
        <f t="shared" ref="G66" si="96">+E66+F66</f>
        <v>139018.2199</v>
      </c>
      <c r="I66" s="36">
        <v>6901243</v>
      </c>
    </row>
    <row r="67" spans="1:9" ht="18" customHeight="1" x14ac:dyDescent="0.4">
      <c r="A67" s="4" t="s">
        <v>237</v>
      </c>
      <c r="B67" s="5" t="s">
        <v>20</v>
      </c>
      <c r="C67" s="6">
        <v>2572.8000000000002</v>
      </c>
      <c r="D67" s="40">
        <v>50.12</v>
      </c>
      <c r="E67" s="39">
        <f t="shared" si="88"/>
        <v>128948.736</v>
      </c>
      <c r="F67" s="39">
        <f t="shared" si="89"/>
        <v>9026.4115200000015</v>
      </c>
      <c r="G67" s="39">
        <f t="shared" si="90"/>
        <v>137975.14752</v>
      </c>
      <c r="I67">
        <v>6901143</v>
      </c>
    </row>
    <row r="68" spans="1:9" ht="18" customHeight="1" x14ac:dyDescent="0.4">
      <c r="A68" s="4" t="s">
        <v>257</v>
      </c>
      <c r="B68" s="5" t="s">
        <v>20</v>
      </c>
      <c r="C68" s="6">
        <v>2571.1999999999998</v>
      </c>
      <c r="D68" s="40">
        <v>50.12</v>
      </c>
      <c r="E68" s="39">
        <f t="shared" si="88"/>
        <v>128868.54399999998</v>
      </c>
      <c r="F68" s="39">
        <f t="shared" si="89"/>
        <v>9020.7980799999987</v>
      </c>
      <c r="G68" s="39">
        <f t="shared" si="90"/>
        <v>137889.34207999997</v>
      </c>
      <c r="I68">
        <v>6901212</v>
      </c>
    </row>
    <row r="69" spans="1:9" ht="18" customHeight="1" x14ac:dyDescent="0.4">
      <c r="A69" s="4" t="s">
        <v>192</v>
      </c>
      <c r="B69" s="5" t="s">
        <v>128</v>
      </c>
      <c r="C69" s="6">
        <v>5111.55</v>
      </c>
      <c r="D69" s="40">
        <v>50.12</v>
      </c>
      <c r="E69" s="39">
        <f t="shared" si="88"/>
        <v>256190.886</v>
      </c>
      <c r="F69" s="39">
        <f t="shared" si="89"/>
        <v>17933.36202</v>
      </c>
      <c r="G69" s="39">
        <f t="shared" si="90"/>
        <v>274124.24802</v>
      </c>
      <c r="I69">
        <v>6901038</v>
      </c>
    </row>
    <row r="70" spans="1:9" ht="18" customHeight="1" x14ac:dyDescent="0.4">
      <c r="A70" s="4" t="s">
        <v>192</v>
      </c>
      <c r="B70" s="5" t="s">
        <v>128</v>
      </c>
      <c r="C70" s="6">
        <v>5122.5</v>
      </c>
      <c r="D70" s="40">
        <v>50.12</v>
      </c>
      <c r="E70" s="39">
        <f t="shared" ref="E70" si="97">+C70*D70</f>
        <v>256739.69999999998</v>
      </c>
      <c r="F70" s="39">
        <f t="shared" ref="F70" si="98">+E70*7%</f>
        <v>17971.779000000002</v>
      </c>
      <c r="G70" s="39">
        <f t="shared" ref="G70" si="99">+E70+F70</f>
        <v>274711.47899999999</v>
      </c>
      <c r="I70">
        <v>6901001</v>
      </c>
    </row>
    <row r="71" spans="1:9" ht="18" customHeight="1" x14ac:dyDescent="0.4">
      <c r="A71" s="4" t="s">
        <v>216</v>
      </c>
      <c r="B71" s="5" t="s">
        <v>128</v>
      </c>
      <c r="C71" s="6">
        <v>4415.2</v>
      </c>
      <c r="D71" s="40">
        <v>50.12</v>
      </c>
      <c r="E71" s="39">
        <f t="shared" ref="E71" si="100">+C71*D71</f>
        <v>221289.82399999999</v>
      </c>
      <c r="F71" s="39">
        <f t="shared" ref="F71" si="101">+E71*7%</f>
        <v>15490.287680000001</v>
      </c>
      <c r="G71" s="39">
        <f t="shared" ref="G71" si="102">+E71+F71</f>
        <v>236780.11168</v>
      </c>
      <c r="I71">
        <v>6901081</v>
      </c>
    </row>
    <row r="72" spans="1:9" ht="18" customHeight="1" x14ac:dyDescent="0.4">
      <c r="A72" s="4" t="s">
        <v>199</v>
      </c>
      <c r="B72" s="5" t="s">
        <v>128</v>
      </c>
      <c r="C72" s="6">
        <v>4023.85</v>
      </c>
      <c r="D72" s="40">
        <v>50.12</v>
      </c>
      <c r="E72" s="39">
        <f t="shared" ref="E72" si="103">+C72*D72</f>
        <v>201675.36199999999</v>
      </c>
      <c r="F72" s="39">
        <f t="shared" ref="F72" si="104">+E72*7%</f>
        <v>14117.27534</v>
      </c>
      <c r="G72" s="39">
        <f t="shared" ref="G72" si="105">+E72+F72</f>
        <v>215792.63733999999</v>
      </c>
      <c r="I72">
        <v>6901063</v>
      </c>
    </row>
    <row r="73" spans="1:9" ht="18" customHeight="1" x14ac:dyDescent="0.4">
      <c r="A73" s="4" t="s">
        <v>254</v>
      </c>
      <c r="B73" s="5" t="s">
        <v>128</v>
      </c>
      <c r="C73" s="6">
        <v>5139.95</v>
      </c>
      <c r="D73" s="40">
        <v>50.12</v>
      </c>
      <c r="E73" s="39">
        <f t="shared" ref="E73" si="106">+C73*D73</f>
        <v>257614.29399999997</v>
      </c>
      <c r="F73" s="39">
        <f t="shared" ref="F73" si="107">+E73*7%</f>
        <v>18033.00058</v>
      </c>
      <c r="G73" s="39">
        <f t="shared" ref="G73" si="108">+E73+F73</f>
        <v>275647.29457999999</v>
      </c>
      <c r="I73">
        <v>6901201</v>
      </c>
    </row>
    <row r="74" spans="1:9" ht="18" customHeight="1" x14ac:dyDescent="0.4">
      <c r="A74" s="4" t="s">
        <v>259</v>
      </c>
      <c r="B74" s="5" t="s">
        <v>128</v>
      </c>
      <c r="C74" s="6">
        <v>5114.05</v>
      </c>
      <c r="D74" s="40">
        <v>50.12</v>
      </c>
      <c r="E74" s="39">
        <f t="shared" ref="E74" si="109">+C74*D74</f>
        <v>256316.18599999999</v>
      </c>
      <c r="F74" s="39">
        <f t="shared" ref="F74" si="110">+E74*7%</f>
        <v>17942.133020000001</v>
      </c>
      <c r="G74" s="39">
        <f t="shared" ref="G74" si="111">+E74+F74</f>
        <v>274258.31902</v>
      </c>
      <c r="I74">
        <v>6901227</v>
      </c>
    </row>
    <row r="75" spans="1:9" ht="18" customHeight="1" x14ac:dyDescent="0.4">
      <c r="A75" s="4" t="s">
        <v>264</v>
      </c>
      <c r="B75" s="5" t="s">
        <v>128</v>
      </c>
      <c r="C75" s="6">
        <v>5118.8999999999996</v>
      </c>
      <c r="D75" s="40">
        <v>50.12</v>
      </c>
      <c r="E75" s="39">
        <f t="shared" ref="E75" si="112">+C75*D75</f>
        <v>256559.26799999998</v>
      </c>
      <c r="F75" s="39">
        <f t="shared" ref="F75" si="113">+E75*7%</f>
        <v>17959.14876</v>
      </c>
      <c r="G75" s="39">
        <f t="shared" ref="G75" si="114">+E75+F75</f>
        <v>274518.41675999999</v>
      </c>
      <c r="I75">
        <v>6901247</v>
      </c>
    </row>
    <row r="76" spans="1:9" ht="18" customHeight="1" thickBot="1" x14ac:dyDescent="0.45">
      <c r="A76" s="41"/>
      <c r="B76" s="42" t="s">
        <v>15</v>
      </c>
      <c r="C76" s="43">
        <f>SUM(C59:C75)</f>
        <v>55934.15</v>
      </c>
      <c r="D76" s="38"/>
      <c r="E76" s="44">
        <f>SUM(E59:E75)</f>
        <v>2803419.5980000002</v>
      </c>
      <c r="F76" s="44">
        <f t="shared" ref="F76:G76" si="115">SUM(F59:F75)</f>
        <v>196239.37186000001</v>
      </c>
      <c r="G76" s="44">
        <f t="shared" si="115"/>
        <v>2999658.9698600001</v>
      </c>
    </row>
    <row r="77" spans="1:9" ht="19.5" customHeight="1" thickTop="1" x14ac:dyDescent="0.4">
      <c r="A77" s="45"/>
      <c r="B77" s="46"/>
      <c r="C77" s="47"/>
      <c r="D77" s="48"/>
      <c r="E77" s="47"/>
      <c r="F77" s="47"/>
      <c r="G77" s="47"/>
    </row>
    <row r="78" spans="1:9" s="26" customFormat="1" ht="23.25" x14ac:dyDescent="0.45">
      <c r="A78" s="362" t="s">
        <v>21</v>
      </c>
      <c r="B78" s="362"/>
      <c r="C78" s="362"/>
      <c r="D78" s="362"/>
      <c r="E78" s="362"/>
      <c r="F78" s="362"/>
      <c r="G78" s="362"/>
    </row>
    <row r="79" spans="1:9" s="26" customFormat="1" ht="18" customHeight="1" x14ac:dyDescent="0.45">
      <c r="A79" s="27" t="s">
        <v>2</v>
      </c>
      <c r="B79" s="28" t="s">
        <v>3</v>
      </c>
      <c r="C79" s="28" t="s">
        <v>4</v>
      </c>
      <c r="D79" s="29" t="s">
        <v>5</v>
      </c>
      <c r="E79" s="28" t="s">
        <v>6</v>
      </c>
      <c r="F79" s="28" t="s">
        <v>7</v>
      </c>
      <c r="G79" s="28" t="s">
        <v>8</v>
      </c>
    </row>
    <row r="80" spans="1:9" s="26" customFormat="1" ht="18" customHeight="1" x14ac:dyDescent="0.45">
      <c r="A80" s="4" t="s">
        <v>204</v>
      </c>
      <c r="B80" s="5" t="s">
        <v>22</v>
      </c>
      <c r="C80" s="49">
        <v>3049.8</v>
      </c>
      <c r="D80" s="40">
        <v>50.12</v>
      </c>
      <c r="E80" s="39">
        <f t="shared" ref="E80:E94" si="116">+C80*D80</f>
        <v>152855.976</v>
      </c>
      <c r="F80" s="39">
        <f t="shared" ref="F80:F94" si="117">+E80*7%</f>
        <v>10699.918320000001</v>
      </c>
      <c r="G80" s="39">
        <f t="shared" ref="G80:G94" si="118">+E80+F80</f>
        <v>163555.89431999999</v>
      </c>
      <c r="I80" s="26">
        <v>6901049</v>
      </c>
    </row>
    <row r="81" spans="1:9" s="26" customFormat="1" ht="18" customHeight="1" x14ac:dyDescent="0.45">
      <c r="A81" s="4" t="s">
        <v>275</v>
      </c>
      <c r="B81" s="5" t="s">
        <v>22</v>
      </c>
      <c r="C81" s="49">
        <v>3082.25</v>
      </c>
      <c r="D81" s="40">
        <v>50.12</v>
      </c>
      <c r="E81" s="39">
        <f t="shared" ref="E81" si="119">+C81*D81</f>
        <v>154482.37</v>
      </c>
      <c r="F81" s="39">
        <f t="shared" ref="F81" si="120">+E81*7%</f>
        <v>10813.7659</v>
      </c>
      <c r="G81" s="39">
        <f t="shared" ref="G81" si="121">+E81+F81</f>
        <v>165296.13589999999</v>
      </c>
      <c r="I81" s="26">
        <v>6901312</v>
      </c>
    </row>
    <row r="82" spans="1:9" ht="18" customHeight="1" x14ac:dyDescent="0.4">
      <c r="A82" s="16" t="s">
        <v>199</v>
      </c>
      <c r="B82" s="5" t="s">
        <v>23</v>
      </c>
      <c r="C82" s="37">
        <v>6142.9</v>
      </c>
      <c r="D82" s="38">
        <v>50.12</v>
      </c>
      <c r="E82" s="39">
        <f>+C82*D82</f>
        <v>307882.14799999999</v>
      </c>
      <c r="F82" s="39">
        <f>+E82*7%</f>
        <v>21551.750360000002</v>
      </c>
      <c r="G82" s="39">
        <f>+E82+F82</f>
        <v>329433.89835999999</v>
      </c>
      <c r="I82">
        <v>6901062</v>
      </c>
    </row>
    <row r="83" spans="1:9" s="26" customFormat="1" ht="18" customHeight="1" x14ac:dyDescent="0.45">
      <c r="A83" s="4" t="s">
        <v>237</v>
      </c>
      <c r="B83" s="5" t="s">
        <v>24</v>
      </c>
      <c r="C83" s="49">
        <v>6088.9</v>
      </c>
      <c r="D83" s="40">
        <v>50.12</v>
      </c>
      <c r="E83" s="39">
        <f t="shared" si="116"/>
        <v>305175.66799999995</v>
      </c>
      <c r="F83" s="39">
        <f t="shared" si="117"/>
        <v>21362.296759999997</v>
      </c>
      <c r="G83" s="39">
        <f t="shared" si="118"/>
        <v>326537.96475999994</v>
      </c>
      <c r="I83" s="26">
        <v>6901142</v>
      </c>
    </row>
    <row r="84" spans="1:9" s="26" customFormat="1" ht="18" customHeight="1" x14ac:dyDescent="0.45">
      <c r="A84" s="4" t="s">
        <v>249</v>
      </c>
      <c r="B84" s="5" t="s">
        <v>24</v>
      </c>
      <c r="C84" s="49">
        <v>3049.15</v>
      </c>
      <c r="D84" s="40">
        <v>50.12</v>
      </c>
      <c r="E84" s="39">
        <f t="shared" si="116"/>
        <v>152823.39799999999</v>
      </c>
      <c r="F84" s="39">
        <f t="shared" si="117"/>
        <v>10697.637860000001</v>
      </c>
      <c r="G84" s="39">
        <f t="shared" si="118"/>
        <v>163521.03585999997</v>
      </c>
      <c r="I84" s="26">
        <v>6901183</v>
      </c>
    </row>
    <row r="85" spans="1:9" s="26" customFormat="1" ht="18" customHeight="1" x14ac:dyDescent="0.45">
      <c r="A85" s="4" t="s">
        <v>254</v>
      </c>
      <c r="B85" s="5" t="s">
        <v>24</v>
      </c>
      <c r="C85" s="49">
        <v>6093.5</v>
      </c>
      <c r="D85" s="40">
        <v>50.12</v>
      </c>
      <c r="E85" s="39">
        <f t="shared" si="116"/>
        <v>305406.21999999997</v>
      </c>
      <c r="F85" s="39">
        <f t="shared" si="117"/>
        <v>21378.435399999998</v>
      </c>
      <c r="G85" s="39">
        <f t="shared" si="118"/>
        <v>326784.65539999999</v>
      </c>
      <c r="I85" s="26">
        <v>6901200</v>
      </c>
    </row>
    <row r="86" spans="1:9" s="26" customFormat="1" ht="18" customHeight="1" x14ac:dyDescent="0.45">
      <c r="A86" s="4" t="s">
        <v>261</v>
      </c>
      <c r="B86" s="5" t="s">
        <v>24</v>
      </c>
      <c r="C86" s="49">
        <v>2963.3</v>
      </c>
      <c r="D86" s="40">
        <v>50.12</v>
      </c>
      <c r="E86" s="39">
        <f t="shared" ref="E86" si="122">+C86*D86</f>
        <v>148520.59599999999</v>
      </c>
      <c r="F86" s="39">
        <f t="shared" ref="F86" si="123">+E86*7%</f>
        <v>10396.441720000001</v>
      </c>
      <c r="G86" s="39">
        <f t="shared" ref="G86" si="124">+E86+F86</f>
        <v>158917.03771999999</v>
      </c>
      <c r="I86" s="26">
        <v>6901241</v>
      </c>
    </row>
    <row r="87" spans="1:9" s="26" customFormat="1" ht="18" customHeight="1" x14ac:dyDescent="0.45">
      <c r="A87" s="4" t="s">
        <v>280</v>
      </c>
      <c r="B87" s="5" t="s">
        <v>24</v>
      </c>
      <c r="C87" s="49">
        <v>6149.2</v>
      </c>
      <c r="D87" s="40">
        <v>50.12</v>
      </c>
      <c r="E87" s="39">
        <f t="shared" ref="E87" si="125">+C87*D87</f>
        <v>308197.90399999998</v>
      </c>
      <c r="F87" s="39">
        <f t="shared" ref="F87" si="126">+E87*7%</f>
        <v>21573.853279999999</v>
      </c>
      <c r="G87" s="39">
        <f t="shared" ref="G87" si="127">+E87+F87</f>
        <v>329771.75727999996</v>
      </c>
      <c r="I87" s="26">
        <v>6901317</v>
      </c>
    </row>
    <row r="88" spans="1:9" s="26" customFormat="1" ht="18" customHeight="1" x14ac:dyDescent="0.45">
      <c r="A88" s="4" t="s">
        <v>261</v>
      </c>
      <c r="B88" s="5" t="s">
        <v>263</v>
      </c>
      <c r="C88" s="49">
        <v>2430.4499999999998</v>
      </c>
      <c r="D88" s="40">
        <v>50.12</v>
      </c>
      <c r="E88" s="39">
        <f t="shared" ref="E88" si="128">+C88*D88</f>
        <v>121814.15399999998</v>
      </c>
      <c r="F88" s="39">
        <f t="shared" ref="F88" si="129">+E88*7%</f>
        <v>8526.9907800000001</v>
      </c>
      <c r="G88" s="39">
        <f t="shared" ref="G88" si="130">+E88+F88</f>
        <v>130341.14477999997</v>
      </c>
      <c r="I88" s="26">
        <v>6901242</v>
      </c>
    </row>
    <row r="89" spans="1:9" s="26" customFormat="1" ht="18" customHeight="1" x14ac:dyDescent="0.45">
      <c r="A89" s="4" t="s">
        <v>249</v>
      </c>
      <c r="B89" s="5" t="s">
        <v>252</v>
      </c>
      <c r="C89" s="49">
        <v>2391.2600000000002</v>
      </c>
      <c r="D89" s="40">
        <v>60.12</v>
      </c>
      <c r="E89" s="39">
        <f t="shared" si="116"/>
        <v>143762.55120000002</v>
      </c>
      <c r="F89" s="39">
        <f t="shared" si="117"/>
        <v>10063.378584000002</v>
      </c>
      <c r="G89" s="39">
        <f t="shared" si="118"/>
        <v>153825.92978400001</v>
      </c>
      <c r="I89" s="26">
        <v>6901182</v>
      </c>
    </row>
    <row r="90" spans="1:9" s="26" customFormat="1" ht="18" customHeight="1" x14ac:dyDescent="0.45">
      <c r="A90" s="4" t="s">
        <v>268</v>
      </c>
      <c r="B90" s="5" t="s">
        <v>269</v>
      </c>
      <c r="C90" s="49">
        <v>4640.75</v>
      </c>
      <c r="D90" s="40">
        <v>50.12</v>
      </c>
      <c r="E90" s="39">
        <f t="shared" ref="E90" si="131">+C90*D90</f>
        <v>232594.38999999998</v>
      </c>
      <c r="F90" s="39">
        <f t="shared" ref="F90" si="132">+E90*7%</f>
        <v>16281.6073</v>
      </c>
      <c r="G90" s="39">
        <f t="shared" ref="G90" si="133">+E90+F90</f>
        <v>248875.99729999999</v>
      </c>
      <c r="I90" s="26">
        <v>6901276</v>
      </c>
    </row>
    <row r="91" spans="1:9" s="26" customFormat="1" ht="18" customHeight="1" x14ac:dyDescent="0.45">
      <c r="A91" s="4" t="s">
        <v>275</v>
      </c>
      <c r="B91" s="5" t="s">
        <v>269</v>
      </c>
      <c r="C91" s="49">
        <v>970.22</v>
      </c>
      <c r="D91" s="40">
        <v>50.12</v>
      </c>
      <c r="E91" s="39">
        <f t="shared" ref="E91" si="134">+C91*D91</f>
        <v>48627.426399999997</v>
      </c>
      <c r="F91" s="39">
        <f t="shared" ref="F91" si="135">+E91*7%</f>
        <v>3403.919848</v>
      </c>
      <c r="G91" s="39">
        <f t="shared" ref="G91" si="136">+E91+F91</f>
        <v>52031.346247999994</v>
      </c>
      <c r="I91" s="26">
        <v>6901313</v>
      </c>
    </row>
    <row r="92" spans="1:9" s="26" customFormat="1" ht="18" customHeight="1" x14ac:dyDescent="0.45">
      <c r="A92" s="4" t="s">
        <v>199</v>
      </c>
      <c r="B92" s="5" t="s">
        <v>159</v>
      </c>
      <c r="C92" s="49">
        <v>2822.35</v>
      </c>
      <c r="D92" s="40">
        <v>50.12</v>
      </c>
      <c r="E92" s="39">
        <f t="shared" ref="E92" si="137">+C92*D92</f>
        <v>141456.182</v>
      </c>
      <c r="F92" s="39">
        <f t="shared" ref="F92" si="138">+E92*7%</f>
        <v>9901.9327400000002</v>
      </c>
      <c r="G92" s="39">
        <f t="shared" ref="G92" si="139">+E92+F92</f>
        <v>151358.11473999999</v>
      </c>
      <c r="I92" s="26">
        <v>6901061</v>
      </c>
    </row>
    <row r="93" spans="1:9" s="26" customFormat="1" ht="18" customHeight="1" x14ac:dyDescent="0.45">
      <c r="A93" s="4" t="s">
        <v>204</v>
      </c>
      <c r="B93" s="5" t="s">
        <v>20</v>
      </c>
      <c r="C93" s="50">
        <v>2820.65</v>
      </c>
      <c r="D93" s="40">
        <v>50.12</v>
      </c>
      <c r="E93" s="39">
        <f t="shared" si="116"/>
        <v>141370.978</v>
      </c>
      <c r="F93" s="39">
        <f t="shared" si="117"/>
        <v>9895.9684600000019</v>
      </c>
      <c r="G93" s="39">
        <f t="shared" si="118"/>
        <v>151266.94646000001</v>
      </c>
      <c r="I93" s="26">
        <v>6901050</v>
      </c>
    </row>
    <row r="94" spans="1:9" s="26" customFormat="1" ht="18" customHeight="1" x14ac:dyDescent="0.45">
      <c r="A94" s="4" t="s">
        <v>275</v>
      </c>
      <c r="B94" s="5" t="s">
        <v>20</v>
      </c>
      <c r="C94" s="50">
        <v>3094.55</v>
      </c>
      <c r="D94" s="40">
        <v>50.12</v>
      </c>
      <c r="E94" s="39">
        <f t="shared" si="116"/>
        <v>155098.84599999999</v>
      </c>
      <c r="F94" s="39">
        <f t="shared" si="117"/>
        <v>10856.91922</v>
      </c>
      <c r="G94" s="39">
        <f t="shared" si="118"/>
        <v>165955.76522</v>
      </c>
      <c r="I94" s="26">
        <v>6901311</v>
      </c>
    </row>
    <row r="95" spans="1:9" s="26" customFormat="1" ht="18" customHeight="1" thickBot="1" x14ac:dyDescent="0.5">
      <c r="A95" s="41"/>
      <c r="B95" s="42" t="s">
        <v>15</v>
      </c>
      <c r="C95" s="43">
        <f>SUM(C80:C94)</f>
        <v>55789.23</v>
      </c>
      <c r="D95" s="51"/>
      <c r="E95" s="44">
        <f>SUM(E80:E94)</f>
        <v>2820068.8075999999</v>
      </c>
      <c r="F95" s="44">
        <f t="shared" ref="F95:G95" si="140">SUM(F80:F94)</f>
        <v>197404.816532</v>
      </c>
      <c r="G95" s="44">
        <f t="shared" si="140"/>
        <v>3017473.6241319994</v>
      </c>
    </row>
    <row r="96" spans="1:9" s="26" customFormat="1" ht="15.75" customHeight="1" thickTop="1" x14ac:dyDescent="0.45">
      <c r="A96" s="45"/>
      <c r="B96" s="46"/>
      <c r="C96" s="47"/>
      <c r="D96" s="48"/>
      <c r="E96" s="47"/>
      <c r="F96" s="47"/>
      <c r="G96" s="47"/>
    </row>
    <row r="97" spans="1:9" s="26" customFormat="1" ht="23.25" x14ac:dyDescent="0.45">
      <c r="A97" s="362" t="s">
        <v>25</v>
      </c>
      <c r="B97" s="362"/>
      <c r="C97" s="362"/>
      <c r="D97" s="362"/>
      <c r="E97" s="362"/>
      <c r="F97" s="362"/>
      <c r="G97" s="362"/>
    </row>
    <row r="98" spans="1:9" s="26" customFormat="1" ht="18" customHeight="1" x14ac:dyDescent="0.45">
      <c r="A98" s="27" t="s">
        <v>2</v>
      </c>
      <c r="B98" s="28" t="s">
        <v>3</v>
      </c>
      <c r="C98" s="28" t="s">
        <v>4</v>
      </c>
      <c r="D98" s="29" t="s">
        <v>5</v>
      </c>
      <c r="E98" s="28" t="s">
        <v>6</v>
      </c>
      <c r="F98" s="28" t="s">
        <v>7</v>
      </c>
      <c r="G98" s="28" t="s">
        <v>8</v>
      </c>
    </row>
    <row r="99" spans="1:9" s="30" customFormat="1" ht="18" customHeight="1" x14ac:dyDescent="0.5">
      <c r="A99" s="4" t="s">
        <v>235</v>
      </c>
      <c r="B99" s="5" t="s">
        <v>19</v>
      </c>
      <c r="C99" s="6">
        <v>3742.15</v>
      </c>
      <c r="D99" s="7">
        <v>50.12</v>
      </c>
      <c r="E99" s="39">
        <f t="shared" ref="E99" si="141">+C99*D99</f>
        <v>187556.55799999999</v>
      </c>
      <c r="F99" s="39">
        <f t="shared" ref="F99" si="142">+E99*7%</f>
        <v>13128.959060000001</v>
      </c>
      <c r="G99" s="39">
        <f t="shared" ref="G99" si="143">+E99+F99</f>
        <v>200685.51705999998</v>
      </c>
      <c r="I99" s="30">
        <v>6901130</v>
      </c>
    </row>
    <row r="100" spans="1:9" s="30" customFormat="1" ht="18" customHeight="1" x14ac:dyDescent="0.5">
      <c r="A100" s="4" t="s">
        <v>257</v>
      </c>
      <c r="B100" s="5" t="s">
        <v>19</v>
      </c>
      <c r="C100" s="6">
        <v>6182.6</v>
      </c>
      <c r="D100" s="7">
        <v>50.12</v>
      </c>
      <c r="E100" s="39">
        <f t="shared" ref="E100" si="144">+C100*D100</f>
        <v>309871.91200000001</v>
      </c>
      <c r="F100" s="39">
        <f t="shared" ref="F100" si="145">+E100*7%</f>
        <v>21691.033840000004</v>
      </c>
      <c r="G100" s="39">
        <f t="shared" ref="G100" si="146">+E100+F100</f>
        <v>331562.94584</v>
      </c>
      <c r="I100" s="30">
        <v>6901211</v>
      </c>
    </row>
    <row r="101" spans="1:9" s="30" customFormat="1" ht="18" customHeight="1" x14ac:dyDescent="0.5">
      <c r="A101" s="4" t="s">
        <v>268</v>
      </c>
      <c r="B101" s="5" t="s">
        <v>19</v>
      </c>
      <c r="C101" s="6">
        <v>6086.55</v>
      </c>
      <c r="D101" s="7">
        <v>50.12</v>
      </c>
      <c r="E101" s="39">
        <f t="shared" ref="E101" si="147">+C101*D101</f>
        <v>305057.886</v>
      </c>
      <c r="F101" s="39">
        <f t="shared" ref="F101" si="148">+E101*7%</f>
        <v>21354.052020000003</v>
      </c>
      <c r="G101" s="39">
        <f t="shared" ref="G101" si="149">+E101+F101</f>
        <v>326411.93802</v>
      </c>
      <c r="I101" s="30">
        <v>6901277</v>
      </c>
    </row>
    <row r="102" spans="1:9" s="30" customFormat="1" ht="18" customHeight="1" x14ac:dyDescent="0.5">
      <c r="A102" s="4" t="s">
        <v>277</v>
      </c>
      <c r="B102" s="5" t="s">
        <v>19</v>
      </c>
      <c r="C102" s="6">
        <v>6054.2</v>
      </c>
      <c r="D102" s="7">
        <v>50.12</v>
      </c>
      <c r="E102" s="39">
        <f t="shared" ref="E102" si="150">+C102*D102</f>
        <v>303436.50399999996</v>
      </c>
      <c r="F102" s="39">
        <f t="shared" ref="F102" si="151">+E102*7%</f>
        <v>21240.55528</v>
      </c>
      <c r="G102" s="39">
        <f t="shared" ref="G102" si="152">+E102+F102</f>
        <v>324677.05927999993</v>
      </c>
      <c r="I102" s="30">
        <v>6901290</v>
      </c>
    </row>
    <row r="103" spans="1:9" ht="18" customHeight="1" x14ac:dyDescent="0.4">
      <c r="A103" s="16" t="s">
        <v>229</v>
      </c>
      <c r="B103" s="5" t="s">
        <v>26</v>
      </c>
      <c r="C103" s="37">
        <v>5438.4</v>
      </c>
      <c r="D103" s="38">
        <v>50.12</v>
      </c>
      <c r="E103" s="39">
        <f>+C103*D103</f>
        <v>272572.60799999995</v>
      </c>
      <c r="F103" s="39">
        <f>+E103*7%</f>
        <v>19080.082559999999</v>
      </c>
      <c r="G103" s="39">
        <f>+E103+F103</f>
        <v>291652.69055999996</v>
      </c>
      <c r="I103">
        <v>6901108</v>
      </c>
    </row>
    <row r="104" spans="1:9" s="26" customFormat="1" ht="18" customHeight="1" x14ac:dyDescent="0.45">
      <c r="A104" s="4" t="s">
        <v>213</v>
      </c>
      <c r="B104" s="5" t="s">
        <v>212</v>
      </c>
      <c r="C104" s="6">
        <v>1355.88</v>
      </c>
      <c r="D104" s="7">
        <v>60.12</v>
      </c>
      <c r="E104" s="39">
        <f t="shared" ref="E104" si="153">+C104*D104</f>
        <v>81515.505600000004</v>
      </c>
      <c r="F104" s="39">
        <f t="shared" ref="F104" si="154">+E104*7%</f>
        <v>5706.0853920000009</v>
      </c>
      <c r="G104" s="39">
        <f t="shared" ref="G104" si="155">+E104+F104</f>
        <v>87221.590992000012</v>
      </c>
      <c r="I104" s="26">
        <v>6901105</v>
      </c>
    </row>
    <row r="105" spans="1:9" s="26" customFormat="1" ht="18" customHeight="1" x14ac:dyDescent="0.45">
      <c r="A105" s="4" t="s">
        <v>229</v>
      </c>
      <c r="B105" s="5" t="s">
        <v>212</v>
      </c>
      <c r="C105" s="6">
        <v>3487.99</v>
      </c>
      <c r="D105" s="7">
        <v>60.12</v>
      </c>
      <c r="E105" s="39">
        <f t="shared" ref="E105" si="156">+C105*D105</f>
        <v>209697.95879999996</v>
      </c>
      <c r="F105" s="39">
        <f t="shared" ref="F105" si="157">+E105*7%</f>
        <v>14678.857115999999</v>
      </c>
      <c r="G105" s="39">
        <f t="shared" ref="G105" si="158">+E105+F105</f>
        <v>224376.81591599996</v>
      </c>
      <c r="I105" s="26">
        <v>6901109</v>
      </c>
    </row>
    <row r="106" spans="1:9" s="26" customFormat="1" ht="18" customHeight="1" x14ac:dyDescent="0.45">
      <c r="A106" s="4" t="s">
        <v>235</v>
      </c>
      <c r="B106" s="5" t="s">
        <v>212</v>
      </c>
      <c r="C106" s="6">
        <v>1383.66</v>
      </c>
      <c r="D106" s="7">
        <v>60.12</v>
      </c>
      <c r="E106" s="39">
        <f t="shared" ref="E106" si="159">+C106*D106</f>
        <v>83185.639200000005</v>
      </c>
      <c r="F106" s="39">
        <f t="shared" ref="F106" si="160">+E106*7%</f>
        <v>5822.9947440000005</v>
      </c>
      <c r="G106" s="39">
        <f t="shared" ref="G106" si="161">+E106+F106</f>
        <v>89008.633944000001</v>
      </c>
      <c r="I106" s="26">
        <v>6901131</v>
      </c>
    </row>
    <row r="107" spans="1:9" s="26" customFormat="1" ht="18" customHeight="1" x14ac:dyDescent="0.45">
      <c r="A107" s="4" t="s">
        <v>242</v>
      </c>
      <c r="B107" s="5" t="s">
        <v>212</v>
      </c>
      <c r="C107" s="6">
        <v>614.66</v>
      </c>
      <c r="D107" s="7">
        <v>60.12</v>
      </c>
      <c r="E107" s="39">
        <f t="shared" ref="E107" si="162">+C107*D107</f>
        <v>36953.359199999999</v>
      </c>
      <c r="F107" s="39">
        <f t="shared" ref="F107" si="163">+E107*7%</f>
        <v>2586.7351440000002</v>
      </c>
      <c r="G107" s="39">
        <f t="shared" ref="G107" si="164">+E107+F107</f>
        <v>39540.094343999997</v>
      </c>
      <c r="I107" s="26">
        <v>6901179</v>
      </c>
    </row>
    <row r="108" spans="1:9" s="26" customFormat="1" ht="18" customHeight="1" x14ac:dyDescent="0.45">
      <c r="A108" s="4" t="s">
        <v>280</v>
      </c>
      <c r="B108" s="5" t="s">
        <v>212</v>
      </c>
      <c r="C108" s="6">
        <v>706.77</v>
      </c>
      <c r="D108" s="7">
        <v>60.12</v>
      </c>
      <c r="E108" s="39">
        <f t="shared" ref="E108" si="165">+C108*D108</f>
        <v>42491.0124</v>
      </c>
      <c r="F108" s="39">
        <f t="shared" ref="F108" si="166">+E108*7%</f>
        <v>2974.3708680000004</v>
      </c>
      <c r="G108" s="39">
        <f t="shared" ref="G108" si="167">+E108+F108</f>
        <v>45465.383267999998</v>
      </c>
      <c r="I108" s="26">
        <v>6901318</v>
      </c>
    </row>
    <row r="109" spans="1:9" s="26" customFormat="1" ht="18" customHeight="1" x14ac:dyDescent="0.45">
      <c r="A109" s="4" t="s">
        <v>286</v>
      </c>
      <c r="B109" s="5" t="s">
        <v>212</v>
      </c>
      <c r="C109" s="6">
        <v>461.02</v>
      </c>
      <c r="D109" s="7">
        <v>60.12</v>
      </c>
      <c r="E109" s="39">
        <f t="shared" ref="E109" si="168">+C109*D109</f>
        <v>27716.522399999998</v>
      </c>
      <c r="F109" s="39">
        <f t="shared" ref="F109" si="169">+E109*7%</f>
        <v>1940.1565680000001</v>
      </c>
      <c r="G109" s="39">
        <f t="shared" ref="G109" si="170">+E109+F109</f>
        <v>29656.678967999997</v>
      </c>
      <c r="I109" s="26">
        <v>6901340</v>
      </c>
    </row>
    <row r="110" spans="1:9" s="26" customFormat="1" ht="18" customHeight="1" thickBot="1" x14ac:dyDescent="0.5">
      <c r="A110" s="41"/>
      <c r="B110" s="42" t="s">
        <v>15</v>
      </c>
      <c r="C110" s="43">
        <f>SUM(C99:C109)</f>
        <v>35513.880000000005</v>
      </c>
      <c r="D110" s="38"/>
      <c r="E110" s="44">
        <f>SUM(E99:E109)</f>
        <v>1860055.4655999998</v>
      </c>
      <c r="F110" s="44">
        <f t="shared" ref="F110:G110" si="171">SUM(F99:F109)</f>
        <v>130203.88259200001</v>
      </c>
      <c r="G110" s="44">
        <f t="shared" si="171"/>
        <v>1990259.3481919998</v>
      </c>
    </row>
    <row r="111" spans="1:9" s="26" customFormat="1" ht="18" customHeight="1" thickTop="1" x14ac:dyDescent="0.45">
      <c r="A111" s="52"/>
      <c r="B111" s="53"/>
      <c r="C111" s="54"/>
      <c r="D111" s="55"/>
      <c r="E111" s="56"/>
      <c r="F111" s="56"/>
      <c r="G111" s="56"/>
    </row>
    <row r="112" spans="1:9" ht="23.25" x14ac:dyDescent="0.3">
      <c r="A112" s="359" t="s">
        <v>291</v>
      </c>
      <c r="B112" s="359"/>
      <c r="C112" s="359"/>
      <c r="D112" s="359"/>
      <c r="E112" s="359"/>
      <c r="F112" s="359"/>
      <c r="G112" s="359"/>
    </row>
    <row r="113" spans="1:9" ht="18" customHeight="1" x14ac:dyDescent="0.4">
      <c r="A113" s="57" t="s">
        <v>2</v>
      </c>
      <c r="B113" s="58" t="s">
        <v>3</v>
      </c>
      <c r="C113" s="58" t="s">
        <v>4</v>
      </c>
      <c r="D113" s="59" t="s">
        <v>5</v>
      </c>
      <c r="E113" s="58" t="s">
        <v>6</v>
      </c>
      <c r="F113" s="58" t="s">
        <v>7</v>
      </c>
      <c r="G113" s="58" t="s">
        <v>8</v>
      </c>
    </row>
    <row r="114" spans="1:9" ht="18" customHeight="1" x14ac:dyDescent="0.4">
      <c r="A114" s="16" t="s">
        <v>277</v>
      </c>
      <c r="B114" s="5" t="s">
        <v>128</v>
      </c>
      <c r="C114" s="37">
        <v>4396.2</v>
      </c>
      <c r="D114" s="38">
        <v>52.62</v>
      </c>
      <c r="E114" s="6">
        <f t="shared" ref="E114" si="172">+C114*D114</f>
        <v>231328.04399999997</v>
      </c>
      <c r="F114" s="39">
        <f t="shared" ref="F114" si="173">+E114*7%</f>
        <v>16192.96308</v>
      </c>
      <c r="G114" s="60">
        <f t="shared" ref="G114" si="174">+E114+F114</f>
        <v>247521.00707999995</v>
      </c>
      <c r="I114">
        <v>6901291</v>
      </c>
    </row>
    <row r="115" spans="1:9" s="26" customFormat="1" ht="18" customHeight="1" thickBot="1" x14ac:dyDescent="0.5">
      <c r="A115" s="41"/>
      <c r="B115" s="42" t="s">
        <v>15</v>
      </c>
      <c r="C115" s="43">
        <f>SUM(C114:C114)</f>
        <v>4396.2</v>
      </c>
      <c r="D115" s="38"/>
      <c r="E115" s="44">
        <f>SUM(E114:E114)</f>
        <v>231328.04399999997</v>
      </c>
      <c r="F115" s="44">
        <f t="shared" ref="F115:G115" si="175">SUM(F114:F114)</f>
        <v>16192.96308</v>
      </c>
      <c r="G115" s="44">
        <f t="shared" si="175"/>
        <v>247521.00707999995</v>
      </c>
    </row>
    <row r="116" spans="1:9" s="26" customFormat="1" ht="18" customHeight="1" thickTop="1" x14ac:dyDescent="0.45">
      <c r="A116" s="52"/>
      <c r="B116" s="53"/>
      <c r="C116" s="54"/>
      <c r="D116" s="55"/>
      <c r="E116" s="56"/>
      <c r="F116" s="56"/>
      <c r="G116" s="56"/>
    </row>
    <row r="117" spans="1:9" ht="23.25" x14ac:dyDescent="0.3">
      <c r="A117" s="359" t="s">
        <v>27</v>
      </c>
      <c r="B117" s="359"/>
      <c r="C117" s="359"/>
      <c r="D117" s="359"/>
      <c r="E117" s="359"/>
      <c r="F117" s="359"/>
      <c r="G117" s="359"/>
    </row>
    <row r="118" spans="1:9" ht="18" customHeight="1" x14ac:dyDescent="0.4">
      <c r="A118" s="57" t="s">
        <v>2</v>
      </c>
      <c r="B118" s="58" t="s">
        <v>3</v>
      </c>
      <c r="C118" s="58" t="s">
        <v>4</v>
      </c>
      <c r="D118" s="59" t="s">
        <v>5</v>
      </c>
      <c r="E118" s="58" t="s">
        <v>6</v>
      </c>
      <c r="F118" s="58" t="s">
        <v>7</v>
      </c>
      <c r="G118" s="58" t="s">
        <v>8</v>
      </c>
    </row>
    <row r="119" spans="1:9" ht="18" customHeight="1" x14ac:dyDescent="0.4">
      <c r="A119" s="16" t="s">
        <v>277</v>
      </c>
      <c r="B119" s="5" t="s">
        <v>278</v>
      </c>
      <c r="C119" s="37">
        <v>2254.4</v>
      </c>
      <c r="D119" s="38">
        <v>53.3</v>
      </c>
      <c r="E119" s="6">
        <f t="shared" ref="E119:E149" si="176">+C119*D119</f>
        <v>120159.52</v>
      </c>
      <c r="F119" s="60">
        <f t="shared" ref="F119:F149" si="177">+E119*7%</f>
        <v>8411.1664000000019</v>
      </c>
      <c r="G119" s="60">
        <f t="shared" ref="G119:G149" si="178">+E119+F119</f>
        <v>128570.68640000001</v>
      </c>
      <c r="I119">
        <v>6901293</v>
      </c>
    </row>
    <row r="120" spans="1:9" ht="18" customHeight="1" x14ac:dyDescent="0.4">
      <c r="A120" s="16" t="s">
        <v>280</v>
      </c>
      <c r="B120" s="5" t="s">
        <v>290</v>
      </c>
      <c r="C120" s="37">
        <v>3706.8</v>
      </c>
      <c r="D120" s="38">
        <v>53.3</v>
      </c>
      <c r="E120" s="6">
        <f t="shared" ref="E120" si="179">+C120*D120</f>
        <v>197572.44</v>
      </c>
      <c r="F120" s="60">
        <f t="shared" ref="F120" si="180">+E120*7%</f>
        <v>13830.070800000001</v>
      </c>
      <c r="G120" s="60">
        <f t="shared" ref="G120" si="181">+E120+F120</f>
        <v>211402.51079999999</v>
      </c>
      <c r="I120">
        <v>6901336</v>
      </c>
    </row>
    <row r="121" spans="1:9" ht="18" customHeight="1" x14ac:dyDescent="0.4">
      <c r="A121" s="16" t="s">
        <v>187</v>
      </c>
      <c r="B121" s="5" t="s">
        <v>28</v>
      </c>
      <c r="C121" s="37">
        <v>2549.4499999999998</v>
      </c>
      <c r="D121" s="38">
        <v>53.3</v>
      </c>
      <c r="E121" s="6">
        <f t="shared" ref="E121" si="182">+C121*D121</f>
        <v>135885.68499999997</v>
      </c>
      <c r="F121" s="60">
        <f t="shared" ref="F121" si="183">+E121*7%</f>
        <v>9511.997949999999</v>
      </c>
      <c r="G121" s="60">
        <f t="shared" ref="G121" si="184">+E121+F121</f>
        <v>145397.68294999996</v>
      </c>
      <c r="I121">
        <v>6901044</v>
      </c>
    </row>
    <row r="122" spans="1:9" ht="18" customHeight="1" x14ac:dyDescent="0.4">
      <c r="A122" s="16" t="s">
        <v>256</v>
      </c>
      <c r="B122" s="5" t="s">
        <v>28</v>
      </c>
      <c r="C122" s="37">
        <v>2932.1</v>
      </c>
      <c r="D122" s="38">
        <v>53.3</v>
      </c>
      <c r="E122" s="6">
        <f t="shared" si="176"/>
        <v>156280.93</v>
      </c>
      <c r="F122" s="60">
        <f t="shared" si="177"/>
        <v>10939.6651</v>
      </c>
      <c r="G122" s="60">
        <f t="shared" si="178"/>
        <v>167220.59510000001</v>
      </c>
      <c r="I122">
        <v>6901199</v>
      </c>
    </row>
    <row r="123" spans="1:9" ht="18" customHeight="1" x14ac:dyDescent="0.4">
      <c r="A123" s="16" t="s">
        <v>280</v>
      </c>
      <c r="B123" s="5" t="s">
        <v>184</v>
      </c>
      <c r="C123" s="37">
        <v>2906.4</v>
      </c>
      <c r="D123" s="38">
        <v>53.3</v>
      </c>
      <c r="E123" s="6">
        <f t="shared" ref="E123" si="185">+C123*D123</f>
        <v>154911.12</v>
      </c>
      <c r="F123" s="60">
        <f t="shared" ref="F123" si="186">+E123*7%</f>
        <v>10843.778400000001</v>
      </c>
      <c r="G123" s="60">
        <f t="shared" ref="G123" si="187">+E123+F123</f>
        <v>165754.89840000001</v>
      </c>
      <c r="I123">
        <v>6901337</v>
      </c>
    </row>
    <row r="124" spans="1:9" ht="18" customHeight="1" x14ac:dyDescent="0.4">
      <c r="A124" s="16" t="s">
        <v>237</v>
      </c>
      <c r="B124" s="5" t="s">
        <v>184</v>
      </c>
      <c r="C124" s="37">
        <v>3456.85</v>
      </c>
      <c r="D124" s="38">
        <v>53.3</v>
      </c>
      <c r="E124" s="6">
        <f t="shared" ref="E124" si="188">+C124*D124</f>
        <v>184250.10499999998</v>
      </c>
      <c r="F124" s="60">
        <f t="shared" ref="F124" si="189">+E124*7%</f>
        <v>12897.50735</v>
      </c>
      <c r="G124" s="60">
        <f t="shared" ref="G124" si="190">+E124+F124</f>
        <v>197147.61234999998</v>
      </c>
      <c r="I124">
        <v>6901156</v>
      </c>
    </row>
    <row r="125" spans="1:9" ht="18" customHeight="1" x14ac:dyDescent="0.4">
      <c r="A125" s="16" t="s">
        <v>192</v>
      </c>
      <c r="B125" s="5" t="s">
        <v>29</v>
      </c>
      <c r="C125" s="37">
        <v>6590.25</v>
      </c>
      <c r="D125" s="38">
        <v>53.3</v>
      </c>
      <c r="E125" s="6">
        <f t="shared" si="176"/>
        <v>351260.32499999995</v>
      </c>
      <c r="F125" s="60">
        <f t="shared" si="177"/>
        <v>24588.222750000001</v>
      </c>
      <c r="G125" s="60">
        <f t="shared" si="178"/>
        <v>375848.54774999997</v>
      </c>
      <c r="I125">
        <v>6901020</v>
      </c>
    </row>
    <row r="126" spans="1:9" ht="18" customHeight="1" x14ac:dyDescent="0.4">
      <c r="A126" s="16" t="s">
        <v>204</v>
      </c>
      <c r="B126" s="5" t="s">
        <v>29</v>
      </c>
      <c r="C126" s="37">
        <v>1254.6500000000001</v>
      </c>
      <c r="D126" s="38">
        <v>53.3</v>
      </c>
      <c r="E126" s="6">
        <f t="shared" si="176"/>
        <v>66872.845000000001</v>
      </c>
      <c r="F126" s="60">
        <f t="shared" si="177"/>
        <v>4681.0991500000009</v>
      </c>
      <c r="G126" s="60">
        <f t="shared" si="178"/>
        <v>71553.944149999996</v>
      </c>
      <c r="I126">
        <v>6901044</v>
      </c>
    </row>
    <row r="127" spans="1:9" ht="18" customHeight="1" x14ac:dyDescent="0.4">
      <c r="A127" s="16" t="s">
        <v>232</v>
      </c>
      <c r="B127" s="5" t="s">
        <v>29</v>
      </c>
      <c r="C127" s="37">
        <v>814.75</v>
      </c>
      <c r="D127" s="38">
        <v>53.3</v>
      </c>
      <c r="E127" s="6">
        <f t="shared" si="176"/>
        <v>43426.174999999996</v>
      </c>
      <c r="F127" s="60">
        <f t="shared" si="177"/>
        <v>3039.8322499999999</v>
      </c>
      <c r="G127" s="60">
        <f t="shared" si="178"/>
        <v>46466.007249999995</v>
      </c>
      <c r="I127">
        <v>6901107</v>
      </c>
    </row>
    <row r="128" spans="1:9" ht="18" customHeight="1" x14ac:dyDescent="0.4">
      <c r="A128" s="16" t="s">
        <v>229</v>
      </c>
      <c r="B128" s="5" t="s">
        <v>29</v>
      </c>
      <c r="C128" s="37">
        <v>4453.05</v>
      </c>
      <c r="D128" s="38">
        <v>53.3</v>
      </c>
      <c r="E128" s="6">
        <f>+C128*D128</f>
        <v>237347.565</v>
      </c>
      <c r="F128" s="60">
        <f>+E128*7%</f>
        <v>16614.329550000002</v>
      </c>
      <c r="G128" s="60">
        <f>+E128+F128</f>
        <v>253961.89455</v>
      </c>
      <c r="I128">
        <v>6901128</v>
      </c>
    </row>
    <row r="129" spans="1:9" ht="18" customHeight="1" x14ac:dyDescent="0.4">
      <c r="A129" s="16" t="s">
        <v>237</v>
      </c>
      <c r="B129" s="5" t="s">
        <v>29</v>
      </c>
      <c r="C129" s="37">
        <v>822.05</v>
      </c>
      <c r="D129" s="38">
        <v>53.3</v>
      </c>
      <c r="E129" s="6">
        <f>+C129*D129</f>
        <v>43815.264999999992</v>
      </c>
      <c r="F129" s="60">
        <f>+E129*7%</f>
        <v>3067.06855</v>
      </c>
      <c r="G129" s="60">
        <f>+E129+F129</f>
        <v>46882.333549999996</v>
      </c>
      <c r="I129">
        <v>6901157</v>
      </c>
    </row>
    <row r="130" spans="1:9" ht="18" customHeight="1" x14ac:dyDescent="0.4">
      <c r="A130" s="16" t="s">
        <v>242</v>
      </c>
      <c r="B130" s="5" t="s">
        <v>29</v>
      </c>
      <c r="C130" s="37">
        <v>4121.5</v>
      </c>
      <c r="D130" s="38">
        <v>53.3</v>
      </c>
      <c r="E130" s="6">
        <f>+C130*D130</f>
        <v>219675.94999999998</v>
      </c>
      <c r="F130" s="60">
        <f>+E130*7%</f>
        <v>15377.316500000001</v>
      </c>
      <c r="G130" s="60">
        <f>+E130+F130</f>
        <v>235053.26649999997</v>
      </c>
      <c r="I130">
        <v>6901181</v>
      </c>
    </row>
    <row r="131" spans="1:9" ht="18" customHeight="1" x14ac:dyDescent="0.4">
      <c r="A131" s="16" t="s">
        <v>256</v>
      </c>
      <c r="B131" s="5" t="s">
        <v>29</v>
      </c>
      <c r="C131" s="37">
        <v>1636.35</v>
      </c>
      <c r="D131" s="38">
        <v>53.3</v>
      </c>
      <c r="E131" s="6">
        <f>+C131*D131</f>
        <v>87217.454999999987</v>
      </c>
      <c r="F131" s="60">
        <f>+E131*7%</f>
        <v>6105.2218499999999</v>
      </c>
      <c r="G131" s="60">
        <f>+E131+F131</f>
        <v>93322.676849999989</v>
      </c>
      <c r="I131">
        <v>6901199</v>
      </c>
    </row>
    <row r="132" spans="1:9" ht="18" customHeight="1" x14ac:dyDescent="0.4">
      <c r="A132" s="16" t="s">
        <v>273</v>
      </c>
      <c r="B132" s="5" t="s">
        <v>29</v>
      </c>
      <c r="C132" s="37">
        <v>6534.65</v>
      </c>
      <c r="D132" s="38">
        <v>53.3</v>
      </c>
      <c r="E132" s="6">
        <f t="shared" si="176"/>
        <v>348296.84499999997</v>
      </c>
      <c r="F132" s="60">
        <f t="shared" si="177"/>
        <v>24380.779150000002</v>
      </c>
      <c r="G132" s="60">
        <f t="shared" si="178"/>
        <v>372677.62414999999</v>
      </c>
      <c r="I132">
        <v>6901260</v>
      </c>
    </row>
    <row r="133" spans="1:9" ht="18" customHeight="1" x14ac:dyDescent="0.4">
      <c r="A133" s="16" t="s">
        <v>192</v>
      </c>
      <c r="B133" s="5" t="s">
        <v>173</v>
      </c>
      <c r="C133" s="37">
        <v>3070.6</v>
      </c>
      <c r="D133" s="38">
        <v>53.3</v>
      </c>
      <c r="E133" s="6">
        <f t="shared" ref="E133:E141" si="191">+C133*D133</f>
        <v>163662.97999999998</v>
      </c>
      <c r="F133" s="60">
        <f t="shared" ref="F133:F141" si="192">+E133*7%</f>
        <v>11456.408600000001</v>
      </c>
      <c r="G133" s="60">
        <f t="shared" ref="G133:G141" si="193">+E133+F133</f>
        <v>175119.38859999998</v>
      </c>
      <c r="I133">
        <v>6901021</v>
      </c>
    </row>
    <row r="134" spans="1:9" ht="18" customHeight="1" x14ac:dyDescent="0.4">
      <c r="A134" s="16" t="s">
        <v>204</v>
      </c>
      <c r="B134" s="5" t="s">
        <v>173</v>
      </c>
      <c r="C134" s="37">
        <v>2478.2399999999998</v>
      </c>
      <c r="D134" s="38">
        <v>53.3</v>
      </c>
      <c r="E134" s="6">
        <f t="shared" si="191"/>
        <v>132090.19199999998</v>
      </c>
      <c r="F134" s="60">
        <f t="shared" si="192"/>
        <v>9246.3134399999999</v>
      </c>
      <c r="G134" s="60">
        <f t="shared" si="193"/>
        <v>141336.50543999998</v>
      </c>
      <c r="I134">
        <v>6901046</v>
      </c>
    </row>
    <row r="135" spans="1:9" ht="18" customHeight="1" x14ac:dyDescent="0.4">
      <c r="A135" s="16" t="s">
        <v>204</v>
      </c>
      <c r="B135" s="5" t="s">
        <v>173</v>
      </c>
      <c r="C135" s="37">
        <v>841.08</v>
      </c>
      <c r="D135" s="38">
        <v>53.3</v>
      </c>
      <c r="E135" s="6">
        <f t="shared" si="191"/>
        <v>44829.563999999998</v>
      </c>
      <c r="F135" s="60">
        <f t="shared" si="192"/>
        <v>3138.0694800000001</v>
      </c>
      <c r="G135" s="60">
        <f t="shared" si="193"/>
        <v>47967.633479999997</v>
      </c>
      <c r="I135">
        <v>6901044</v>
      </c>
    </row>
    <row r="136" spans="1:9" ht="18" customHeight="1" x14ac:dyDescent="0.4">
      <c r="A136" s="16" t="s">
        <v>232</v>
      </c>
      <c r="B136" s="5" t="s">
        <v>173</v>
      </c>
      <c r="C136" s="37">
        <v>6043.95</v>
      </c>
      <c r="D136" s="38">
        <v>53.3</v>
      </c>
      <c r="E136" s="6">
        <f t="shared" si="191"/>
        <v>322142.53499999997</v>
      </c>
      <c r="F136" s="60">
        <f t="shared" si="192"/>
        <v>22549.977450000002</v>
      </c>
      <c r="G136" s="60">
        <f t="shared" si="193"/>
        <v>344692.51244999998</v>
      </c>
      <c r="I136">
        <v>6901107</v>
      </c>
    </row>
    <row r="137" spans="1:9" ht="18" customHeight="1" x14ac:dyDescent="0.4">
      <c r="A137" s="16" t="s">
        <v>261</v>
      </c>
      <c r="B137" s="5" t="s">
        <v>173</v>
      </c>
      <c r="C137" s="37">
        <v>2430.94</v>
      </c>
      <c r="D137" s="38">
        <v>53.3</v>
      </c>
      <c r="E137" s="6">
        <f t="shared" ref="E137" si="194">+C137*D137</f>
        <v>129569.102</v>
      </c>
      <c r="F137" s="60">
        <f t="shared" ref="F137" si="195">+E137*7%</f>
        <v>9069.8371400000015</v>
      </c>
      <c r="G137" s="60">
        <f t="shared" ref="G137" si="196">+E137+F137</f>
        <v>138638.93914</v>
      </c>
      <c r="I137">
        <v>6901246</v>
      </c>
    </row>
    <row r="138" spans="1:9" ht="18" customHeight="1" x14ac:dyDescent="0.4">
      <c r="A138" s="16" t="s">
        <v>273</v>
      </c>
      <c r="B138" s="5" t="s">
        <v>173</v>
      </c>
      <c r="C138" s="37">
        <v>785.28</v>
      </c>
      <c r="D138" s="38">
        <v>53.3</v>
      </c>
      <c r="E138" s="6">
        <f t="shared" ref="E138" si="197">+C138*D138</f>
        <v>41855.423999999999</v>
      </c>
      <c r="F138" s="60">
        <f t="shared" ref="F138" si="198">+E138*7%</f>
        <v>2929.87968</v>
      </c>
      <c r="G138" s="60">
        <f t="shared" ref="G138" si="199">+E138+F138</f>
        <v>44785.303679999997</v>
      </c>
      <c r="I138">
        <v>6901260</v>
      </c>
    </row>
    <row r="139" spans="1:9" ht="18" customHeight="1" x14ac:dyDescent="0.4">
      <c r="A139" s="16" t="s">
        <v>277</v>
      </c>
      <c r="B139" s="5" t="s">
        <v>173</v>
      </c>
      <c r="C139" s="37">
        <v>3623.46</v>
      </c>
      <c r="D139" s="38">
        <v>53.3</v>
      </c>
      <c r="E139" s="6">
        <f t="shared" ref="E139" si="200">+C139*D139</f>
        <v>193130.41800000001</v>
      </c>
      <c r="F139" s="60">
        <f t="shared" ref="F139" si="201">+E139*7%</f>
        <v>13519.129260000002</v>
      </c>
      <c r="G139" s="60">
        <f t="shared" ref="G139" si="202">+E139+F139</f>
        <v>206649.54726000002</v>
      </c>
      <c r="I139">
        <v>6901292</v>
      </c>
    </row>
    <row r="140" spans="1:9" ht="18" customHeight="1" x14ac:dyDescent="0.4">
      <c r="A140" s="16" t="s">
        <v>256</v>
      </c>
      <c r="B140" s="5" t="s">
        <v>183</v>
      </c>
      <c r="C140" s="37">
        <v>1929.29</v>
      </c>
      <c r="D140" s="38">
        <v>63.3</v>
      </c>
      <c r="E140" s="6">
        <f t="shared" si="191"/>
        <v>122124.05699999999</v>
      </c>
      <c r="F140" s="60">
        <f t="shared" si="192"/>
        <v>8548.6839899999995</v>
      </c>
      <c r="G140" s="60">
        <f t="shared" si="193"/>
        <v>130672.74098999999</v>
      </c>
      <c r="I140">
        <v>6901198</v>
      </c>
    </row>
    <row r="141" spans="1:9" ht="18" customHeight="1" x14ac:dyDescent="0.4">
      <c r="A141" s="16" t="s">
        <v>187</v>
      </c>
      <c r="B141" s="5" t="s">
        <v>183</v>
      </c>
      <c r="C141" s="37">
        <v>1037.6500000000001</v>
      </c>
      <c r="D141" s="38">
        <v>70.23</v>
      </c>
      <c r="E141" s="6">
        <f t="shared" si="191"/>
        <v>72874.159500000009</v>
      </c>
      <c r="F141" s="60">
        <f t="shared" si="192"/>
        <v>5101.1911650000011</v>
      </c>
      <c r="G141" s="60">
        <f t="shared" si="193"/>
        <v>77975.350665000005</v>
      </c>
      <c r="I141">
        <v>6901043</v>
      </c>
    </row>
    <row r="142" spans="1:9" ht="18" customHeight="1" x14ac:dyDescent="0.4">
      <c r="A142" s="16" t="s">
        <v>187</v>
      </c>
      <c r="B142" s="5" t="s">
        <v>30</v>
      </c>
      <c r="C142" s="37">
        <v>2990.9</v>
      </c>
      <c r="D142" s="38">
        <v>53.3</v>
      </c>
      <c r="E142" s="6">
        <f t="shared" si="176"/>
        <v>159414.97</v>
      </c>
      <c r="F142" s="60">
        <f t="shared" si="177"/>
        <v>11159.047900000001</v>
      </c>
      <c r="G142" s="60">
        <f t="shared" si="178"/>
        <v>170574.01790000001</v>
      </c>
      <c r="I142">
        <v>6901042</v>
      </c>
    </row>
    <row r="143" spans="1:9" ht="18" customHeight="1" x14ac:dyDescent="0.4">
      <c r="A143" s="16" t="s">
        <v>229</v>
      </c>
      <c r="B143" s="5" t="s">
        <v>30</v>
      </c>
      <c r="C143" s="37">
        <v>3291.7</v>
      </c>
      <c r="D143" s="38">
        <v>53.3</v>
      </c>
      <c r="E143" s="6">
        <f t="shared" si="176"/>
        <v>175447.61</v>
      </c>
      <c r="F143" s="60">
        <f t="shared" si="177"/>
        <v>12281.332700000001</v>
      </c>
      <c r="G143" s="60">
        <f t="shared" si="178"/>
        <v>187728.94269999999</v>
      </c>
      <c r="I143">
        <v>6901128</v>
      </c>
    </row>
    <row r="144" spans="1:9" ht="18" customHeight="1" x14ac:dyDescent="0.4">
      <c r="A144" s="16" t="s">
        <v>257</v>
      </c>
      <c r="B144" s="5" t="s">
        <v>30</v>
      </c>
      <c r="C144" s="37">
        <v>3290.25</v>
      </c>
      <c r="D144" s="38">
        <v>53.3</v>
      </c>
      <c r="E144" s="6">
        <f t="shared" si="176"/>
        <v>175370.32499999998</v>
      </c>
      <c r="F144" s="60">
        <f t="shared" si="177"/>
        <v>12275.92275</v>
      </c>
      <c r="G144" s="60">
        <f t="shared" si="178"/>
        <v>187646.24774999998</v>
      </c>
      <c r="I144">
        <v>6901222</v>
      </c>
    </row>
    <row r="145" spans="1:10" ht="18" customHeight="1" x14ac:dyDescent="0.4">
      <c r="A145" s="16" t="s">
        <v>192</v>
      </c>
      <c r="B145" s="5" t="s">
        <v>31</v>
      </c>
      <c r="C145" s="37">
        <v>2662.75</v>
      </c>
      <c r="D145" s="38">
        <v>53.3</v>
      </c>
      <c r="E145" s="6">
        <f t="shared" si="176"/>
        <v>141924.57499999998</v>
      </c>
      <c r="F145" s="60">
        <f t="shared" si="177"/>
        <v>9934.7202500000003</v>
      </c>
      <c r="G145" s="60">
        <f t="shared" si="178"/>
        <v>151859.29525</v>
      </c>
      <c r="I145">
        <v>6901022</v>
      </c>
      <c r="J145" t="s">
        <v>211</v>
      </c>
    </row>
    <row r="146" spans="1:10" ht="18" customHeight="1" x14ac:dyDescent="0.4">
      <c r="A146" s="16" t="s">
        <v>192</v>
      </c>
      <c r="B146" s="5" t="s">
        <v>31</v>
      </c>
      <c r="C146" s="37">
        <v>302.89999999999998</v>
      </c>
      <c r="D146" s="38">
        <v>53.3</v>
      </c>
      <c r="E146" s="6">
        <f>+C146*D146</f>
        <v>16144.569999999998</v>
      </c>
      <c r="F146" s="60">
        <f>+E146*7%</f>
        <v>1130.1198999999999</v>
      </c>
      <c r="G146" s="60">
        <f>+E146+F146</f>
        <v>17274.689899999998</v>
      </c>
      <c r="I146">
        <v>6901020</v>
      </c>
    </row>
    <row r="147" spans="1:10" ht="18" customHeight="1" x14ac:dyDescent="0.4">
      <c r="A147" s="16" t="s">
        <v>204</v>
      </c>
      <c r="B147" s="5" t="s">
        <v>31</v>
      </c>
      <c r="C147" s="37">
        <v>2933.05</v>
      </c>
      <c r="D147" s="38">
        <v>53.3</v>
      </c>
      <c r="E147" s="6">
        <f t="shared" si="176"/>
        <v>156331.565</v>
      </c>
      <c r="F147" s="60">
        <f t="shared" si="177"/>
        <v>10943.209550000001</v>
      </c>
      <c r="G147" s="60">
        <f t="shared" si="178"/>
        <v>167274.77455</v>
      </c>
      <c r="I147">
        <v>6901046</v>
      </c>
    </row>
    <row r="148" spans="1:10" ht="18" customHeight="1" x14ac:dyDescent="0.4">
      <c r="A148" s="16" t="s">
        <v>237</v>
      </c>
      <c r="B148" s="5" t="s">
        <v>31</v>
      </c>
      <c r="C148" s="37">
        <v>1376.05</v>
      </c>
      <c r="D148" s="38">
        <v>53.3</v>
      </c>
      <c r="E148" s="6">
        <f t="shared" si="176"/>
        <v>73343.464999999997</v>
      </c>
      <c r="F148" s="60">
        <f t="shared" si="177"/>
        <v>5134.0425500000001</v>
      </c>
      <c r="G148" s="60">
        <f t="shared" si="178"/>
        <v>78477.507549999995</v>
      </c>
      <c r="I148">
        <v>6901157</v>
      </c>
    </row>
    <row r="149" spans="1:10" ht="18" customHeight="1" x14ac:dyDescent="0.4">
      <c r="A149" s="16" t="s">
        <v>242</v>
      </c>
      <c r="B149" s="5" t="s">
        <v>31</v>
      </c>
      <c r="C149" s="37">
        <v>1670.95</v>
      </c>
      <c r="D149" s="38">
        <v>53.3</v>
      </c>
      <c r="E149" s="6">
        <f t="shared" si="176"/>
        <v>89061.634999999995</v>
      </c>
      <c r="F149" s="60">
        <f t="shared" si="177"/>
        <v>6234.3144499999999</v>
      </c>
      <c r="G149" s="60">
        <f t="shared" si="178"/>
        <v>95295.94945</v>
      </c>
      <c r="I149">
        <v>6901181</v>
      </c>
    </row>
    <row r="150" spans="1:10" ht="18" customHeight="1" x14ac:dyDescent="0.4">
      <c r="A150" s="16" t="s">
        <v>257</v>
      </c>
      <c r="B150" s="5" t="s">
        <v>31</v>
      </c>
      <c r="C150" s="37">
        <v>2751.05</v>
      </c>
      <c r="D150" s="38">
        <v>53.3</v>
      </c>
      <c r="E150" s="6">
        <f>+C150*D150</f>
        <v>146630.965</v>
      </c>
      <c r="F150" s="60">
        <f>+E150*7%</f>
        <v>10264.16755</v>
      </c>
      <c r="G150" s="60">
        <f>+E150+F150</f>
        <v>156895.13255000001</v>
      </c>
      <c r="I150">
        <v>6901222</v>
      </c>
    </row>
    <row r="151" spans="1:10" ht="18" customHeight="1" x14ac:dyDescent="0.4">
      <c r="A151" s="16" t="s">
        <v>261</v>
      </c>
      <c r="B151" s="5" t="s">
        <v>31</v>
      </c>
      <c r="C151" s="37">
        <v>3075.55</v>
      </c>
      <c r="D151" s="38">
        <v>53.3</v>
      </c>
      <c r="E151" s="6">
        <f>+C151*D151</f>
        <v>163926.815</v>
      </c>
      <c r="F151" s="60">
        <f>+E151*7%</f>
        <v>11474.877050000001</v>
      </c>
      <c r="G151" s="60">
        <f>+E151+F151</f>
        <v>175401.69205000001</v>
      </c>
      <c r="I151">
        <v>6901246</v>
      </c>
    </row>
    <row r="152" spans="1:10" ht="18" customHeight="1" x14ac:dyDescent="0.4">
      <c r="A152" s="16" t="s">
        <v>187</v>
      </c>
      <c r="B152" s="5" t="s">
        <v>210</v>
      </c>
      <c r="C152" s="37">
        <v>2798.15</v>
      </c>
      <c r="D152" s="38">
        <v>53.3</v>
      </c>
      <c r="E152" s="6">
        <f t="shared" ref="E152" si="203">+C152*D152</f>
        <v>149141.39499999999</v>
      </c>
      <c r="F152" s="60">
        <f t="shared" ref="F152" si="204">+E152*7%</f>
        <v>10439.897650000001</v>
      </c>
      <c r="G152" s="60">
        <f t="shared" ref="G152" si="205">+E152+F152</f>
        <v>159581.29264999999</v>
      </c>
      <c r="I152">
        <v>6901042</v>
      </c>
    </row>
    <row r="153" spans="1:10" ht="18" customHeight="1" x14ac:dyDescent="0.4">
      <c r="A153" s="16" t="s">
        <v>237</v>
      </c>
      <c r="B153" s="5" t="s">
        <v>210</v>
      </c>
      <c r="C153" s="37">
        <v>210.65</v>
      </c>
      <c r="D153" s="38">
        <v>53.3</v>
      </c>
      <c r="E153" s="6">
        <f t="shared" ref="E153" si="206">+C153*D153</f>
        <v>11227.645</v>
      </c>
      <c r="F153" s="60">
        <f t="shared" ref="F153" si="207">+E153*7%</f>
        <v>785.93515000000014</v>
      </c>
      <c r="G153" s="60">
        <f t="shared" ref="G153" si="208">+E153+F153</f>
        <v>12013.58015</v>
      </c>
      <c r="I153">
        <v>6901156</v>
      </c>
    </row>
    <row r="154" spans="1:10" ht="18" customHeight="1" thickBot="1" x14ac:dyDescent="0.35">
      <c r="A154" s="61"/>
      <c r="B154" s="17" t="s">
        <v>15</v>
      </c>
      <c r="C154" s="18">
        <f>SUM(C119:C153)</f>
        <v>93627.689999999973</v>
      </c>
      <c r="D154" s="19"/>
      <c r="E154" s="20">
        <f>SUM(E119:E153)</f>
        <v>5027216.1914999997</v>
      </c>
      <c r="F154" s="20">
        <f t="shared" ref="F154:G154" si="209">SUM(F119:F153)</f>
        <v>351905.13340500009</v>
      </c>
      <c r="G154" s="20">
        <f t="shared" si="209"/>
        <v>5379121.3249049997</v>
      </c>
    </row>
    <row r="155" spans="1:10" ht="21.75" customHeight="1" thickTop="1" x14ac:dyDescent="0.4">
      <c r="A155" s="21"/>
      <c r="B155" s="22"/>
      <c r="C155" s="23"/>
      <c r="D155" s="24"/>
      <c r="E155" s="63"/>
      <c r="F155" s="63"/>
      <c r="G155" s="25"/>
    </row>
    <row r="156" spans="1:10" ht="23.25" x14ac:dyDescent="0.3">
      <c r="A156" s="359" t="s">
        <v>32</v>
      </c>
      <c r="B156" s="359"/>
      <c r="C156" s="359"/>
      <c r="D156" s="359"/>
      <c r="E156" s="359"/>
      <c r="F156" s="359"/>
      <c r="G156" s="359"/>
    </row>
    <row r="157" spans="1:10" ht="18" customHeight="1" x14ac:dyDescent="0.4">
      <c r="A157" s="57" t="s">
        <v>2</v>
      </c>
      <c r="B157" s="58" t="s">
        <v>3</v>
      </c>
      <c r="C157" s="58" t="s">
        <v>4</v>
      </c>
      <c r="D157" s="64" t="s">
        <v>5</v>
      </c>
      <c r="E157" s="58" t="s">
        <v>6</v>
      </c>
      <c r="F157" s="58" t="s">
        <v>7</v>
      </c>
      <c r="G157" s="58" t="s">
        <v>8</v>
      </c>
    </row>
    <row r="158" spans="1:10" ht="18" customHeight="1" x14ac:dyDescent="0.4">
      <c r="A158" s="4" t="s">
        <v>216</v>
      </c>
      <c r="B158" s="5" t="s">
        <v>224</v>
      </c>
      <c r="C158" s="37">
        <v>393.4</v>
      </c>
      <c r="D158" s="38">
        <v>56</v>
      </c>
      <c r="E158" s="6">
        <f t="shared" ref="E158:E224" si="210">+C158*D158</f>
        <v>22030.399999999998</v>
      </c>
      <c r="F158" s="6">
        <f t="shared" ref="F158:F224" si="211">+E158*7%</f>
        <v>1542.1279999999999</v>
      </c>
      <c r="G158" s="6">
        <f t="shared" ref="G158:G224" si="212">+E158+F158</f>
        <v>23572.527999999998</v>
      </c>
      <c r="I158">
        <v>6901087</v>
      </c>
    </row>
    <row r="159" spans="1:10" ht="18" customHeight="1" x14ac:dyDescent="0.4">
      <c r="A159" s="4" t="s">
        <v>277</v>
      </c>
      <c r="B159" s="5" t="s">
        <v>224</v>
      </c>
      <c r="C159" s="37">
        <v>459.4</v>
      </c>
      <c r="D159" s="38">
        <v>56</v>
      </c>
      <c r="E159" s="6">
        <f t="shared" ref="E159" si="213">+C159*D159</f>
        <v>25726.399999999998</v>
      </c>
      <c r="F159" s="6">
        <f t="shared" ref="F159" si="214">+E159*7%</f>
        <v>1800.848</v>
      </c>
      <c r="G159" s="6">
        <f t="shared" ref="G159" si="215">+E159+F159</f>
        <v>27527.248</v>
      </c>
      <c r="I159">
        <v>6901286</v>
      </c>
    </row>
    <row r="160" spans="1:10" ht="18" customHeight="1" x14ac:dyDescent="0.4">
      <c r="A160" s="4" t="s">
        <v>286</v>
      </c>
      <c r="B160" s="5" t="s">
        <v>130</v>
      </c>
      <c r="C160" s="37">
        <v>524.54</v>
      </c>
      <c r="D160" s="38">
        <v>56</v>
      </c>
      <c r="E160" s="6">
        <f t="shared" ref="E160" si="216">+C160*D160</f>
        <v>29374.239999999998</v>
      </c>
      <c r="F160" s="6">
        <f t="shared" ref="F160" si="217">+E160*7%</f>
        <v>2056.1968000000002</v>
      </c>
      <c r="G160" s="6">
        <f t="shared" ref="G160" si="218">+E160+F160</f>
        <v>31430.436799999999</v>
      </c>
      <c r="I160">
        <v>6901350</v>
      </c>
    </row>
    <row r="161" spans="1:9" ht="18" customHeight="1" x14ac:dyDescent="0.4">
      <c r="A161" s="4" t="s">
        <v>254</v>
      </c>
      <c r="B161" s="5" t="s">
        <v>255</v>
      </c>
      <c r="C161" s="37">
        <v>190.55</v>
      </c>
      <c r="D161" s="38">
        <v>71.5</v>
      </c>
      <c r="E161" s="6">
        <f t="shared" ref="E161" si="219">+C161*D161</f>
        <v>13624.325000000001</v>
      </c>
      <c r="F161" s="6">
        <f t="shared" ref="F161" si="220">+E161*7%</f>
        <v>953.70275000000015</v>
      </c>
      <c r="G161" s="6">
        <f t="shared" ref="G161" si="221">+E161+F161</f>
        <v>14578.027750000001</v>
      </c>
      <c r="I161">
        <v>6901206</v>
      </c>
    </row>
    <row r="162" spans="1:9" ht="18" customHeight="1" x14ac:dyDescent="0.4">
      <c r="A162" s="4" t="s">
        <v>216</v>
      </c>
      <c r="B162" s="5" t="s">
        <v>265</v>
      </c>
      <c r="C162" s="37">
        <v>974.05</v>
      </c>
      <c r="D162" s="38">
        <v>56</v>
      </c>
      <c r="E162" s="6">
        <f t="shared" si="210"/>
        <v>54546.799999999996</v>
      </c>
      <c r="F162" s="6">
        <f t="shared" si="211"/>
        <v>3818.2759999999998</v>
      </c>
      <c r="G162" s="6">
        <f t="shared" si="212"/>
        <v>58365.075999999994</v>
      </c>
      <c r="I162">
        <v>6901088</v>
      </c>
    </row>
    <row r="163" spans="1:9" ht="18" customHeight="1" x14ac:dyDescent="0.4">
      <c r="A163" s="4" t="s">
        <v>264</v>
      </c>
      <c r="B163" s="5" t="s">
        <v>265</v>
      </c>
      <c r="C163" s="37">
        <v>994.81</v>
      </c>
      <c r="D163" s="38">
        <v>56</v>
      </c>
      <c r="E163" s="6">
        <f t="shared" ref="E163" si="222">+C163*D163</f>
        <v>55709.36</v>
      </c>
      <c r="F163" s="6">
        <f t="shared" ref="F163" si="223">+E163*7%</f>
        <v>3899.6552000000006</v>
      </c>
      <c r="G163" s="6">
        <f t="shared" ref="G163" si="224">+E163+F163</f>
        <v>59609.015200000002</v>
      </c>
      <c r="I163">
        <v>6901256</v>
      </c>
    </row>
    <row r="164" spans="1:9" ht="18" customHeight="1" x14ac:dyDescent="0.4">
      <c r="A164" s="4" t="s">
        <v>187</v>
      </c>
      <c r="B164" s="5" t="s">
        <v>188</v>
      </c>
      <c r="C164" s="37">
        <v>94.65</v>
      </c>
      <c r="D164" s="38">
        <v>78.5</v>
      </c>
      <c r="E164" s="6">
        <f t="shared" ref="E164" si="225">+C164*D164</f>
        <v>7430.0250000000005</v>
      </c>
      <c r="F164" s="6">
        <f t="shared" ref="F164" si="226">+E164*7%</f>
        <v>520.10175000000004</v>
      </c>
      <c r="G164" s="6">
        <f t="shared" ref="G164" si="227">+E164+F164</f>
        <v>7950.1267500000004</v>
      </c>
      <c r="I164">
        <v>6901037</v>
      </c>
    </row>
    <row r="165" spans="1:9" ht="18" customHeight="1" x14ac:dyDescent="0.4">
      <c r="A165" s="4" t="s">
        <v>280</v>
      </c>
      <c r="B165" s="5" t="s">
        <v>281</v>
      </c>
      <c r="C165" s="37">
        <v>100.1</v>
      </c>
      <c r="D165" s="38">
        <v>57</v>
      </c>
      <c r="E165" s="6">
        <f t="shared" ref="E165" si="228">+C165*D165</f>
        <v>5705.7</v>
      </c>
      <c r="F165" s="6">
        <f t="shared" ref="F165" si="229">+E165*7%</f>
        <v>399.399</v>
      </c>
      <c r="G165" s="6">
        <f t="shared" ref="G165" si="230">+E165+F165</f>
        <v>6105.0990000000002</v>
      </c>
      <c r="I165">
        <v>6901332</v>
      </c>
    </row>
    <row r="166" spans="1:9" ht="18" customHeight="1" x14ac:dyDescent="0.4">
      <c r="A166" s="4" t="s">
        <v>187</v>
      </c>
      <c r="B166" s="5" t="s">
        <v>200</v>
      </c>
      <c r="C166" s="37">
        <v>78.400000000000006</v>
      </c>
      <c r="D166" s="38">
        <v>89</v>
      </c>
      <c r="E166" s="6">
        <f t="shared" ref="E166" si="231">+C166*D166</f>
        <v>6977.6</v>
      </c>
      <c r="F166" s="6">
        <f t="shared" ref="F166" si="232">+E166*7%</f>
        <v>488.43200000000007</v>
      </c>
      <c r="G166" s="6">
        <f t="shared" ref="G166" si="233">+E166+F166</f>
        <v>7466.0320000000002</v>
      </c>
      <c r="I166">
        <v>6901078</v>
      </c>
    </row>
    <row r="167" spans="1:9" ht="18" customHeight="1" x14ac:dyDescent="0.4">
      <c r="A167" s="4" t="s">
        <v>216</v>
      </c>
      <c r="B167" s="5" t="s">
        <v>33</v>
      </c>
      <c r="C167" s="37">
        <v>121.8</v>
      </c>
      <c r="D167" s="38">
        <v>56</v>
      </c>
      <c r="E167" s="6">
        <f>+C167*D167</f>
        <v>6820.8</v>
      </c>
      <c r="F167" s="6">
        <f>+E167*7%</f>
        <v>477.45600000000007</v>
      </c>
      <c r="G167" s="6">
        <f>+E167+F167</f>
        <v>7298.2560000000003</v>
      </c>
      <c r="I167">
        <v>6901096</v>
      </c>
    </row>
    <row r="168" spans="1:9" ht="18" customHeight="1" x14ac:dyDescent="0.4">
      <c r="A168" s="4" t="s">
        <v>216</v>
      </c>
      <c r="B168" s="5" t="s">
        <v>33</v>
      </c>
      <c r="C168" s="37">
        <v>1007.45</v>
      </c>
      <c r="D168" s="38">
        <v>56</v>
      </c>
      <c r="E168" s="6">
        <f t="shared" ref="E168" si="234">+C168*D168</f>
        <v>56417.200000000004</v>
      </c>
      <c r="F168" s="6">
        <f t="shared" ref="F168" si="235">+E168*7%</f>
        <v>3949.2040000000006</v>
      </c>
      <c r="G168" s="6">
        <f t="shared" ref="G168" si="236">+E168+F168</f>
        <v>60366.404000000002</v>
      </c>
      <c r="I168">
        <v>6901091</v>
      </c>
    </row>
    <row r="169" spans="1:9" ht="18" customHeight="1" x14ac:dyDescent="0.4">
      <c r="A169" s="4" t="s">
        <v>275</v>
      </c>
      <c r="B169" s="5" t="s">
        <v>33</v>
      </c>
      <c r="C169" s="37">
        <v>370.05</v>
      </c>
      <c r="D169" s="38">
        <v>56</v>
      </c>
      <c r="E169" s="6">
        <f t="shared" ref="E169" si="237">+C169*D169</f>
        <v>20722.8</v>
      </c>
      <c r="F169" s="6">
        <f t="shared" ref="F169" si="238">+E169*7%</f>
        <v>1450.596</v>
      </c>
      <c r="G169" s="6">
        <f t="shared" ref="G169" si="239">+E169+F169</f>
        <v>22173.396000000001</v>
      </c>
      <c r="I169">
        <v>6901302</v>
      </c>
    </row>
    <row r="170" spans="1:9" ht="18" customHeight="1" x14ac:dyDescent="0.4">
      <c r="A170" s="4" t="s">
        <v>229</v>
      </c>
      <c r="B170" s="5" t="s">
        <v>149</v>
      </c>
      <c r="C170" s="37">
        <v>147.04</v>
      </c>
      <c r="D170" s="38">
        <v>57</v>
      </c>
      <c r="E170" s="6">
        <f t="shared" ref="E170" si="240">+C170*D170</f>
        <v>8381.2799999999988</v>
      </c>
      <c r="F170" s="6">
        <f t="shared" ref="F170" si="241">+E170*7%</f>
        <v>586.68959999999993</v>
      </c>
      <c r="G170" s="6">
        <f t="shared" ref="G170" si="242">+E170+F170</f>
        <v>8967.9695999999985</v>
      </c>
      <c r="I170">
        <v>6901119</v>
      </c>
    </row>
    <row r="171" spans="1:9" ht="18" customHeight="1" x14ac:dyDescent="0.4">
      <c r="A171" s="4" t="s">
        <v>187</v>
      </c>
      <c r="B171" s="275" t="s">
        <v>189</v>
      </c>
      <c r="C171" s="276">
        <v>110</v>
      </c>
      <c r="D171" s="277">
        <v>81</v>
      </c>
      <c r="E171" s="6">
        <f t="shared" ref="E171" si="243">+C171*D171</f>
        <v>8910</v>
      </c>
      <c r="F171" s="6">
        <f t="shared" ref="F171" si="244">+E171*7%</f>
        <v>623.70000000000005</v>
      </c>
      <c r="G171" s="6">
        <f t="shared" ref="G171" si="245">+E171+F171</f>
        <v>9533.7000000000007</v>
      </c>
      <c r="H171" s="274" t="s">
        <v>398</v>
      </c>
      <c r="I171">
        <v>6901036</v>
      </c>
    </row>
    <row r="172" spans="1:9" ht="18" customHeight="1" x14ac:dyDescent="0.4">
      <c r="A172" s="4" t="s">
        <v>199</v>
      </c>
      <c r="B172" s="275" t="s">
        <v>189</v>
      </c>
      <c r="C172" s="276">
        <v>193.85</v>
      </c>
      <c r="D172" s="277">
        <v>81</v>
      </c>
      <c r="E172" s="6">
        <f t="shared" ref="E172" si="246">+C172*D172</f>
        <v>15701.85</v>
      </c>
      <c r="F172" s="6">
        <f t="shared" ref="F172" si="247">+E172*7%</f>
        <v>1099.1295000000002</v>
      </c>
      <c r="G172" s="6">
        <f t="shared" ref="G172" si="248">+E172+F172</f>
        <v>16800.979500000001</v>
      </c>
      <c r="H172" s="274" t="s">
        <v>398</v>
      </c>
      <c r="I172">
        <v>6901079</v>
      </c>
    </row>
    <row r="173" spans="1:9" ht="18" customHeight="1" x14ac:dyDescent="0.4">
      <c r="A173" s="4" t="s">
        <v>199</v>
      </c>
      <c r="B173" s="275" t="s">
        <v>189</v>
      </c>
      <c r="C173" s="276">
        <v>69.7</v>
      </c>
      <c r="D173" s="277">
        <v>81</v>
      </c>
      <c r="E173" s="6">
        <f t="shared" ref="E173" si="249">+C173*D173</f>
        <v>5645.7</v>
      </c>
      <c r="F173" s="6">
        <f t="shared" ref="F173" si="250">+E173*7%</f>
        <v>395.19900000000001</v>
      </c>
      <c r="G173" s="6">
        <f t="shared" ref="G173" si="251">+E173+F173</f>
        <v>6040.8989999999994</v>
      </c>
      <c r="H173" s="274" t="s">
        <v>398</v>
      </c>
      <c r="I173">
        <v>6901078</v>
      </c>
    </row>
    <row r="174" spans="1:9" ht="18" customHeight="1" x14ac:dyDescent="0.4">
      <c r="A174" s="4" t="s">
        <v>237</v>
      </c>
      <c r="B174" s="275" t="s">
        <v>238</v>
      </c>
      <c r="C174" s="276">
        <v>186.55</v>
      </c>
      <c r="D174" s="277">
        <v>81</v>
      </c>
      <c r="E174" s="6">
        <f t="shared" ref="E174" si="252">+C174*D174</f>
        <v>15110.550000000001</v>
      </c>
      <c r="F174" s="6">
        <f t="shared" ref="F174" si="253">+E174*7%</f>
        <v>1057.7385000000002</v>
      </c>
      <c r="G174" s="6">
        <f t="shared" ref="G174" si="254">+E174+F174</f>
        <v>16168.288500000001</v>
      </c>
      <c r="H174" s="274" t="s">
        <v>398</v>
      </c>
      <c r="I174">
        <v>6901154</v>
      </c>
    </row>
    <row r="175" spans="1:9" ht="18" customHeight="1" x14ac:dyDescent="0.4">
      <c r="A175" s="4" t="s">
        <v>286</v>
      </c>
      <c r="B175" s="275" t="s">
        <v>288</v>
      </c>
      <c r="C175" s="276">
        <v>89.65</v>
      </c>
      <c r="D175" s="277">
        <v>89</v>
      </c>
      <c r="E175" s="6">
        <f t="shared" ref="E175" si="255">+C175*D175</f>
        <v>7978.85</v>
      </c>
      <c r="F175" s="6">
        <f t="shared" ref="F175" si="256">+E175*7%</f>
        <v>558.51950000000011</v>
      </c>
      <c r="G175" s="6">
        <f t="shared" ref="G175" si="257">+E175+F175</f>
        <v>8537.3695000000007</v>
      </c>
      <c r="H175" s="273" t="s">
        <v>392</v>
      </c>
      <c r="I175">
        <v>6901348</v>
      </c>
    </row>
    <row r="176" spans="1:9" ht="18" customHeight="1" x14ac:dyDescent="0.4">
      <c r="A176" s="4" t="s">
        <v>237</v>
      </c>
      <c r="B176" s="275" t="s">
        <v>413</v>
      </c>
      <c r="C176" s="276">
        <v>185.8</v>
      </c>
      <c r="D176" s="277">
        <v>81</v>
      </c>
      <c r="E176" s="6">
        <f>+C176*D176</f>
        <v>15049.800000000001</v>
      </c>
      <c r="F176" s="6">
        <f t="shared" si="211"/>
        <v>1053.4860000000001</v>
      </c>
      <c r="G176" s="6">
        <f t="shared" si="212"/>
        <v>16103.286000000002</v>
      </c>
      <c r="H176" s="274" t="s">
        <v>398</v>
      </c>
      <c r="I176">
        <v>6901155</v>
      </c>
    </row>
    <row r="177" spans="1:9" ht="18" customHeight="1" x14ac:dyDescent="0.4">
      <c r="A177" s="4" t="s">
        <v>286</v>
      </c>
      <c r="B177" s="275" t="s">
        <v>285</v>
      </c>
      <c r="C177" s="276">
        <v>92.7</v>
      </c>
      <c r="D177" s="277">
        <v>89</v>
      </c>
      <c r="E177" s="6">
        <f t="shared" si="210"/>
        <v>8250.3000000000011</v>
      </c>
      <c r="F177" s="6">
        <f t="shared" si="211"/>
        <v>577.52100000000019</v>
      </c>
      <c r="G177" s="6">
        <f t="shared" si="212"/>
        <v>8827.8210000000017</v>
      </c>
      <c r="H177" s="273" t="s">
        <v>392</v>
      </c>
      <c r="I177">
        <v>6901351</v>
      </c>
    </row>
    <row r="178" spans="1:9" ht="18" customHeight="1" x14ac:dyDescent="0.4">
      <c r="A178" s="4" t="s">
        <v>216</v>
      </c>
      <c r="B178" s="278" t="s">
        <v>225</v>
      </c>
      <c r="C178" s="279">
        <v>198.6</v>
      </c>
      <c r="D178" s="280">
        <v>71.5</v>
      </c>
      <c r="E178" s="6">
        <f t="shared" ref="E178" si="258">+C178*D178</f>
        <v>14199.9</v>
      </c>
      <c r="F178" s="6">
        <f t="shared" ref="F178" si="259">+E178*7%</f>
        <v>993.99300000000005</v>
      </c>
      <c r="G178" s="6">
        <f t="shared" ref="G178" si="260">+E178+F178</f>
        <v>15193.893</v>
      </c>
      <c r="H178" s="274" t="s">
        <v>398</v>
      </c>
      <c r="I178">
        <v>6901086</v>
      </c>
    </row>
    <row r="179" spans="1:9" ht="18" customHeight="1" x14ac:dyDescent="0.4">
      <c r="A179" s="4" t="s">
        <v>286</v>
      </c>
      <c r="B179" s="278" t="s">
        <v>287</v>
      </c>
      <c r="C179" s="279">
        <v>196.85</v>
      </c>
      <c r="D179" s="280">
        <v>71.5</v>
      </c>
      <c r="E179" s="6">
        <f t="shared" ref="E179" si="261">+C179*D179</f>
        <v>14074.775</v>
      </c>
      <c r="F179" s="6">
        <f t="shared" ref="F179" si="262">+E179*7%</f>
        <v>985.23425000000009</v>
      </c>
      <c r="G179" s="6">
        <f t="shared" ref="G179" si="263">+E179+F179</f>
        <v>15060.009249999999</v>
      </c>
      <c r="H179" s="274" t="s">
        <v>398</v>
      </c>
      <c r="I179">
        <v>6901348</v>
      </c>
    </row>
    <row r="180" spans="1:9" ht="18" customHeight="1" x14ac:dyDescent="0.4">
      <c r="A180" s="4" t="s">
        <v>280</v>
      </c>
      <c r="B180" s="275" t="s">
        <v>139</v>
      </c>
      <c r="C180" s="276">
        <v>98.15</v>
      </c>
      <c r="D180" s="277">
        <v>89</v>
      </c>
      <c r="E180" s="6">
        <f t="shared" ref="E180" si="264">+C180*D180</f>
        <v>8735.35</v>
      </c>
      <c r="F180" s="6">
        <f t="shared" ref="F180" si="265">+E180*7%</f>
        <v>611.47450000000003</v>
      </c>
      <c r="G180" s="6">
        <f t="shared" ref="G180" si="266">+E180+F180</f>
        <v>9346.8245000000006</v>
      </c>
      <c r="H180" s="274" t="s">
        <v>398</v>
      </c>
      <c r="I180">
        <v>6901333</v>
      </c>
    </row>
    <row r="181" spans="1:9" ht="18" customHeight="1" x14ac:dyDescent="0.4">
      <c r="A181" s="4" t="s">
        <v>249</v>
      </c>
      <c r="B181" s="275" t="s">
        <v>129</v>
      </c>
      <c r="C181" s="276">
        <v>476</v>
      </c>
      <c r="D181" s="277">
        <v>81</v>
      </c>
      <c r="E181" s="6">
        <f t="shared" ref="E181" si="267">+C181*D181</f>
        <v>38556</v>
      </c>
      <c r="F181" s="6">
        <f t="shared" ref="F181" si="268">+E181*7%</f>
        <v>2698.92</v>
      </c>
      <c r="G181" s="6">
        <f t="shared" ref="G181" si="269">+E181+F181</f>
        <v>41254.92</v>
      </c>
      <c r="H181" s="274" t="s">
        <v>398</v>
      </c>
      <c r="I181">
        <v>6901191</v>
      </c>
    </row>
    <row r="182" spans="1:9" ht="18" customHeight="1" x14ac:dyDescent="0.4">
      <c r="A182" s="4" t="s">
        <v>187</v>
      </c>
      <c r="B182" s="275" t="s">
        <v>34</v>
      </c>
      <c r="C182" s="276">
        <v>512.6</v>
      </c>
      <c r="D182" s="277">
        <v>81</v>
      </c>
      <c r="E182" s="6">
        <f t="shared" si="210"/>
        <v>41520.6</v>
      </c>
      <c r="F182" s="6">
        <f t="shared" si="211"/>
        <v>2906.442</v>
      </c>
      <c r="G182" s="6">
        <f t="shared" si="212"/>
        <v>44427.042000000001</v>
      </c>
      <c r="H182" s="273" t="s">
        <v>392</v>
      </c>
      <c r="I182">
        <v>6901035</v>
      </c>
    </row>
    <row r="183" spans="1:9" ht="18" customHeight="1" x14ac:dyDescent="0.4">
      <c r="A183" s="16" t="s">
        <v>187</v>
      </c>
      <c r="B183" s="275" t="s">
        <v>35</v>
      </c>
      <c r="C183" s="276">
        <v>1027.75</v>
      </c>
      <c r="D183" s="277">
        <v>81</v>
      </c>
      <c r="E183" s="6">
        <f t="shared" si="210"/>
        <v>83247.75</v>
      </c>
      <c r="F183" s="6">
        <f t="shared" si="211"/>
        <v>5827.3425000000007</v>
      </c>
      <c r="G183" s="6">
        <f t="shared" si="212"/>
        <v>89075.092499999999</v>
      </c>
      <c r="H183" s="273" t="s">
        <v>392</v>
      </c>
      <c r="I183">
        <v>6901035</v>
      </c>
    </row>
    <row r="184" spans="1:9" ht="18" customHeight="1" x14ac:dyDescent="0.4">
      <c r="A184" s="16" t="s">
        <v>237</v>
      </c>
      <c r="B184" s="275" t="s">
        <v>35</v>
      </c>
      <c r="C184" s="276">
        <v>1993.5</v>
      </c>
      <c r="D184" s="277">
        <v>81</v>
      </c>
      <c r="E184" s="6">
        <f t="shared" ref="E184" si="270">+C184*D184</f>
        <v>161473.5</v>
      </c>
      <c r="F184" s="6">
        <f t="shared" ref="F184" si="271">+E184*7%</f>
        <v>11303.145</v>
      </c>
      <c r="G184" s="6">
        <f t="shared" ref="G184" si="272">+E184+F184</f>
        <v>172776.64499999999</v>
      </c>
      <c r="H184" s="273" t="s">
        <v>392</v>
      </c>
      <c r="I184">
        <v>6901151</v>
      </c>
    </row>
    <row r="185" spans="1:9" ht="18" customHeight="1" x14ac:dyDescent="0.4">
      <c r="A185" s="16" t="s">
        <v>259</v>
      </c>
      <c r="B185" s="275" t="s">
        <v>35</v>
      </c>
      <c r="C185" s="276">
        <v>1031.4000000000001</v>
      </c>
      <c r="D185" s="277">
        <v>81</v>
      </c>
      <c r="E185" s="6">
        <f t="shared" si="210"/>
        <v>83543.400000000009</v>
      </c>
      <c r="F185" s="6">
        <f t="shared" si="211"/>
        <v>5848.0380000000014</v>
      </c>
      <c r="G185" s="6">
        <f t="shared" si="212"/>
        <v>89391.438000000009</v>
      </c>
      <c r="H185" s="273" t="s">
        <v>392</v>
      </c>
      <c r="I185">
        <v>6901226</v>
      </c>
    </row>
    <row r="186" spans="1:9" ht="18" customHeight="1" x14ac:dyDescent="0.4">
      <c r="A186" s="16" t="s">
        <v>277</v>
      </c>
      <c r="B186" s="275" t="s">
        <v>35</v>
      </c>
      <c r="C186" s="276">
        <v>1013.25</v>
      </c>
      <c r="D186" s="277">
        <v>81</v>
      </c>
      <c r="E186" s="6">
        <f t="shared" si="210"/>
        <v>82073.25</v>
      </c>
      <c r="F186" s="6">
        <f t="shared" si="211"/>
        <v>5745.1275000000005</v>
      </c>
      <c r="G186" s="6">
        <f t="shared" si="212"/>
        <v>87818.377500000002</v>
      </c>
      <c r="H186" s="273" t="s">
        <v>392</v>
      </c>
      <c r="I186">
        <v>6901284</v>
      </c>
    </row>
    <row r="187" spans="1:9" ht="18" customHeight="1" x14ac:dyDescent="0.4">
      <c r="A187" s="4" t="s">
        <v>237</v>
      </c>
      <c r="B187" s="275" t="s">
        <v>36</v>
      </c>
      <c r="C187" s="276">
        <v>473.25</v>
      </c>
      <c r="D187" s="277">
        <v>81</v>
      </c>
      <c r="E187" s="6">
        <f t="shared" si="210"/>
        <v>38333.25</v>
      </c>
      <c r="F187" s="6">
        <f t="shared" si="211"/>
        <v>2683.3275000000003</v>
      </c>
      <c r="G187" s="6">
        <f t="shared" si="212"/>
        <v>41016.577499999999</v>
      </c>
      <c r="H187" s="273" t="s">
        <v>392</v>
      </c>
      <c r="I187">
        <v>6901153</v>
      </c>
    </row>
    <row r="188" spans="1:9" ht="18" customHeight="1" x14ac:dyDescent="0.4">
      <c r="A188" s="4" t="s">
        <v>237</v>
      </c>
      <c r="B188" s="275" t="s">
        <v>36</v>
      </c>
      <c r="C188" s="276">
        <v>1539.1</v>
      </c>
      <c r="D188" s="277">
        <v>81</v>
      </c>
      <c r="E188" s="6">
        <f t="shared" si="210"/>
        <v>124667.09999999999</v>
      </c>
      <c r="F188" s="6">
        <f t="shared" si="211"/>
        <v>8726.6970000000001</v>
      </c>
      <c r="G188" s="6">
        <f t="shared" si="212"/>
        <v>133393.79699999999</v>
      </c>
      <c r="H188" s="273" t="s">
        <v>392</v>
      </c>
      <c r="I188">
        <v>6901152</v>
      </c>
    </row>
    <row r="189" spans="1:9" ht="18" customHeight="1" x14ac:dyDescent="0.4">
      <c r="A189" s="16" t="s">
        <v>192</v>
      </c>
      <c r="B189" s="275" t="s">
        <v>37</v>
      </c>
      <c r="C189" s="276">
        <v>399.89</v>
      </c>
      <c r="D189" s="277">
        <v>80</v>
      </c>
      <c r="E189" s="6">
        <f t="shared" si="210"/>
        <v>31991.199999999997</v>
      </c>
      <c r="F189" s="6">
        <f t="shared" si="211"/>
        <v>2239.384</v>
      </c>
      <c r="G189" s="6">
        <f t="shared" si="212"/>
        <v>34230.583999999995</v>
      </c>
      <c r="H189" s="274" t="s">
        <v>398</v>
      </c>
      <c r="I189">
        <v>6901017</v>
      </c>
    </row>
    <row r="190" spans="1:9" ht="18" customHeight="1" x14ac:dyDescent="0.4">
      <c r="A190" s="16" t="s">
        <v>242</v>
      </c>
      <c r="B190" s="275" t="s">
        <v>37</v>
      </c>
      <c r="C190" s="276">
        <v>446.37</v>
      </c>
      <c r="D190" s="277">
        <v>80</v>
      </c>
      <c r="E190" s="6">
        <f t="shared" ref="E190" si="273">+C190*D190</f>
        <v>35709.599999999999</v>
      </c>
      <c r="F190" s="6">
        <f t="shared" ref="F190" si="274">+E190*7%</f>
        <v>2499.672</v>
      </c>
      <c r="G190" s="6">
        <f t="shared" ref="G190" si="275">+E190+F190</f>
        <v>38209.271999999997</v>
      </c>
      <c r="H190" s="274" t="s">
        <v>398</v>
      </c>
      <c r="I190">
        <v>6901174</v>
      </c>
    </row>
    <row r="191" spans="1:9" ht="18" customHeight="1" x14ac:dyDescent="0.4">
      <c r="A191" s="16" t="s">
        <v>204</v>
      </c>
      <c r="B191" s="275" t="s">
        <v>206</v>
      </c>
      <c r="C191" s="276">
        <v>780.63</v>
      </c>
      <c r="D191" s="277">
        <v>81</v>
      </c>
      <c r="E191" s="6">
        <f t="shared" ref="E191" si="276">+C191*D191</f>
        <v>63231.03</v>
      </c>
      <c r="F191" s="6">
        <f t="shared" ref="F191" si="277">+E191*7%</f>
        <v>4426.1721000000007</v>
      </c>
      <c r="G191" s="6">
        <f t="shared" ref="G191" si="278">+E191+F191</f>
        <v>67657.202099999995</v>
      </c>
      <c r="H191" s="274" t="s">
        <v>398</v>
      </c>
      <c r="I191">
        <v>6901054</v>
      </c>
    </row>
    <row r="192" spans="1:9" ht="18" customHeight="1" x14ac:dyDescent="0.4">
      <c r="A192" s="16" t="s">
        <v>229</v>
      </c>
      <c r="B192" s="275" t="s">
        <v>231</v>
      </c>
      <c r="C192" s="276">
        <v>399.94</v>
      </c>
      <c r="D192" s="277">
        <v>81</v>
      </c>
      <c r="E192" s="6">
        <f t="shared" ref="E192" si="279">+C192*D192</f>
        <v>32395.14</v>
      </c>
      <c r="F192" s="6">
        <f t="shared" ref="F192" si="280">+E192*7%</f>
        <v>2267.6598000000004</v>
      </c>
      <c r="G192" s="6">
        <f t="shared" ref="G192" si="281">+E192+F192</f>
        <v>34662.799800000001</v>
      </c>
      <c r="H192" s="274" t="s">
        <v>398</v>
      </c>
      <c r="I192">
        <v>6901118</v>
      </c>
    </row>
    <row r="193" spans="1:9" ht="18" customHeight="1" x14ac:dyDescent="0.4">
      <c r="A193" s="16" t="s">
        <v>204</v>
      </c>
      <c r="B193" s="275" t="s">
        <v>38</v>
      </c>
      <c r="C193" s="276">
        <v>290.73</v>
      </c>
      <c r="D193" s="277">
        <v>81</v>
      </c>
      <c r="E193" s="6">
        <f t="shared" si="210"/>
        <v>23549.13</v>
      </c>
      <c r="F193" s="6">
        <f t="shared" si="211"/>
        <v>1648.4391000000003</v>
      </c>
      <c r="G193" s="6">
        <f t="shared" si="212"/>
        <v>25197.569100000001</v>
      </c>
      <c r="H193" s="273" t="s">
        <v>392</v>
      </c>
      <c r="I193">
        <v>6901057</v>
      </c>
    </row>
    <row r="194" spans="1:9" ht="18" customHeight="1" x14ac:dyDescent="0.4">
      <c r="A194" s="16" t="s">
        <v>275</v>
      </c>
      <c r="B194" s="275" t="s">
        <v>38</v>
      </c>
      <c r="C194" s="276">
        <v>291.33</v>
      </c>
      <c r="D194" s="277">
        <v>81</v>
      </c>
      <c r="E194" s="6">
        <f t="shared" ref="E194" si="282">+C194*D194</f>
        <v>23597.73</v>
      </c>
      <c r="F194" s="6">
        <f t="shared" ref="F194" si="283">+E194*7%</f>
        <v>1651.8411000000001</v>
      </c>
      <c r="G194" s="6">
        <f t="shared" ref="G194" si="284">+E194+F194</f>
        <v>25249.571100000001</v>
      </c>
      <c r="H194" s="273" t="s">
        <v>392</v>
      </c>
      <c r="I194">
        <v>6901305</v>
      </c>
    </row>
    <row r="195" spans="1:9" ht="18" customHeight="1" x14ac:dyDescent="0.4">
      <c r="A195" s="16" t="s">
        <v>204</v>
      </c>
      <c r="B195" s="275" t="s">
        <v>156</v>
      </c>
      <c r="C195" s="276">
        <v>197.32</v>
      </c>
      <c r="D195" s="277">
        <v>81</v>
      </c>
      <c r="E195" s="6">
        <f t="shared" ref="E195" si="285">+C195*D195</f>
        <v>15982.92</v>
      </c>
      <c r="F195" s="6">
        <f t="shared" ref="F195" si="286">+E195*7%</f>
        <v>1118.8044000000002</v>
      </c>
      <c r="G195" s="6">
        <f t="shared" ref="G195" si="287">+E195+F195</f>
        <v>17101.724399999999</v>
      </c>
      <c r="H195" s="274" t="s">
        <v>398</v>
      </c>
      <c r="I195">
        <v>6901053</v>
      </c>
    </row>
    <row r="196" spans="1:9" ht="18" customHeight="1" x14ac:dyDescent="0.4">
      <c r="A196" s="16" t="s">
        <v>229</v>
      </c>
      <c r="B196" s="275" t="s">
        <v>154</v>
      </c>
      <c r="C196" s="276">
        <v>194.82</v>
      </c>
      <c r="D196" s="277">
        <v>81</v>
      </c>
      <c r="E196" s="6">
        <f t="shared" ref="E196" si="288">+C196*D196</f>
        <v>15780.42</v>
      </c>
      <c r="F196" s="6">
        <f t="shared" ref="F196" si="289">+E196*7%</f>
        <v>1104.6294</v>
      </c>
      <c r="G196" s="6">
        <f t="shared" ref="G196" si="290">+E196+F196</f>
        <v>16885.0494</v>
      </c>
      <c r="H196" s="273" t="s">
        <v>392</v>
      </c>
      <c r="I196">
        <v>6901123</v>
      </c>
    </row>
    <row r="197" spans="1:9" ht="18" customHeight="1" x14ac:dyDescent="0.4">
      <c r="A197" s="16" t="s">
        <v>216</v>
      </c>
      <c r="B197" s="275" t="s">
        <v>222</v>
      </c>
      <c r="C197" s="276">
        <v>581.36</v>
      </c>
      <c r="D197" s="277">
        <v>81</v>
      </c>
      <c r="E197" s="6">
        <f t="shared" ref="E197" si="291">+C197*D197</f>
        <v>47090.16</v>
      </c>
      <c r="F197" s="6">
        <f t="shared" ref="F197" si="292">+E197*7%</f>
        <v>3296.3112000000006</v>
      </c>
      <c r="G197" s="6">
        <f t="shared" ref="G197" si="293">+E197+F197</f>
        <v>50386.471200000007</v>
      </c>
      <c r="H197" s="273" t="s">
        <v>392</v>
      </c>
      <c r="I197">
        <v>6901090</v>
      </c>
    </row>
    <row r="198" spans="1:9" ht="18" customHeight="1" x14ac:dyDescent="0.4">
      <c r="A198" s="16" t="s">
        <v>229</v>
      </c>
      <c r="B198" s="275" t="s">
        <v>222</v>
      </c>
      <c r="C198" s="276">
        <v>590.46</v>
      </c>
      <c r="D198" s="277">
        <v>81</v>
      </c>
      <c r="E198" s="6">
        <f t="shared" ref="E198" si="294">+C198*D198</f>
        <v>47827.26</v>
      </c>
      <c r="F198" s="6">
        <f t="shared" ref="F198" si="295">+E198*7%</f>
        <v>3347.9082000000003</v>
      </c>
      <c r="G198" s="6">
        <f t="shared" ref="G198" si="296">+E198+F198</f>
        <v>51175.1682</v>
      </c>
      <c r="H198" s="273" t="s">
        <v>392</v>
      </c>
      <c r="I198">
        <v>6901116</v>
      </c>
    </row>
    <row r="199" spans="1:9" ht="18" customHeight="1" x14ac:dyDescent="0.4">
      <c r="A199" s="16" t="s">
        <v>229</v>
      </c>
      <c r="B199" s="275" t="s">
        <v>155</v>
      </c>
      <c r="C199" s="276">
        <v>196.77</v>
      </c>
      <c r="D199" s="277">
        <v>81</v>
      </c>
      <c r="E199" s="6">
        <f t="shared" ref="E199" si="297">+C199*D199</f>
        <v>15938.37</v>
      </c>
      <c r="F199" s="6">
        <f t="shared" ref="F199" si="298">+E199*7%</f>
        <v>1115.6859000000002</v>
      </c>
      <c r="G199" s="6">
        <f t="shared" ref="G199" si="299">+E199+F199</f>
        <v>17054.055899999999</v>
      </c>
      <c r="H199" s="273" t="s">
        <v>392</v>
      </c>
      <c r="I199">
        <v>6901122</v>
      </c>
    </row>
    <row r="200" spans="1:9" ht="18" customHeight="1" x14ac:dyDescent="0.4">
      <c r="A200" s="4" t="s">
        <v>192</v>
      </c>
      <c r="B200" s="275" t="s">
        <v>194</v>
      </c>
      <c r="C200" s="276">
        <v>384.44</v>
      </c>
      <c r="D200" s="277">
        <v>81</v>
      </c>
      <c r="E200" s="6">
        <f t="shared" ref="E200" si="300">+C200*D200</f>
        <v>31139.64</v>
      </c>
      <c r="F200" s="6">
        <f t="shared" ref="F200" si="301">+E200*7%</f>
        <v>2179.7748000000001</v>
      </c>
      <c r="G200" s="6">
        <f t="shared" ref="G200" si="302">+E200+F200</f>
        <v>33319.414799999999</v>
      </c>
      <c r="H200" s="274" t="s">
        <v>398</v>
      </c>
      <c r="I200">
        <v>6901016</v>
      </c>
    </row>
    <row r="201" spans="1:9" ht="18" customHeight="1" x14ac:dyDescent="0.4">
      <c r="A201" s="16" t="s">
        <v>249</v>
      </c>
      <c r="B201" s="275" t="s">
        <v>141</v>
      </c>
      <c r="C201" s="276">
        <v>199.72</v>
      </c>
      <c r="D201" s="277">
        <v>81</v>
      </c>
      <c r="E201" s="6">
        <f t="shared" si="210"/>
        <v>16177.32</v>
      </c>
      <c r="F201" s="6">
        <f t="shared" si="211"/>
        <v>1132.4124000000002</v>
      </c>
      <c r="G201" s="6">
        <f t="shared" si="212"/>
        <v>17309.732400000001</v>
      </c>
      <c r="H201" s="274" t="s">
        <v>398</v>
      </c>
      <c r="I201">
        <v>6901193</v>
      </c>
    </row>
    <row r="202" spans="1:9" ht="18" customHeight="1" x14ac:dyDescent="0.4">
      <c r="A202" s="16" t="s">
        <v>242</v>
      </c>
      <c r="B202" s="275" t="s">
        <v>245</v>
      </c>
      <c r="C202" s="276">
        <v>192.27</v>
      </c>
      <c r="D202" s="277">
        <v>81</v>
      </c>
      <c r="E202" s="6">
        <f t="shared" si="210"/>
        <v>15573.87</v>
      </c>
      <c r="F202" s="6">
        <f t="shared" si="211"/>
        <v>1090.1709000000001</v>
      </c>
      <c r="G202" s="6">
        <f t="shared" si="212"/>
        <v>16664.0409</v>
      </c>
      <c r="H202" s="273" t="s">
        <v>392</v>
      </c>
      <c r="I202">
        <v>6901172</v>
      </c>
    </row>
    <row r="203" spans="1:9" ht="18" customHeight="1" x14ac:dyDescent="0.4">
      <c r="A203" s="16" t="s">
        <v>275</v>
      </c>
      <c r="B203" s="275" t="s">
        <v>245</v>
      </c>
      <c r="C203" s="276">
        <v>581.05999999999995</v>
      </c>
      <c r="D203" s="277">
        <v>81</v>
      </c>
      <c r="E203" s="6">
        <f t="shared" ref="E203" si="303">+C203*D203</f>
        <v>47065.859999999993</v>
      </c>
      <c r="F203" s="6">
        <f t="shared" ref="F203" si="304">+E203*7%</f>
        <v>3294.6101999999996</v>
      </c>
      <c r="G203" s="6">
        <f t="shared" ref="G203" si="305">+E203+F203</f>
        <v>50360.470199999996</v>
      </c>
      <c r="H203" s="273" t="s">
        <v>392</v>
      </c>
      <c r="I203">
        <v>6901307</v>
      </c>
    </row>
    <row r="204" spans="1:9" ht="18" customHeight="1" x14ac:dyDescent="0.4">
      <c r="A204" s="16" t="s">
        <v>192</v>
      </c>
      <c r="B204" s="275" t="s">
        <v>193</v>
      </c>
      <c r="C204" s="276">
        <v>2955.83</v>
      </c>
      <c r="D204" s="277">
        <v>80</v>
      </c>
      <c r="E204" s="6">
        <f t="shared" ref="E204" si="306">+C204*D204</f>
        <v>236466.4</v>
      </c>
      <c r="F204" s="6">
        <f t="shared" ref="F204" si="307">+E204*7%</f>
        <v>16552.648000000001</v>
      </c>
      <c r="G204" s="6">
        <f t="shared" ref="G204" si="308">+E204+F204</f>
        <v>253019.04800000001</v>
      </c>
      <c r="H204" s="273" t="s">
        <v>392</v>
      </c>
      <c r="I204">
        <v>6901018</v>
      </c>
    </row>
    <row r="205" spans="1:9" ht="18" customHeight="1" x14ac:dyDescent="0.4">
      <c r="A205" s="16" t="s">
        <v>229</v>
      </c>
      <c r="B205" s="275" t="s">
        <v>193</v>
      </c>
      <c r="C205" s="276">
        <v>1969.6</v>
      </c>
      <c r="D205" s="277">
        <v>80</v>
      </c>
      <c r="E205" s="6">
        <f t="shared" ref="E205" si="309">+C205*D205</f>
        <v>157568</v>
      </c>
      <c r="F205" s="6">
        <f t="shared" ref="F205" si="310">+E205*7%</f>
        <v>11029.76</v>
      </c>
      <c r="G205" s="6">
        <f t="shared" ref="G205" si="311">+E205+F205</f>
        <v>168597.76000000001</v>
      </c>
      <c r="H205" s="273" t="s">
        <v>392</v>
      </c>
      <c r="I205">
        <v>6901124</v>
      </c>
    </row>
    <row r="206" spans="1:9" ht="18" customHeight="1" x14ac:dyDescent="0.4">
      <c r="A206" s="4" t="s">
        <v>216</v>
      </c>
      <c r="B206" s="275" t="s">
        <v>39</v>
      </c>
      <c r="C206" s="276">
        <v>493.35</v>
      </c>
      <c r="D206" s="277">
        <v>81</v>
      </c>
      <c r="E206" s="6">
        <f t="shared" si="210"/>
        <v>39961.35</v>
      </c>
      <c r="F206" s="6">
        <f t="shared" si="211"/>
        <v>2797.2945</v>
      </c>
      <c r="G206" s="6">
        <f t="shared" si="212"/>
        <v>42758.644499999995</v>
      </c>
      <c r="H206" s="273" t="s">
        <v>392</v>
      </c>
      <c r="I206">
        <v>6901095</v>
      </c>
    </row>
    <row r="207" spans="1:9" ht="18" customHeight="1" x14ac:dyDescent="0.4">
      <c r="A207" s="4" t="s">
        <v>275</v>
      </c>
      <c r="B207" s="275" t="s">
        <v>39</v>
      </c>
      <c r="C207" s="276">
        <v>485.5</v>
      </c>
      <c r="D207" s="277">
        <v>81</v>
      </c>
      <c r="E207" s="6">
        <f t="shared" si="210"/>
        <v>39325.5</v>
      </c>
      <c r="F207" s="6">
        <f t="shared" si="211"/>
        <v>2752.7850000000003</v>
      </c>
      <c r="G207" s="6">
        <f t="shared" si="212"/>
        <v>42078.285000000003</v>
      </c>
      <c r="H207" s="273" t="s">
        <v>392</v>
      </c>
      <c r="I207">
        <v>6901303</v>
      </c>
    </row>
    <row r="208" spans="1:9" ht="18" customHeight="1" x14ac:dyDescent="0.4">
      <c r="A208" s="4" t="s">
        <v>204</v>
      </c>
      <c r="B208" s="275" t="s">
        <v>205</v>
      </c>
      <c r="C208" s="276">
        <v>589.16</v>
      </c>
      <c r="D208" s="277">
        <v>80</v>
      </c>
      <c r="E208" s="6">
        <f t="shared" ref="E208" si="312">+C208*D208</f>
        <v>47132.799999999996</v>
      </c>
      <c r="F208" s="6">
        <f t="shared" ref="F208" si="313">+E208*7%</f>
        <v>3299.2959999999998</v>
      </c>
      <c r="G208" s="6">
        <f t="shared" ref="G208" si="314">+E208+F208</f>
        <v>50432.095999999998</v>
      </c>
      <c r="H208" s="273" t="s">
        <v>392</v>
      </c>
      <c r="I208">
        <v>6901058</v>
      </c>
    </row>
    <row r="209" spans="1:9" ht="18" customHeight="1" x14ac:dyDescent="0.4">
      <c r="A209" s="4" t="s">
        <v>229</v>
      </c>
      <c r="B209" s="275" t="s">
        <v>163</v>
      </c>
      <c r="C209" s="276">
        <v>1656.97</v>
      </c>
      <c r="D209" s="277">
        <v>81</v>
      </c>
      <c r="E209" s="6">
        <f t="shared" si="210"/>
        <v>134214.57</v>
      </c>
      <c r="F209" s="6">
        <f t="shared" si="211"/>
        <v>9395.0199000000011</v>
      </c>
      <c r="G209" s="6">
        <f t="shared" si="212"/>
        <v>143609.58990000002</v>
      </c>
      <c r="H209" s="273" t="s">
        <v>392</v>
      </c>
      <c r="I209">
        <v>6901117</v>
      </c>
    </row>
    <row r="210" spans="1:9" ht="18" customHeight="1" x14ac:dyDescent="0.4">
      <c r="A210" s="16" t="s">
        <v>204</v>
      </c>
      <c r="B210" s="275" t="s">
        <v>164</v>
      </c>
      <c r="C210" s="276">
        <v>196.02</v>
      </c>
      <c r="D210" s="277">
        <v>81</v>
      </c>
      <c r="E210" s="6">
        <f t="shared" si="210"/>
        <v>15877.62</v>
      </c>
      <c r="F210" s="6">
        <f t="shared" si="211"/>
        <v>1111.4334000000001</v>
      </c>
      <c r="G210" s="6">
        <f t="shared" si="212"/>
        <v>16989.053400000001</v>
      </c>
      <c r="H210" s="273" t="s">
        <v>392</v>
      </c>
      <c r="I210">
        <v>6901055</v>
      </c>
    </row>
    <row r="211" spans="1:9" ht="18" customHeight="1" x14ac:dyDescent="0.4">
      <c r="A211" s="16" t="s">
        <v>275</v>
      </c>
      <c r="B211" s="275" t="s">
        <v>164</v>
      </c>
      <c r="C211" s="276">
        <v>184.32</v>
      </c>
      <c r="D211" s="277">
        <v>81</v>
      </c>
      <c r="E211" s="6">
        <f t="shared" ref="E211" si="315">+C211*D211</f>
        <v>14929.92</v>
      </c>
      <c r="F211" s="6">
        <f t="shared" ref="F211" si="316">+E211*7%</f>
        <v>1045.0944000000002</v>
      </c>
      <c r="G211" s="6">
        <f t="shared" ref="G211" si="317">+E211+F211</f>
        <v>15975.0144</v>
      </c>
      <c r="H211" s="273" t="s">
        <v>392</v>
      </c>
      <c r="I211">
        <v>6901306</v>
      </c>
    </row>
    <row r="212" spans="1:9" ht="18" customHeight="1" x14ac:dyDescent="0.4">
      <c r="A212" s="16" t="s">
        <v>192</v>
      </c>
      <c r="B212" s="275" t="s">
        <v>40</v>
      </c>
      <c r="C212" s="276">
        <v>583.66</v>
      </c>
      <c r="D212" s="277">
        <v>80</v>
      </c>
      <c r="E212" s="6">
        <f t="shared" ref="E212" si="318">+C212*D212</f>
        <v>46692.799999999996</v>
      </c>
      <c r="F212" s="6">
        <f t="shared" ref="F212" si="319">+E212*7%</f>
        <v>3268.4960000000001</v>
      </c>
      <c r="G212" s="6">
        <f t="shared" ref="G212" si="320">+E212+F212</f>
        <v>49961.295999999995</v>
      </c>
      <c r="H212" s="273" t="s">
        <v>392</v>
      </c>
      <c r="I212">
        <v>6901019</v>
      </c>
    </row>
    <row r="213" spans="1:9" ht="18" customHeight="1" x14ac:dyDescent="0.4">
      <c r="A213" s="4" t="s">
        <v>229</v>
      </c>
      <c r="B213" s="275" t="s">
        <v>230</v>
      </c>
      <c r="C213" s="276">
        <v>971.3</v>
      </c>
      <c r="D213" s="277">
        <v>81</v>
      </c>
      <c r="E213" s="6">
        <f t="shared" si="210"/>
        <v>78675.3</v>
      </c>
      <c r="F213" s="6">
        <f t="shared" si="211"/>
        <v>5507.2710000000006</v>
      </c>
      <c r="G213" s="6">
        <f t="shared" si="212"/>
        <v>84182.570999999996</v>
      </c>
      <c r="H213" s="273" t="s">
        <v>392</v>
      </c>
      <c r="I213">
        <v>6901120</v>
      </c>
    </row>
    <row r="214" spans="1:9" ht="18" customHeight="1" x14ac:dyDescent="0.4">
      <c r="A214" s="4" t="s">
        <v>275</v>
      </c>
      <c r="B214" s="275" t="s">
        <v>230</v>
      </c>
      <c r="C214" s="276">
        <v>577.66</v>
      </c>
      <c r="D214" s="277">
        <v>81</v>
      </c>
      <c r="E214" s="6">
        <f t="shared" ref="E214" si="321">+C214*D214</f>
        <v>46790.46</v>
      </c>
      <c r="F214" s="6">
        <f t="shared" ref="F214" si="322">+E214*7%</f>
        <v>3275.3322000000003</v>
      </c>
      <c r="G214" s="6">
        <f t="shared" ref="G214" si="323">+E214+F214</f>
        <v>50065.792199999996</v>
      </c>
      <c r="H214" s="273" t="s">
        <v>392</v>
      </c>
      <c r="I214">
        <v>6901304</v>
      </c>
    </row>
    <row r="215" spans="1:9" ht="18" customHeight="1" x14ac:dyDescent="0.4">
      <c r="A215" s="4" t="s">
        <v>242</v>
      </c>
      <c r="B215" s="275" t="s">
        <v>124</v>
      </c>
      <c r="C215" s="276">
        <v>144.54</v>
      </c>
      <c r="D215" s="277">
        <v>81</v>
      </c>
      <c r="E215" s="6">
        <f t="shared" ref="E215" si="324">+C215*D215</f>
        <v>11707.74</v>
      </c>
      <c r="F215" s="6">
        <f t="shared" ref="F215" si="325">+E215*7%</f>
        <v>819.54180000000008</v>
      </c>
      <c r="G215" s="6">
        <f t="shared" ref="G215" si="326">+E215+F215</f>
        <v>12527.281800000001</v>
      </c>
      <c r="H215" s="274" t="s">
        <v>398</v>
      </c>
      <c r="I215">
        <v>6901170</v>
      </c>
    </row>
    <row r="216" spans="1:9" ht="18" customHeight="1" x14ac:dyDescent="0.4">
      <c r="A216" s="4" t="s">
        <v>249</v>
      </c>
      <c r="B216" s="275" t="s">
        <v>248</v>
      </c>
      <c r="C216" s="276">
        <v>198.17</v>
      </c>
      <c r="D216" s="277">
        <v>81</v>
      </c>
      <c r="E216" s="6">
        <f t="shared" ref="E216" si="327">+C216*D216</f>
        <v>16051.769999999999</v>
      </c>
      <c r="F216" s="6">
        <f t="shared" ref="F216" si="328">+E216*7%</f>
        <v>1123.6239</v>
      </c>
      <c r="G216" s="6">
        <f t="shared" ref="G216" si="329">+E216+F216</f>
        <v>17175.393899999999</v>
      </c>
      <c r="H216" s="274" t="s">
        <v>398</v>
      </c>
      <c r="I216">
        <v>6901194</v>
      </c>
    </row>
    <row r="217" spans="1:9" ht="18" customHeight="1" x14ac:dyDescent="0.4">
      <c r="A217" s="4" t="s">
        <v>216</v>
      </c>
      <c r="B217" s="275" t="s">
        <v>41</v>
      </c>
      <c r="C217" s="276">
        <v>194.52</v>
      </c>
      <c r="D217" s="277">
        <v>81</v>
      </c>
      <c r="E217" s="6">
        <f t="shared" si="210"/>
        <v>15756.12</v>
      </c>
      <c r="F217" s="6">
        <f t="shared" si="211"/>
        <v>1102.9284000000002</v>
      </c>
      <c r="G217" s="6">
        <f t="shared" si="212"/>
        <v>16859.0484</v>
      </c>
      <c r="H217" s="273" t="s">
        <v>392</v>
      </c>
      <c r="I217">
        <v>6901094</v>
      </c>
    </row>
    <row r="218" spans="1:9" ht="18" customHeight="1" x14ac:dyDescent="0.4">
      <c r="A218" s="4" t="s">
        <v>242</v>
      </c>
      <c r="B218" s="275" t="s">
        <v>41</v>
      </c>
      <c r="C218" s="276">
        <v>384.24</v>
      </c>
      <c r="D218" s="277">
        <v>81</v>
      </c>
      <c r="E218" s="6">
        <f t="shared" ref="E218" si="330">+C218*D218</f>
        <v>31123.440000000002</v>
      </c>
      <c r="F218" s="6">
        <f t="shared" ref="F218" si="331">+E218*7%</f>
        <v>2178.6408000000006</v>
      </c>
      <c r="G218" s="6">
        <f t="shared" ref="G218" si="332">+E218+F218</f>
        <v>33302.080800000003</v>
      </c>
      <c r="H218" s="273" t="s">
        <v>392</v>
      </c>
      <c r="I218">
        <v>6901171</v>
      </c>
    </row>
    <row r="219" spans="1:9" ht="18" customHeight="1" x14ac:dyDescent="0.4">
      <c r="A219" s="4" t="s">
        <v>216</v>
      </c>
      <c r="B219" s="275" t="s">
        <v>220</v>
      </c>
      <c r="C219" s="276">
        <v>589.36</v>
      </c>
      <c r="D219" s="277">
        <v>80</v>
      </c>
      <c r="E219" s="6">
        <f t="shared" ref="E219" si="333">+C219*D219</f>
        <v>47148.800000000003</v>
      </c>
      <c r="F219" s="6">
        <f t="shared" ref="F219" si="334">+E219*7%</f>
        <v>3300.4160000000006</v>
      </c>
      <c r="G219" s="6">
        <f t="shared" ref="G219" si="335">+E219+F219</f>
        <v>50449.216</v>
      </c>
      <c r="H219" s="273" t="s">
        <v>392</v>
      </c>
      <c r="I219">
        <v>6901093</v>
      </c>
    </row>
    <row r="220" spans="1:9" ht="18" customHeight="1" x14ac:dyDescent="0.4">
      <c r="A220" s="4" t="s">
        <v>204</v>
      </c>
      <c r="B220" s="275" t="s">
        <v>42</v>
      </c>
      <c r="C220" s="276">
        <v>595.30999999999995</v>
      </c>
      <c r="D220" s="277">
        <v>81</v>
      </c>
      <c r="E220" s="6">
        <f t="shared" si="210"/>
        <v>48220.109999999993</v>
      </c>
      <c r="F220" s="6">
        <f t="shared" si="211"/>
        <v>3375.4076999999997</v>
      </c>
      <c r="G220" s="6">
        <f t="shared" si="212"/>
        <v>51595.517699999997</v>
      </c>
      <c r="H220" s="274" t="s">
        <v>398</v>
      </c>
      <c r="I220">
        <v>6901056</v>
      </c>
    </row>
    <row r="221" spans="1:9" ht="18" customHeight="1" x14ac:dyDescent="0.4">
      <c r="A221" s="4" t="s">
        <v>275</v>
      </c>
      <c r="B221" s="275" t="s">
        <v>42</v>
      </c>
      <c r="C221" s="276">
        <v>293.43</v>
      </c>
      <c r="D221" s="277">
        <v>81</v>
      </c>
      <c r="E221" s="6">
        <f t="shared" ref="E221" si="336">+C221*D221</f>
        <v>23767.83</v>
      </c>
      <c r="F221" s="6">
        <f t="shared" ref="F221" si="337">+E221*7%</f>
        <v>1663.7481000000002</v>
      </c>
      <c r="G221" s="6">
        <f t="shared" ref="G221" si="338">+E221+F221</f>
        <v>25431.578100000002</v>
      </c>
      <c r="H221" s="274" t="s">
        <v>398</v>
      </c>
      <c r="I221">
        <v>6901308</v>
      </c>
    </row>
    <row r="222" spans="1:9" ht="18" customHeight="1" x14ac:dyDescent="0.4">
      <c r="A222" s="4" t="s">
        <v>216</v>
      </c>
      <c r="B222" s="275" t="s">
        <v>221</v>
      </c>
      <c r="C222" s="276">
        <v>293.88</v>
      </c>
      <c r="D222" s="277">
        <v>81</v>
      </c>
      <c r="E222" s="6">
        <f t="shared" ref="E222" si="339">+C222*D222</f>
        <v>23804.28</v>
      </c>
      <c r="F222" s="6">
        <f t="shared" ref="F222" si="340">+E222*7%</f>
        <v>1666.2996000000001</v>
      </c>
      <c r="G222" s="6">
        <f t="shared" ref="G222" si="341">+E222+F222</f>
        <v>25470.579599999997</v>
      </c>
      <c r="H222" s="273" t="s">
        <v>392</v>
      </c>
      <c r="I222">
        <v>6901092</v>
      </c>
    </row>
    <row r="223" spans="1:9" ht="18" customHeight="1" x14ac:dyDescent="0.4">
      <c r="A223" s="4" t="s">
        <v>216</v>
      </c>
      <c r="B223" s="275" t="s">
        <v>223</v>
      </c>
      <c r="C223" s="276">
        <v>885.04</v>
      </c>
      <c r="D223" s="277">
        <v>81</v>
      </c>
      <c r="E223" s="6">
        <f t="shared" ref="E223" si="342">+C223*D223</f>
        <v>71688.239999999991</v>
      </c>
      <c r="F223" s="6">
        <f t="shared" ref="F223" si="343">+E223*7%</f>
        <v>5018.1768000000002</v>
      </c>
      <c r="G223" s="6">
        <f t="shared" ref="G223" si="344">+E223+F223</f>
        <v>76706.416799999992</v>
      </c>
      <c r="H223" s="273" t="s">
        <v>392</v>
      </c>
      <c r="I223">
        <v>6901089</v>
      </c>
    </row>
    <row r="224" spans="1:9" ht="18" customHeight="1" x14ac:dyDescent="0.4">
      <c r="A224" s="4" t="s">
        <v>229</v>
      </c>
      <c r="B224" s="275" t="s">
        <v>136</v>
      </c>
      <c r="C224" s="276">
        <v>199.57</v>
      </c>
      <c r="D224" s="277">
        <v>81</v>
      </c>
      <c r="E224" s="6">
        <f t="shared" si="210"/>
        <v>16165.17</v>
      </c>
      <c r="F224" s="6">
        <f t="shared" si="211"/>
        <v>1131.5619000000002</v>
      </c>
      <c r="G224" s="6">
        <f t="shared" si="212"/>
        <v>17296.731899999999</v>
      </c>
      <c r="H224" s="273" t="s">
        <v>392</v>
      </c>
      <c r="I224">
        <v>6901121</v>
      </c>
    </row>
    <row r="225" spans="1:9" ht="18" customHeight="1" x14ac:dyDescent="0.4">
      <c r="A225" s="4" t="s">
        <v>242</v>
      </c>
      <c r="B225" s="275" t="s">
        <v>136</v>
      </c>
      <c r="C225" s="276">
        <v>194.27</v>
      </c>
      <c r="D225" s="277">
        <v>81</v>
      </c>
      <c r="E225" s="6">
        <f t="shared" ref="E225" si="345">+C225*D225</f>
        <v>15735.87</v>
      </c>
      <c r="F225" s="6">
        <f t="shared" ref="F225" si="346">+E225*7%</f>
        <v>1101.5109000000002</v>
      </c>
      <c r="G225" s="6">
        <f t="shared" ref="G225" si="347">+E225+F225</f>
        <v>16837.3809</v>
      </c>
      <c r="H225" s="273" t="s">
        <v>392</v>
      </c>
      <c r="I225">
        <v>6901173</v>
      </c>
    </row>
    <row r="226" spans="1:9" ht="18" customHeight="1" thickBot="1" x14ac:dyDescent="0.35">
      <c r="A226" s="61"/>
      <c r="B226" s="17" t="s">
        <v>15</v>
      </c>
      <c r="C226" s="18">
        <f>SUM(C158:C225)</f>
        <v>35307.749999999993</v>
      </c>
      <c r="D226" s="66"/>
      <c r="E226" s="20">
        <f>SUM(E158:E225)</f>
        <v>2722392.5949999997</v>
      </c>
      <c r="F226" s="20">
        <f>SUM(F158:F225)</f>
        <v>190567.48165000006</v>
      </c>
      <c r="G226" s="20">
        <f>SUM(G158:G225)</f>
        <v>2912960.0766500006</v>
      </c>
    </row>
    <row r="227" spans="1:9" ht="18" customHeight="1" thickTop="1" x14ac:dyDescent="0.3">
      <c r="A227" s="67"/>
      <c r="B227" s="68"/>
      <c r="C227" s="69"/>
      <c r="D227" s="88"/>
      <c r="E227" s="187"/>
      <c r="F227" s="187"/>
      <c r="G227" s="187"/>
    </row>
    <row r="228" spans="1:9" s="30" customFormat="1" ht="23.25" x14ac:dyDescent="0.5">
      <c r="A228" s="359" t="s">
        <v>32</v>
      </c>
      <c r="B228" s="359"/>
      <c r="C228" s="359"/>
      <c r="D228" s="359"/>
      <c r="E228" s="359"/>
      <c r="F228" s="359"/>
      <c r="G228" s="359"/>
    </row>
    <row r="229" spans="1:9" s="30" customFormat="1" ht="18" customHeight="1" x14ac:dyDescent="0.5">
      <c r="A229" s="1" t="s">
        <v>2</v>
      </c>
      <c r="B229" s="2" t="s">
        <v>3</v>
      </c>
      <c r="C229" s="205" t="s">
        <v>76</v>
      </c>
      <c r="D229" s="206" t="s">
        <v>5</v>
      </c>
      <c r="E229" s="2" t="s">
        <v>6</v>
      </c>
      <c r="F229" s="2" t="s">
        <v>7</v>
      </c>
      <c r="G229" s="2" t="s">
        <v>8</v>
      </c>
    </row>
    <row r="230" spans="1:9" s="30" customFormat="1" ht="18" customHeight="1" x14ac:dyDescent="0.5">
      <c r="A230" s="11" t="s">
        <v>275</v>
      </c>
      <c r="B230" s="5" t="s">
        <v>276</v>
      </c>
      <c r="C230" s="6">
        <v>180</v>
      </c>
      <c r="D230" s="7">
        <v>137</v>
      </c>
      <c r="E230" s="6">
        <f t="shared" ref="E230" si="348">+C230*D230</f>
        <v>24660</v>
      </c>
      <c r="F230" s="6">
        <f t="shared" ref="F230" si="349">+E230*7%</f>
        <v>1726.2000000000003</v>
      </c>
      <c r="G230" s="6">
        <f t="shared" ref="G230" si="350">+E230+F230</f>
        <v>26386.2</v>
      </c>
      <c r="I230" s="30">
        <v>6901309</v>
      </c>
    </row>
    <row r="231" spans="1:9" s="30" customFormat="1" ht="18" customHeight="1" x14ac:dyDescent="0.5">
      <c r="A231" s="11" t="s">
        <v>286</v>
      </c>
      <c r="B231" s="5" t="s">
        <v>276</v>
      </c>
      <c r="C231" s="6">
        <v>180</v>
      </c>
      <c r="D231" s="7">
        <v>137</v>
      </c>
      <c r="E231" s="6">
        <f t="shared" ref="E231" si="351">+C231*D231</f>
        <v>24660</v>
      </c>
      <c r="F231" s="6">
        <f t="shared" ref="F231" si="352">+E231*7%</f>
        <v>1726.2000000000003</v>
      </c>
      <c r="G231" s="6">
        <f t="shared" ref="G231" si="353">+E231+F231</f>
        <v>26386.2</v>
      </c>
      <c r="I231" s="30">
        <v>6901349</v>
      </c>
    </row>
    <row r="232" spans="1:9" ht="18" customHeight="1" thickBot="1" x14ac:dyDescent="0.45">
      <c r="A232" s="11"/>
      <c r="B232" s="73"/>
      <c r="C232" s="43">
        <f>SUM(C230:C231)</f>
        <v>360</v>
      </c>
      <c r="D232" s="38"/>
      <c r="E232" s="43">
        <f>SUM(E230:E231)</f>
        <v>49320</v>
      </c>
      <c r="F232" s="43">
        <f t="shared" ref="F232:G232" si="354">SUM(F230:F231)</f>
        <v>3452.4000000000005</v>
      </c>
      <c r="G232" s="43">
        <f t="shared" si="354"/>
        <v>52772.4</v>
      </c>
    </row>
    <row r="233" spans="1:9" ht="18" customHeight="1" thickTop="1" x14ac:dyDescent="0.3">
      <c r="A233" s="67"/>
      <c r="B233" s="68"/>
      <c r="C233" s="69"/>
      <c r="D233" s="88"/>
      <c r="E233" s="187"/>
      <c r="F233" s="187"/>
      <c r="G233" s="187"/>
    </row>
    <row r="234" spans="1:9" s="30" customFormat="1" ht="12" customHeight="1" thickBot="1" x14ac:dyDescent="0.55000000000000004">
      <c r="A234" s="21"/>
      <c r="B234" s="147" t="s">
        <v>276</v>
      </c>
      <c r="C234" s="148">
        <f>+C232</f>
        <v>360</v>
      </c>
      <c r="D234" s="149">
        <v>2.21</v>
      </c>
      <c r="E234" s="188">
        <f>+C234*D234</f>
        <v>795.6</v>
      </c>
      <c r="F234" s="23"/>
      <c r="G234" s="23"/>
    </row>
    <row r="235" spans="1:9" s="30" customFormat="1" ht="18.75" customHeight="1" thickTop="1" x14ac:dyDescent="0.5">
      <c r="A235" s="85"/>
      <c r="B235" s="68"/>
      <c r="C235" s="69"/>
      <c r="D235" s="70"/>
      <c r="E235" s="71"/>
      <c r="F235" s="71"/>
      <c r="G235" s="71"/>
    </row>
    <row r="236" spans="1:9" s="30" customFormat="1" ht="23.25" x14ac:dyDescent="0.5">
      <c r="A236" s="359" t="s">
        <v>43</v>
      </c>
      <c r="B236" s="359"/>
      <c r="C236" s="359"/>
      <c r="D236" s="359"/>
      <c r="E236" s="359"/>
      <c r="F236" s="359"/>
      <c r="G236" s="359"/>
    </row>
    <row r="237" spans="1:9" s="30" customFormat="1" ht="18" customHeight="1" x14ac:dyDescent="0.5">
      <c r="A237" s="1" t="s">
        <v>2</v>
      </c>
      <c r="B237" s="2" t="s">
        <v>3</v>
      </c>
      <c r="C237" s="205" t="s">
        <v>44</v>
      </c>
      <c r="D237" s="206" t="s">
        <v>5</v>
      </c>
      <c r="E237" s="2" t="s">
        <v>6</v>
      </c>
      <c r="F237" s="2" t="s">
        <v>7</v>
      </c>
      <c r="G237" s="2" t="s">
        <v>8</v>
      </c>
    </row>
    <row r="238" spans="1:9" ht="18" customHeight="1" x14ac:dyDescent="0.4">
      <c r="A238" s="4" t="s">
        <v>192</v>
      </c>
      <c r="B238" s="5" t="s">
        <v>45</v>
      </c>
      <c r="C238" s="6">
        <v>40800</v>
      </c>
      <c r="D238" s="7">
        <v>0.64</v>
      </c>
      <c r="E238" s="6">
        <f t="shared" ref="E238:E258" si="355">+C238*D238</f>
        <v>26112</v>
      </c>
      <c r="F238" s="6">
        <f t="shared" ref="F238:F258" si="356">+E238*7%</f>
        <v>1827.8400000000001</v>
      </c>
      <c r="G238" s="6">
        <f t="shared" ref="G238:G258" si="357">+E238+F238</f>
        <v>27939.84</v>
      </c>
      <c r="I238">
        <v>6901009</v>
      </c>
    </row>
    <row r="239" spans="1:9" s="30" customFormat="1" ht="18" customHeight="1" x14ac:dyDescent="0.5">
      <c r="A239" s="4" t="s">
        <v>204</v>
      </c>
      <c r="B239" s="5" t="s">
        <v>45</v>
      </c>
      <c r="C239" s="6">
        <v>108000</v>
      </c>
      <c r="D239" s="7">
        <v>0.64</v>
      </c>
      <c r="E239" s="37">
        <f t="shared" si="355"/>
        <v>69120</v>
      </c>
      <c r="F239" s="37">
        <f t="shared" si="356"/>
        <v>4838.4000000000005</v>
      </c>
      <c r="G239" s="37">
        <f t="shared" si="357"/>
        <v>73958.399999999994</v>
      </c>
      <c r="I239" s="30">
        <v>6901060</v>
      </c>
    </row>
    <row r="240" spans="1:9" s="30" customFormat="1" ht="18" customHeight="1" x14ac:dyDescent="0.5">
      <c r="A240" s="11" t="s">
        <v>242</v>
      </c>
      <c r="B240" s="5" t="s">
        <v>45</v>
      </c>
      <c r="C240" s="6">
        <v>108000</v>
      </c>
      <c r="D240" s="7">
        <v>0.64</v>
      </c>
      <c r="E240" s="6">
        <f t="shared" si="355"/>
        <v>69120</v>
      </c>
      <c r="F240" s="6">
        <f t="shared" si="356"/>
        <v>4838.4000000000005</v>
      </c>
      <c r="G240" s="6">
        <f t="shared" si="357"/>
        <v>73958.399999999994</v>
      </c>
      <c r="I240" s="30">
        <v>6901158</v>
      </c>
    </row>
    <row r="241" spans="1:9" s="30" customFormat="1" ht="18" customHeight="1" x14ac:dyDescent="0.5">
      <c r="A241" s="11" t="s">
        <v>254</v>
      </c>
      <c r="B241" s="5" t="s">
        <v>45</v>
      </c>
      <c r="C241" s="6">
        <v>108000</v>
      </c>
      <c r="D241" s="7">
        <v>0.64</v>
      </c>
      <c r="E241" s="37">
        <f t="shared" si="355"/>
        <v>69120</v>
      </c>
      <c r="F241" s="37">
        <f t="shared" si="356"/>
        <v>4838.4000000000005</v>
      </c>
      <c r="G241" s="37">
        <f t="shared" si="357"/>
        <v>73958.399999999994</v>
      </c>
      <c r="I241" s="30">
        <v>6901204</v>
      </c>
    </row>
    <row r="242" spans="1:9" s="30" customFormat="1" ht="18" customHeight="1" x14ac:dyDescent="0.5">
      <c r="A242" s="11" t="s">
        <v>259</v>
      </c>
      <c r="B242" s="5" t="s">
        <v>45</v>
      </c>
      <c r="C242" s="6">
        <v>108000</v>
      </c>
      <c r="D242" s="7">
        <v>0.64</v>
      </c>
      <c r="E242" s="37">
        <f t="shared" si="355"/>
        <v>69120</v>
      </c>
      <c r="F242" s="37">
        <f t="shared" si="356"/>
        <v>4838.4000000000005</v>
      </c>
      <c r="G242" s="37">
        <f t="shared" si="357"/>
        <v>73958.399999999994</v>
      </c>
      <c r="I242" s="30">
        <v>6901228</v>
      </c>
    </row>
    <row r="243" spans="1:9" s="30" customFormat="1" ht="18" customHeight="1" x14ac:dyDescent="0.5">
      <c r="A243" s="11" t="s">
        <v>261</v>
      </c>
      <c r="B243" s="5" t="s">
        <v>45</v>
      </c>
      <c r="C243" s="6">
        <v>108000</v>
      </c>
      <c r="D243" s="7">
        <v>0.64</v>
      </c>
      <c r="E243" s="37">
        <f t="shared" ref="E243" si="358">+C243*D243</f>
        <v>69120</v>
      </c>
      <c r="F243" s="37">
        <f t="shared" ref="F243" si="359">+E243*7%</f>
        <v>4838.4000000000005</v>
      </c>
      <c r="G243" s="37">
        <f t="shared" ref="G243" si="360">+E243+F243</f>
        <v>73958.399999999994</v>
      </c>
      <c r="I243" s="30">
        <v>6901231</v>
      </c>
    </row>
    <row r="244" spans="1:9" s="30" customFormat="1" ht="18" customHeight="1" x14ac:dyDescent="0.5">
      <c r="A244" s="11" t="s">
        <v>268</v>
      </c>
      <c r="B244" s="5" t="s">
        <v>45</v>
      </c>
      <c r="C244" s="6">
        <v>108000</v>
      </c>
      <c r="D244" s="7">
        <v>0.64</v>
      </c>
      <c r="E244" s="37">
        <f t="shared" ref="E244" si="361">+C244*D244</f>
        <v>69120</v>
      </c>
      <c r="F244" s="37">
        <f t="shared" ref="F244" si="362">+E244*7%</f>
        <v>4838.4000000000005</v>
      </c>
      <c r="G244" s="37">
        <f t="shared" ref="G244" si="363">+E244+F244</f>
        <v>73958.399999999994</v>
      </c>
      <c r="I244" s="30">
        <v>6901270</v>
      </c>
    </row>
    <row r="245" spans="1:9" s="30" customFormat="1" ht="18" customHeight="1" x14ac:dyDescent="0.5">
      <c r="A245" s="11" t="s">
        <v>284</v>
      </c>
      <c r="B245" s="5" t="s">
        <v>45</v>
      </c>
      <c r="C245" s="6">
        <v>24000</v>
      </c>
      <c r="D245" s="7">
        <v>0.64</v>
      </c>
      <c r="E245" s="37">
        <f t="shared" ref="E245" si="364">+C245*D245</f>
        <v>15360</v>
      </c>
      <c r="F245" s="37">
        <f t="shared" ref="F245" si="365">+E245*7%</f>
        <v>1075.2</v>
      </c>
      <c r="G245" s="37">
        <f t="shared" ref="G245" si="366">+E245+F245</f>
        <v>16435.2</v>
      </c>
      <c r="I245" s="30">
        <v>6901354</v>
      </c>
    </row>
    <row r="246" spans="1:9" s="30" customFormat="1" ht="18" customHeight="1" x14ac:dyDescent="0.5">
      <c r="A246" s="11" t="s">
        <v>286</v>
      </c>
      <c r="B246" s="5" t="s">
        <v>45</v>
      </c>
      <c r="C246" s="6">
        <v>84000</v>
      </c>
      <c r="D246" s="7">
        <v>0.64</v>
      </c>
      <c r="E246" s="37">
        <f t="shared" ref="E246" si="367">+C246*D246</f>
        <v>53760</v>
      </c>
      <c r="F246" s="37">
        <f t="shared" ref="F246" si="368">+E246*7%</f>
        <v>3763.2000000000003</v>
      </c>
      <c r="G246" s="37">
        <f t="shared" ref="G246" si="369">+E246+F246</f>
        <v>57523.199999999997</v>
      </c>
      <c r="I246" s="30">
        <v>6901342</v>
      </c>
    </row>
    <row r="247" spans="1:9" s="30" customFormat="1" ht="18" customHeight="1" x14ac:dyDescent="0.5">
      <c r="A247" s="11" t="s">
        <v>192</v>
      </c>
      <c r="B247" s="5" t="s">
        <v>46</v>
      </c>
      <c r="C247" s="6">
        <v>201600</v>
      </c>
      <c r="D247" s="7">
        <v>0.68</v>
      </c>
      <c r="E247" s="37">
        <f t="shared" si="355"/>
        <v>137088</v>
      </c>
      <c r="F247" s="37">
        <f t="shared" si="356"/>
        <v>9596.1600000000017</v>
      </c>
      <c r="G247" s="37">
        <f t="shared" si="357"/>
        <v>146684.16</v>
      </c>
      <c r="I247" s="30">
        <v>6901010</v>
      </c>
    </row>
    <row r="248" spans="1:9" s="30" customFormat="1" ht="18" customHeight="1" x14ac:dyDescent="0.5">
      <c r="A248" s="11" t="s">
        <v>192</v>
      </c>
      <c r="B248" s="5" t="s">
        <v>46</v>
      </c>
      <c r="C248" s="6">
        <v>200000</v>
      </c>
      <c r="D248" s="7">
        <v>0.71</v>
      </c>
      <c r="E248" s="37">
        <f t="shared" si="355"/>
        <v>142000</v>
      </c>
      <c r="F248" s="37">
        <f t="shared" si="356"/>
        <v>9940.0000000000018</v>
      </c>
      <c r="G248" s="37">
        <f t="shared" si="357"/>
        <v>151940</v>
      </c>
      <c r="I248" s="30">
        <v>6901008</v>
      </c>
    </row>
    <row r="249" spans="1:9" s="30" customFormat="1" ht="18" customHeight="1" x14ac:dyDescent="0.5">
      <c r="A249" s="11" t="s">
        <v>204</v>
      </c>
      <c r="B249" s="5" t="s">
        <v>46</v>
      </c>
      <c r="C249" s="6">
        <v>240000</v>
      </c>
      <c r="D249" s="7">
        <v>0.71</v>
      </c>
      <c r="E249" s="37">
        <f t="shared" si="355"/>
        <v>170400</v>
      </c>
      <c r="F249" s="37">
        <f t="shared" si="356"/>
        <v>11928.000000000002</v>
      </c>
      <c r="G249" s="37">
        <f t="shared" si="357"/>
        <v>182328</v>
      </c>
      <c r="I249" s="30">
        <v>6901059</v>
      </c>
    </row>
    <row r="250" spans="1:9" s="30" customFormat="1" ht="18" customHeight="1" x14ac:dyDescent="0.5">
      <c r="A250" s="11" t="s">
        <v>229</v>
      </c>
      <c r="B250" s="5" t="s">
        <v>46</v>
      </c>
      <c r="C250" s="6">
        <v>396000</v>
      </c>
      <c r="D250" s="7">
        <v>0.68</v>
      </c>
      <c r="E250" s="37">
        <f t="shared" si="355"/>
        <v>269280</v>
      </c>
      <c r="F250" s="37">
        <f t="shared" si="356"/>
        <v>18849.600000000002</v>
      </c>
      <c r="G250" s="37">
        <f t="shared" si="357"/>
        <v>288129.59999999998</v>
      </c>
      <c r="I250" s="30">
        <v>6901112</v>
      </c>
    </row>
    <row r="251" spans="1:9" s="30" customFormat="1" ht="18" customHeight="1" x14ac:dyDescent="0.5">
      <c r="A251" s="11" t="s">
        <v>237</v>
      </c>
      <c r="B251" s="5" t="s">
        <v>46</v>
      </c>
      <c r="C251" s="6">
        <v>184800</v>
      </c>
      <c r="D251" s="7">
        <v>0.68</v>
      </c>
      <c r="E251" s="37">
        <f t="shared" si="355"/>
        <v>125664.00000000001</v>
      </c>
      <c r="F251" s="37">
        <f t="shared" si="356"/>
        <v>8796.4800000000014</v>
      </c>
      <c r="G251" s="37">
        <f t="shared" si="357"/>
        <v>134460.48000000001</v>
      </c>
      <c r="I251" s="30">
        <v>6901145</v>
      </c>
    </row>
    <row r="252" spans="1:9" s="30" customFormat="1" ht="18" customHeight="1" x14ac:dyDescent="0.5">
      <c r="A252" s="11" t="s">
        <v>249</v>
      </c>
      <c r="B252" s="5" t="s">
        <v>46</v>
      </c>
      <c r="C252" s="6">
        <v>396000</v>
      </c>
      <c r="D252" s="7">
        <v>0.68</v>
      </c>
      <c r="E252" s="37">
        <f t="shared" si="355"/>
        <v>269280</v>
      </c>
      <c r="F252" s="37">
        <f t="shared" si="356"/>
        <v>18849.600000000002</v>
      </c>
      <c r="G252" s="37">
        <f t="shared" si="357"/>
        <v>288129.59999999998</v>
      </c>
      <c r="I252" s="30">
        <v>6901186</v>
      </c>
    </row>
    <row r="253" spans="1:9" s="30" customFormat="1" ht="18" customHeight="1" x14ac:dyDescent="0.5">
      <c r="A253" s="11" t="s">
        <v>254</v>
      </c>
      <c r="B253" s="5" t="s">
        <v>46</v>
      </c>
      <c r="C253" s="6">
        <v>184800</v>
      </c>
      <c r="D253" s="7">
        <v>0.68</v>
      </c>
      <c r="E253" s="37">
        <f t="shared" si="355"/>
        <v>125664.00000000001</v>
      </c>
      <c r="F253" s="37">
        <f t="shared" si="356"/>
        <v>8796.4800000000014</v>
      </c>
      <c r="G253" s="37">
        <f t="shared" si="357"/>
        <v>134460.48000000001</v>
      </c>
      <c r="I253" s="30">
        <v>6901205</v>
      </c>
    </row>
    <row r="254" spans="1:9" s="30" customFormat="1" ht="18" customHeight="1" x14ac:dyDescent="0.5">
      <c r="A254" s="11" t="s">
        <v>254</v>
      </c>
      <c r="B254" s="5" t="s">
        <v>46</v>
      </c>
      <c r="C254" s="6">
        <v>220000</v>
      </c>
      <c r="D254" s="7">
        <v>0.63</v>
      </c>
      <c r="E254" s="37">
        <f t="shared" si="355"/>
        <v>138600</v>
      </c>
      <c r="F254" s="37">
        <f t="shared" si="356"/>
        <v>9702.0000000000018</v>
      </c>
      <c r="G254" s="37">
        <f t="shared" si="357"/>
        <v>148302</v>
      </c>
      <c r="I254" s="30">
        <v>6901203</v>
      </c>
    </row>
    <row r="255" spans="1:9" s="30" customFormat="1" ht="18" customHeight="1" x14ac:dyDescent="0.5">
      <c r="A255" s="11" t="s">
        <v>261</v>
      </c>
      <c r="B255" s="5" t="s">
        <v>46</v>
      </c>
      <c r="C255" s="6">
        <v>369600</v>
      </c>
      <c r="D255" s="7">
        <v>0.68</v>
      </c>
      <c r="E255" s="37">
        <f t="shared" si="355"/>
        <v>251328.00000000003</v>
      </c>
      <c r="F255" s="37">
        <f t="shared" si="356"/>
        <v>17592.960000000003</v>
      </c>
      <c r="G255" s="37">
        <f t="shared" si="357"/>
        <v>268920.96000000002</v>
      </c>
      <c r="I255" s="30">
        <v>6901230</v>
      </c>
    </row>
    <row r="256" spans="1:9" s="30" customFormat="1" ht="18" customHeight="1" x14ac:dyDescent="0.5">
      <c r="A256" s="11" t="s">
        <v>264</v>
      </c>
      <c r="B256" s="5" t="s">
        <v>46</v>
      </c>
      <c r="C256" s="6">
        <v>184800</v>
      </c>
      <c r="D256" s="7">
        <v>0.68</v>
      </c>
      <c r="E256" s="37">
        <f t="shared" si="355"/>
        <v>125664.00000000001</v>
      </c>
      <c r="F256" s="37">
        <f t="shared" si="356"/>
        <v>8796.4800000000014</v>
      </c>
      <c r="G256" s="37">
        <f t="shared" si="357"/>
        <v>134460.48000000001</v>
      </c>
      <c r="I256" s="30">
        <v>6901249</v>
      </c>
    </row>
    <row r="257" spans="1:9" s="30" customFormat="1" ht="18" customHeight="1" x14ac:dyDescent="0.5">
      <c r="A257" s="11" t="s">
        <v>268</v>
      </c>
      <c r="B257" s="5" t="s">
        <v>46</v>
      </c>
      <c r="C257" s="6">
        <v>184800</v>
      </c>
      <c r="D257" s="7">
        <v>0.68</v>
      </c>
      <c r="E257" s="37">
        <f t="shared" ref="E257" si="370">+C257*D257</f>
        <v>125664.00000000001</v>
      </c>
      <c r="F257" s="37">
        <f t="shared" ref="F257" si="371">+E257*7%</f>
        <v>8796.4800000000014</v>
      </c>
      <c r="G257" s="37">
        <f t="shared" ref="G257" si="372">+E257+F257</f>
        <v>134460.48000000001</v>
      </c>
      <c r="I257" s="30">
        <v>6901269</v>
      </c>
    </row>
    <row r="258" spans="1:9" s="30" customFormat="1" ht="18" customHeight="1" x14ac:dyDescent="0.5">
      <c r="A258" s="11" t="s">
        <v>280</v>
      </c>
      <c r="B258" s="5" t="s">
        <v>46</v>
      </c>
      <c r="C258" s="6">
        <v>369600</v>
      </c>
      <c r="D258" s="7">
        <v>0.68</v>
      </c>
      <c r="E258" s="37">
        <f t="shared" si="355"/>
        <v>251328.00000000003</v>
      </c>
      <c r="F258" s="37">
        <f t="shared" si="356"/>
        <v>17592.960000000003</v>
      </c>
      <c r="G258" s="37">
        <f t="shared" si="357"/>
        <v>268920.96000000002</v>
      </c>
      <c r="I258" s="30">
        <v>6901324</v>
      </c>
    </row>
    <row r="259" spans="1:9" ht="18" customHeight="1" thickBot="1" x14ac:dyDescent="0.45">
      <c r="A259" s="207"/>
      <c r="B259" s="73" t="s">
        <v>15</v>
      </c>
      <c r="C259" s="43">
        <f>SUM(C238:C258)</f>
        <v>3928800</v>
      </c>
      <c r="D259" s="38"/>
      <c r="E259" s="43">
        <f>SUM(E238:E258)</f>
        <v>2641912</v>
      </c>
      <c r="F259" s="43">
        <f t="shared" ref="F259:G259" si="373">SUM(F238:F258)</f>
        <v>184933.84000000003</v>
      </c>
      <c r="G259" s="43">
        <f t="shared" si="373"/>
        <v>2826845.84</v>
      </c>
    </row>
    <row r="260" spans="1:9" ht="15" customHeight="1" thickTop="1" x14ac:dyDescent="0.4">
      <c r="A260" s="208"/>
      <c r="B260" s="22"/>
      <c r="C260" s="197"/>
      <c r="D260" s="198"/>
      <c r="E260" s="22"/>
      <c r="F260" s="74"/>
      <c r="G260" s="22"/>
    </row>
    <row r="261" spans="1:9" ht="18" customHeight="1" x14ac:dyDescent="0.4">
      <c r="A261" s="1" t="s">
        <v>2</v>
      </c>
      <c r="B261" s="209" t="s">
        <v>3</v>
      </c>
      <c r="C261" s="210" t="s">
        <v>47</v>
      </c>
      <c r="D261" s="211"/>
      <c r="E261" s="54"/>
      <c r="F261" s="54"/>
      <c r="G261" s="54"/>
    </row>
    <row r="262" spans="1:9" s="30" customFormat="1" ht="18" customHeight="1" x14ac:dyDescent="0.5">
      <c r="A262" s="4" t="s">
        <v>192</v>
      </c>
      <c r="B262" s="5" t="s">
        <v>48</v>
      </c>
      <c r="C262" s="6">
        <v>420.6</v>
      </c>
      <c r="E262"/>
      <c r="F262" s="22"/>
      <c r="G262" s="22"/>
      <c r="I262" s="30">
        <v>6901009</v>
      </c>
    </row>
    <row r="263" spans="1:9" s="30" customFormat="1" ht="18" customHeight="1" x14ac:dyDescent="0.5">
      <c r="A263" s="12" t="s">
        <v>204</v>
      </c>
      <c r="B263" s="5" t="s">
        <v>48</v>
      </c>
      <c r="C263" s="6">
        <v>1131.3</v>
      </c>
      <c r="E263"/>
      <c r="F263" s="22"/>
      <c r="G263" s="22"/>
      <c r="I263" s="30">
        <v>6901060</v>
      </c>
    </row>
    <row r="264" spans="1:9" s="30" customFormat="1" ht="18" customHeight="1" x14ac:dyDescent="0.5">
      <c r="A264" s="12" t="s">
        <v>242</v>
      </c>
      <c r="B264" s="5" t="s">
        <v>48</v>
      </c>
      <c r="C264" s="6">
        <v>1108.3</v>
      </c>
      <c r="E264"/>
      <c r="F264" s="22"/>
      <c r="G264" s="22"/>
      <c r="I264" s="30">
        <v>6901158</v>
      </c>
    </row>
    <row r="265" spans="1:9" s="30" customFormat="1" ht="18" customHeight="1" x14ac:dyDescent="0.5">
      <c r="A265" s="11" t="s">
        <v>254</v>
      </c>
      <c r="B265" s="5" t="s">
        <v>48</v>
      </c>
      <c r="C265" s="6">
        <v>1075.8</v>
      </c>
      <c r="F265" s="22"/>
      <c r="G265" s="22"/>
      <c r="I265" s="30">
        <v>6901204</v>
      </c>
    </row>
    <row r="266" spans="1:9" s="30" customFormat="1" ht="18" customHeight="1" x14ac:dyDescent="0.5">
      <c r="A266" s="11" t="s">
        <v>259</v>
      </c>
      <c r="B266" s="5" t="s">
        <v>48</v>
      </c>
      <c r="C266" s="6">
        <v>1108.8</v>
      </c>
      <c r="F266" s="22"/>
      <c r="G266" s="22"/>
      <c r="I266" s="30">
        <v>6901228</v>
      </c>
    </row>
    <row r="267" spans="1:9" s="30" customFormat="1" ht="18" customHeight="1" x14ac:dyDescent="0.5">
      <c r="A267" s="11" t="s">
        <v>261</v>
      </c>
      <c r="B267" s="5" t="s">
        <v>48</v>
      </c>
      <c r="C267" s="6">
        <v>1095.3</v>
      </c>
      <c r="F267" s="22"/>
      <c r="G267" s="22"/>
      <c r="I267" s="30">
        <v>6901231</v>
      </c>
    </row>
    <row r="268" spans="1:9" s="30" customFormat="1" ht="18" customHeight="1" x14ac:dyDescent="0.5">
      <c r="A268" s="11" t="s">
        <v>268</v>
      </c>
      <c r="B268" s="5" t="s">
        <v>48</v>
      </c>
      <c r="C268" s="6">
        <v>1093.5999999999999</v>
      </c>
      <c r="F268" s="22"/>
      <c r="G268" s="22"/>
      <c r="I268" s="30">
        <v>6901270</v>
      </c>
    </row>
    <row r="269" spans="1:9" s="30" customFormat="1" ht="18" customHeight="1" x14ac:dyDescent="0.5">
      <c r="A269" s="11" t="s">
        <v>284</v>
      </c>
      <c r="B269" s="5" t="s">
        <v>48</v>
      </c>
      <c r="C269" s="6">
        <v>248.2</v>
      </c>
      <c r="F269" s="22"/>
      <c r="G269" s="22"/>
      <c r="I269" s="30">
        <v>6901354</v>
      </c>
    </row>
    <row r="270" spans="1:9" s="30" customFormat="1" ht="18" customHeight="1" x14ac:dyDescent="0.5">
      <c r="A270" s="11" t="s">
        <v>286</v>
      </c>
      <c r="B270" s="5" t="s">
        <v>48</v>
      </c>
      <c r="C270" s="6">
        <v>872</v>
      </c>
      <c r="F270" s="22"/>
      <c r="G270" s="22"/>
      <c r="I270" s="30">
        <v>6901342</v>
      </c>
    </row>
    <row r="271" spans="1:9" s="30" customFormat="1" ht="18" customHeight="1" x14ac:dyDescent="0.5">
      <c r="A271" s="11" t="s">
        <v>192</v>
      </c>
      <c r="B271" s="5" t="s">
        <v>49</v>
      </c>
      <c r="C271" s="6">
        <v>2177</v>
      </c>
      <c r="D271" s="26"/>
      <c r="F271" s="22"/>
      <c r="G271" s="22"/>
      <c r="I271" s="30">
        <v>6901010</v>
      </c>
    </row>
    <row r="272" spans="1:9" s="30" customFormat="1" ht="18" customHeight="1" x14ac:dyDescent="0.5">
      <c r="A272" s="11" t="s">
        <v>192</v>
      </c>
      <c r="B272" s="5" t="s">
        <v>49</v>
      </c>
      <c r="C272" s="6">
        <v>2302.1999999999998</v>
      </c>
      <c r="D272" s="26"/>
      <c r="F272" s="22"/>
      <c r="G272" s="22"/>
      <c r="I272" s="30">
        <v>6901008</v>
      </c>
    </row>
    <row r="273" spans="1:9" s="30" customFormat="1" ht="18" customHeight="1" x14ac:dyDescent="0.5">
      <c r="A273" s="11" t="s">
        <v>204</v>
      </c>
      <c r="B273" s="5" t="s">
        <v>49</v>
      </c>
      <c r="C273" s="6">
        <v>2745.1</v>
      </c>
      <c r="D273" s="26"/>
      <c r="F273" s="22"/>
      <c r="G273" s="22"/>
      <c r="I273" s="30">
        <v>6901059</v>
      </c>
    </row>
    <row r="274" spans="1:9" s="30" customFormat="1" ht="18" customHeight="1" x14ac:dyDescent="0.5">
      <c r="A274" s="11" t="s">
        <v>229</v>
      </c>
      <c r="B274" s="5" t="s">
        <v>49</v>
      </c>
      <c r="C274" s="6">
        <v>4320.8999999999996</v>
      </c>
      <c r="D274" s="26"/>
      <c r="F274" s="22"/>
      <c r="G274" s="22"/>
      <c r="I274" s="30">
        <v>6901112</v>
      </c>
    </row>
    <row r="275" spans="1:9" s="30" customFormat="1" ht="18" customHeight="1" x14ac:dyDescent="0.5">
      <c r="A275" s="11" t="s">
        <v>237</v>
      </c>
      <c r="B275" s="5" t="s">
        <v>49</v>
      </c>
      <c r="C275" s="6">
        <v>2051</v>
      </c>
      <c r="D275" s="26"/>
      <c r="F275" s="22"/>
      <c r="G275" s="22"/>
      <c r="I275" s="30">
        <v>6901145</v>
      </c>
    </row>
    <row r="276" spans="1:9" s="30" customFormat="1" ht="18" customHeight="1" x14ac:dyDescent="0.5">
      <c r="A276" s="11" t="s">
        <v>249</v>
      </c>
      <c r="B276" s="5" t="s">
        <v>49</v>
      </c>
      <c r="C276" s="6">
        <v>4220.5</v>
      </c>
      <c r="D276" s="26"/>
      <c r="F276" s="22"/>
      <c r="G276" s="22"/>
      <c r="I276" s="30">
        <v>6901186</v>
      </c>
    </row>
    <row r="277" spans="1:9" s="30" customFormat="1" ht="18" customHeight="1" x14ac:dyDescent="0.5">
      <c r="A277" s="11" t="s">
        <v>254</v>
      </c>
      <c r="B277" s="5" t="s">
        <v>49</v>
      </c>
      <c r="C277" s="6">
        <v>2018.7</v>
      </c>
      <c r="D277" s="26"/>
      <c r="F277" s="22"/>
      <c r="G277" s="22"/>
      <c r="I277" s="30">
        <v>6901205</v>
      </c>
    </row>
    <row r="278" spans="1:9" s="30" customFormat="1" ht="18" customHeight="1" x14ac:dyDescent="0.5">
      <c r="A278" s="11" t="s">
        <v>254</v>
      </c>
      <c r="B278" s="5" t="s">
        <v>49</v>
      </c>
      <c r="C278" s="6">
        <v>2476.5</v>
      </c>
      <c r="D278" s="26"/>
      <c r="F278" s="22"/>
      <c r="G278" s="22"/>
      <c r="I278" s="30">
        <v>6901203</v>
      </c>
    </row>
    <row r="279" spans="1:9" s="30" customFormat="1" ht="18" customHeight="1" x14ac:dyDescent="0.5">
      <c r="A279" s="11" t="s">
        <v>261</v>
      </c>
      <c r="B279" s="5" t="s">
        <v>49</v>
      </c>
      <c r="C279" s="6">
        <v>4053</v>
      </c>
      <c r="D279" s="26"/>
      <c r="F279" s="22"/>
      <c r="G279" s="22"/>
      <c r="I279" s="30">
        <v>6901230</v>
      </c>
    </row>
    <row r="280" spans="1:9" s="30" customFormat="1" ht="18" customHeight="1" x14ac:dyDescent="0.5">
      <c r="A280" s="11" t="s">
        <v>264</v>
      </c>
      <c r="B280" s="5" t="s">
        <v>49</v>
      </c>
      <c r="C280" s="6">
        <v>2054.3000000000002</v>
      </c>
      <c r="D280" s="26"/>
      <c r="F280" s="22"/>
      <c r="G280" s="22"/>
      <c r="I280" s="30">
        <v>6901249</v>
      </c>
    </row>
    <row r="281" spans="1:9" s="30" customFormat="1" ht="18" customHeight="1" x14ac:dyDescent="0.5">
      <c r="A281" s="11" t="s">
        <v>268</v>
      </c>
      <c r="B281" s="5" t="s">
        <v>49</v>
      </c>
      <c r="C281" s="6">
        <v>2042.6</v>
      </c>
      <c r="D281" s="26"/>
      <c r="F281" s="22"/>
      <c r="G281" s="22"/>
      <c r="I281" s="30">
        <v>6901269</v>
      </c>
    </row>
    <row r="282" spans="1:9" s="30" customFormat="1" ht="18" customHeight="1" x14ac:dyDescent="0.5">
      <c r="A282" s="11" t="s">
        <v>280</v>
      </c>
      <c r="B282" s="5" t="s">
        <v>49</v>
      </c>
      <c r="C282" s="6">
        <v>4036.1</v>
      </c>
      <c r="D282" s="26"/>
      <c r="F282" s="22"/>
      <c r="G282" s="22"/>
      <c r="I282" s="30">
        <v>6901324</v>
      </c>
    </row>
    <row r="283" spans="1:9" s="30" customFormat="1" ht="17.25" customHeight="1" thickBot="1" x14ac:dyDescent="0.55000000000000004">
      <c r="A283" s="75"/>
      <c r="B283" s="76" t="s">
        <v>50</v>
      </c>
      <c r="C283" s="77">
        <f>SUM(C262:C282)</f>
        <v>42651.8</v>
      </c>
      <c r="E283" s="22"/>
      <c r="F283" s="22"/>
      <c r="G283" s="22"/>
    </row>
    <row r="284" spans="1:9" s="30" customFormat="1" ht="18" customHeight="1" thickTop="1" x14ac:dyDescent="0.5">
      <c r="A284" s="78"/>
      <c r="B284" s="79"/>
      <c r="C284" s="80"/>
      <c r="E284" s="22"/>
      <c r="F284" s="22"/>
      <c r="G284" s="22"/>
    </row>
    <row r="285" spans="1:9" ht="23.25" x14ac:dyDescent="0.5">
      <c r="A285" s="358" t="s">
        <v>51</v>
      </c>
      <c r="B285" s="358"/>
      <c r="C285" s="358"/>
      <c r="D285" s="358"/>
      <c r="E285" s="358"/>
      <c r="F285" s="358"/>
      <c r="G285" s="358"/>
    </row>
    <row r="286" spans="1:9" s="26" customFormat="1" ht="18" customHeight="1" x14ac:dyDescent="0.45">
      <c r="A286" s="57" t="s">
        <v>2</v>
      </c>
      <c r="B286" s="58" t="s">
        <v>3</v>
      </c>
      <c r="C286" s="58" t="s">
        <v>4</v>
      </c>
      <c r="D286" s="59" t="s">
        <v>5</v>
      </c>
      <c r="E286" s="58" t="s">
        <v>6</v>
      </c>
      <c r="F286" s="58" t="s">
        <v>7</v>
      </c>
      <c r="G286" s="58" t="s">
        <v>8</v>
      </c>
    </row>
    <row r="287" spans="1:9" s="26" customFormat="1" ht="18" customHeight="1" x14ac:dyDescent="0.45">
      <c r="A287" s="81" t="s">
        <v>187</v>
      </c>
      <c r="B287" s="5" t="s">
        <v>195</v>
      </c>
      <c r="C287" s="82">
        <v>517.20000000000005</v>
      </c>
      <c r="D287" s="83">
        <v>56</v>
      </c>
      <c r="E287" s="8">
        <f>+C287*D287</f>
        <v>28963.200000000004</v>
      </c>
      <c r="F287" s="8">
        <f>+E287*7%</f>
        <v>2027.4240000000004</v>
      </c>
      <c r="G287" s="8">
        <f>+E287+F287</f>
        <v>30990.624000000003</v>
      </c>
      <c r="I287" s="26">
        <v>6901041</v>
      </c>
    </row>
    <row r="288" spans="1:9" s="26" customFormat="1" ht="18" customHeight="1" x14ac:dyDescent="0.45">
      <c r="A288" s="81" t="s">
        <v>229</v>
      </c>
      <c r="B288" s="5" t="s">
        <v>195</v>
      </c>
      <c r="C288" s="82">
        <v>472</v>
      </c>
      <c r="D288" s="83">
        <v>56</v>
      </c>
      <c r="E288" s="8">
        <f>+C288*D288</f>
        <v>26432</v>
      </c>
      <c r="F288" s="8">
        <f>+E288*7%</f>
        <v>1850.2400000000002</v>
      </c>
      <c r="G288" s="8">
        <f>+E288+F288</f>
        <v>28282.240000000002</v>
      </c>
      <c r="I288" s="26">
        <v>6901113</v>
      </c>
    </row>
    <row r="289" spans="1:9" s="26" customFormat="1" ht="18" customHeight="1" x14ac:dyDescent="0.45">
      <c r="A289" s="81" t="s">
        <v>229</v>
      </c>
      <c r="B289" s="5" t="s">
        <v>52</v>
      </c>
      <c r="C289" s="82">
        <v>936.9</v>
      </c>
      <c r="D289" s="83">
        <v>56</v>
      </c>
      <c r="E289" s="8">
        <f>+C289*D289</f>
        <v>52466.400000000001</v>
      </c>
      <c r="F289" s="8">
        <f>+E289*7%</f>
        <v>3672.6480000000006</v>
      </c>
      <c r="G289" s="8">
        <f>+E289+F289</f>
        <v>56139.048000000003</v>
      </c>
      <c r="I289" s="26">
        <v>6901114</v>
      </c>
    </row>
    <row r="290" spans="1:9" s="26" customFormat="1" ht="18" customHeight="1" x14ac:dyDescent="0.45">
      <c r="A290" s="81" t="s">
        <v>254</v>
      </c>
      <c r="B290" s="5" t="s">
        <v>52</v>
      </c>
      <c r="C290" s="82">
        <v>923.05</v>
      </c>
      <c r="D290" s="83">
        <v>56</v>
      </c>
      <c r="E290" s="8">
        <f>+C290*D290</f>
        <v>51690.799999999996</v>
      </c>
      <c r="F290" s="8">
        <f>+E290*7%</f>
        <v>3618.3560000000002</v>
      </c>
      <c r="G290" s="8">
        <f>+E290+F290</f>
        <v>55309.155999999995</v>
      </c>
      <c r="I290" s="26">
        <v>6901208</v>
      </c>
    </row>
    <row r="291" spans="1:9" s="26" customFormat="1" ht="18" customHeight="1" x14ac:dyDescent="0.45">
      <c r="A291" s="81" t="s">
        <v>268</v>
      </c>
      <c r="B291" s="5" t="s">
        <v>52</v>
      </c>
      <c r="C291" s="82">
        <v>1080.7</v>
      </c>
      <c r="D291" s="83">
        <v>56</v>
      </c>
      <c r="E291" s="8">
        <f>+C291*D291</f>
        <v>60519.200000000004</v>
      </c>
      <c r="F291" s="8">
        <f>+E291*7%</f>
        <v>4236.344000000001</v>
      </c>
      <c r="G291" s="8">
        <f>+E291+F291</f>
        <v>64755.544000000009</v>
      </c>
      <c r="I291" s="26">
        <v>6901278</v>
      </c>
    </row>
    <row r="292" spans="1:9" s="26" customFormat="1" ht="17.25" customHeight="1" thickBot="1" x14ac:dyDescent="0.5">
      <c r="A292" s="84"/>
      <c r="B292" s="17" t="s">
        <v>15</v>
      </c>
      <c r="C292" s="18">
        <f>SUM(C287:C291)</f>
        <v>3929.8499999999995</v>
      </c>
      <c r="D292" s="19"/>
      <c r="E292" s="18">
        <f>SUM(E287:E291)</f>
        <v>220071.6</v>
      </c>
      <c r="F292" s="18">
        <f t="shared" ref="F292:G292" si="374">SUM(F287:F291)</f>
        <v>15405.012000000002</v>
      </c>
      <c r="G292" s="18">
        <f t="shared" si="374"/>
        <v>235476.61200000002</v>
      </c>
    </row>
    <row r="293" spans="1:9" s="30" customFormat="1" ht="18" customHeight="1" thickTop="1" x14ac:dyDescent="0.5">
      <c r="A293" s="78"/>
      <c r="B293" s="79"/>
      <c r="C293" s="80"/>
      <c r="E293" s="22"/>
      <c r="F293" s="22"/>
      <c r="G293" s="22"/>
    </row>
    <row r="294" spans="1:9" ht="23.25" x14ac:dyDescent="0.5">
      <c r="A294" s="358" t="s">
        <v>53</v>
      </c>
      <c r="B294" s="358"/>
      <c r="C294" s="358"/>
      <c r="D294" s="358"/>
      <c r="E294" s="358"/>
      <c r="F294" s="358"/>
      <c r="G294" s="358"/>
    </row>
    <row r="295" spans="1:9" s="26" customFormat="1" ht="18" customHeight="1" x14ac:dyDescent="0.45">
      <c r="A295" s="57" t="s">
        <v>2</v>
      </c>
      <c r="B295" s="58" t="s">
        <v>3</v>
      </c>
      <c r="C295" s="58" t="s">
        <v>4</v>
      </c>
      <c r="D295" s="64" t="s">
        <v>5</v>
      </c>
      <c r="E295" s="58" t="s">
        <v>6</v>
      </c>
      <c r="F295" s="58" t="s">
        <v>7</v>
      </c>
      <c r="G295" s="58" t="s">
        <v>8</v>
      </c>
    </row>
    <row r="296" spans="1:9" s="26" customFormat="1" ht="18" customHeight="1" x14ac:dyDescent="0.45">
      <c r="A296" s="65" t="s">
        <v>261</v>
      </c>
      <c r="B296" s="5" t="s">
        <v>54</v>
      </c>
      <c r="C296" s="86">
        <v>3486.4</v>
      </c>
      <c r="D296" s="87">
        <v>57</v>
      </c>
      <c r="E296" s="37">
        <f>+C296*D296</f>
        <v>198724.80000000002</v>
      </c>
      <c r="F296" s="37">
        <f>+E296*7%</f>
        <v>13910.736000000003</v>
      </c>
      <c r="G296" s="37">
        <f>+E296+F296</f>
        <v>212635.53600000002</v>
      </c>
      <c r="I296" s="26">
        <v>6901240</v>
      </c>
    </row>
    <row r="297" spans="1:9" s="26" customFormat="1" ht="17.25" customHeight="1" thickBot="1" x14ac:dyDescent="0.5">
      <c r="A297" s="84"/>
      <c r="B297" s="17" t="s">
        <v>15</v>
      </c>
      <c r="C297" s="18">
        <f>SUM(C296:C296)</f>
        <v>3486.4</v>
      </c>
      <c r="D297" s="66"/>
      <c r="E297" s="18">
        <f>SUM(E296:E296)</f>
        <v>198724.80000000002</v>
      </c>
      <c r="F297" s="18">
        <f t="shared" ref="F297:G297" si="375">SUM(F296:F296)</f>
        <v>13910.736000000003</v>
      </c>
      <c r="G297" s="18">
        <f t="shared" si="375"/>
        <v>212635.53600000002</v>
      </c>
    </row>
    <row r="298" spans="1:9" s="26" customFormat="1" ht="15" customHeight="1" thickTop="1" x14ac:dyDescent="0.45">
      <c r="A298" s="85"/>
      <c r="B298" s="68"/>
      <c r="C298" s="69"/>
      <c r="D298" s="88"/>
      <c r="E298" s="69"/>
      <c r="F298" s="69"/>
      <c r="G298" s="69"/>
    </row>
    <row r="299" spans="1:9" ht="23.25" x14ac:dyDescent="0.5">
      <c r="A299" s="358" t="s">
        <v>55</v>
      </c>
      <c r="B299" s="358"/>
      <c r="C299" s="358"/>
      <c r="D299" s="358"/>
      <c r="E299" s="358"/>
      <c r="F299" s="358"/>
      <c r="G299" s="358"/>
    </row>
    <row r="300" spans="1:9" s="26" customFormat="1" ht="18" customHeight="1" x14ac:dyDescent="0.45">
      <c r="A300" s="57" t="s">
        <v>2</v>
      </c>
      <c r="B300" s="58" t="s">
        <v>3</v>
      </c>
      <c r="C300" s="58" t="s">
        <v>4</v>
      </c>
      <c r="D300" s="64" t="s">
        <v>5</v>
      </c>
      <c r="E300" s="58" t="s">
        <v>6</v>
      </c>
      <c r="F300" s="58" t="s">
        <v>7</v>
      </c>
      <c r="G300" s="58" t="s">
        <v>8</v>
      </c>
    </row>
    <row r="301" spans="1:9" s="26" customFormat="1" ht="18" customHeight="1" x14ac:dyDescent="0.45">
      <c r="A301" s="16" t="s">
        <v>235</v>
      </c>
      <c r="B301" s="5" t="s">
        <v>54</v>
      </c>
      <c r="C301" s="86">
        <v>5249.1</v>
      </c>
      <c r="D301" s="87">
        <v>56</v>
      </c>
      <c r="E301" s="37">
        <f t="shared" ref="E301" si="376">+C301*D301</f>
        <v>293949.60000000003</v>
      </c>
      <c r="F301" s="37">
        <f t="shared" ref="F301" si="377">+E301*7%</f>
        <v>20576.472000000005</v>
      </c>
      <c r="G301" s="37">
        <f t="shared" ref="G301" si="378">+E301+F301</f>
        <v>314526.07200000004</v>
      </c>
      <c r="I301" s="26">
        <v>6901132</v>
      </c>
    </row>
    <row r="302" spans="1:9" s="26" customFormat="1" ht="17.25" customHeight="1" thickBot="1" x14ac:dyDescent="0.5">
      <c r="A302" s="84"/>
      <c r="B302" s="17" t="s">
        <v>15</v>
      </c>
      <c r="C302" s="18">
        <f>SUM(C301:C301)</f>
        <v>5249.1</v>
      </c>
      <c r="D302" s="66"/>
      <c r="E302" s="18">
        <f>SUM(E301:E301)</f>
        <v>293949.60000000003</v>
      </c>
      <c r="F302" s="18">
        <f t="shared" ref="F302:G302" si="379">SUM(F301:F301)</f>
        <v>20576.472000000005</v>
      </c>
      <c r="G302" s="18">
        <f t="shared" si="379"/>
        <v>314526.07200000004</v>
      </c>
    </row>
    <row r="303" spans="1:9" s="26" customFormat="1" ht="31.5" customHeight="1" thickTop="1" x14ac:dyDescent="0.45">
      <c r="A303" s="85"/>
      <c r="B303" s="68"/>
      <c r="C303" s="69"/>
      <c r="D303" s="88"/>
      <c r="E303" s="69"/>
      <c r="F303" s="69"/>
      <c r="G303" s="69"/>
    </row>
    <row r="304" spans="1:9" ht="23.25" x14ac:dyDescent="0.5">
      <c r="A304" s="358" t="s">
        <v>140</v>
      </c>
      <c r="B304" s="358"/>
      <c r="C304" s="358"/>
      <c r="D304" s="358"/>
      <c r="E304" s="358"/>
      <c r="F304" s="358"/>
      <c r="G304" s="358"/>
    </row>
    <row r="305" spans="1:9" s="26" customFormat="1" ht="18" customHeight="1" x14ac:dyDescent="0.45">
      <c r="A305" s="57" t="s">
        <v>2</v>
      </c>
      <c r="B305" s="58" t="s">
        <v>3</v>
      </c>
      <c r="C305" s="58" t="s">
        <v>4</v>
      </c>
      <c r="D305" s="64" t="s">
        <v>5</v>
      </c>
      <c r="E305" s="58" t="s">
        <v>6</v>
      </c>
      <c r="F305" s="58" t="s">
        <v>7</v>
      </c>
      <c r="G305" s="58" t="s">
        <v>8</v>
      </c>
    </row>
    <row r="306" spans="1:9" s="26" customFormat="1" ht="18" customHeight="1" x14ac:dyDescent="0.45">
      <c r="A306" s="16" t="s">
        <v>187</v>
      </c>
      <c r="B306" s="5" t="s">
        <v>54</v>
      </c>
      <c r="C306" s="86">
        <v>3469.9</v>
      </c>
      <c r="D306" s="87">
        <v>57</v>
      </c>
      <c r="E306" s="37">
        <f t="shared" ref="E306" si="380">+C306*D306</f>
        <v>197784.30000000002</v>
      </c>
      <c r="F306" s="37">
        <f t="shared" ref="F306" si="381">+E306*7%</f>
        <v>13844.901000000002</v>
      </c>
      <c r="G306" s="37">
        <f t="shared" ref="G306" si="382">+E306+F306</f>
        <v>211629.20100000003</v>
      </c>
      <c r="I306" s="26">
        <v>6901027</v>
      </c>
    </row>
    <row r="307" spans="1:9" s="26" customFormat="1" ht="17.25" customHeight="1" thickBot="1" x14ac:dyDescent="0.5">
      <c r="A307" s="84"/>
      <c r="B307" s="17" t="s">
        <v>15</v>
      </c>
      <c r="C307" s="18">
        <f>SUM(C306:C306)</f>
        <v>3469.9</v>
      </c>
      <c r="D307" s="66"/>
      <c r="E307" s="18">
        <f>SUM(E306:E306)</f>
        <v>197784.30000000002</v>
      </c>
      <c r="F307" s="18">
        <f t="shared" ref="F307:G307" si="383">SUM(F306:F306)</f>
        <v>13844.901000000002</v>
      </c>
      <c r="G307" s="18">
        <f t="shared" si="383"/>
        <v>211629.20100000003</v>
      </c>
    </row>
    <row r="308" spans="1:9" s="26" customFormat="1" ht="17.25" customHeight="1" thickTop="1" x14ac:dyDescent="0.45">
      <c r="A308" s="85"/>
      <c r="B308" s="68"/>
      <c r="C308" s="69"/>
      <c r="D308" s="88"/>
      <c r="E308" s="69"/>
      <c r="F308" s="69"/>
      <c r="G308" s="69"/>
    </row>
    <row r="309" spans="1:9" ht="23.25" x14ac:dyDescent="0.3">
      <c r="A309" s="359" t="s">
        <v>56</v>
      </c>
      <c r="B309" s="359"/>
      <c r="C309" s="359"/>
      <c r="D309" s="359"/>
      <c r="E309" s="359"/>
      <c r="F309" s="359"/>
      <c r="G309" s="359"/>
    </row>
    <row r="310" spans="1:9" ht="18" customHeight="1" x14ac:dyDescent="0.3">
      <c r="A310" s="1" t="s">
        <v>2</v>
      </c>
      <c r="B310" s="2" t="s">
        <v>3</v>
      </c>
      <c r="C310" s="2" t="s">
        <v>4</v>
      </c>
      <c r="D310" s="3" t="s">
        <v>5</v>
      </c>
      <c r="E310" s="2" t="s">
        <v>6</v>
      </c>
      <c r="F310" s="2" t="s">
        <v>7</v>
      </c>
      <c r="G310" s="2" t="s">
        <v>8</v>
      </c>
    </row>
    <row r="311" spans="1:9" ht="18" customHeight="1" x14ac:dyDescent="0.4">
      <c r="A311" s="16" t="s">
        <v>199</v>
      </c>
      <c r="B311" s="5" t="s">
        <v>57</v>
      </c>
      <c r="C311" s="6">
        <v>1999.3</v>
      </c>
      <c r="D311" s="72">
        <v>59</v>
      </c>
      <c r="E311" s="60">
        <f t="shared" ref="E311" si="384">+C311*D311</f>
        <v>117958.7</v>
      </c>
      <c r="F311" s="60">
        <f t="shared" ref="F311" si="385">+E311*7%</f>
        <v>8257.1090000000004</v>
      </c>
      <c r="G311" s="60">
        <f t="shared" ref="G311" si="386">+E311+F311</f>
        <v>126215.80899999999</v>
      </c>
      <c r="I311">
        <v>6901076</v>
      </c>
    </row>
    <row r="312" spans="1:9" ht="18" customHeight="1" x14ac:dyDescent="0.4">
      <c r="A312" s="16" t="s">
        <v>199</v>
      </c>
      <c r="B312" s="5" t="s">
        <v>58</v>
      </c>
      <c r="C312" s="6">
        <v>1996.4</v>
      </c>
      <c r="D312" s="72">
        <v>59</v>
      </c>
      <c r="E312" s="60">
        <f t="shared" ref="E312" si="387">+C312*D312</f>
        <v>117787.6</v>
      </c>
      <c r="F312" s="60">
        <f t="shared" ref="F312" si="388">+E312*7%</f>
        <v>8245.1320000000014</v>
      </c>
      <c r="G312" s="60">
        <f t="shared" ref="G312" si="389">+E312+F312</f>
        <v>126032.732</v>
      </c>
      <c r="I312">
        <v>6901076</v>
      </c>
    </row>
    <row r="313" spans="1:9" ht="18" customHeight="1" x14ac:dyDescent="0.4">
      <c r="A313" s="16" t="s">
        <v>254</v>
      </c>
      <c r="B313" s="5" t="s">
        <v>58</v>
      </c>
      <c r="C313" s="6">
        <v>1407.3</v>
      </c>
      <c r="D313" s="72">
        <v>59</v>
      </c>
      <c r="E313" s="60">
        <f t="shared" ref="E313" si="390">+C313*D313</f>
        <v>83030.7</v>
      </c>
      <c r="F313" s="60">
        <f t="shared" ref="F313" si="391">+E313*7%</f>
        <v>5812.1490000000003</v>
      </c>
      <c r="G313" s="60">
        <f t="shared" ref="G313" si="392">+E313+F313</f>
        <v>88842.849000000002</v>
      </c>
      <c r="I313">
        <v>6901210</v>
      </c>
    </row>
    <row r="314" spans="1:9" ht="18" customHeight="1" x14ac:dyDescent="0.4">
      <c r="A314" s="16" t="s">
        <v>268</v>
      </c>
      <c r="B314" s="5" t="s">
        <v>58</v>
      </c>
      <c r="C314" s="6">
        <v>1009</v>
      </c>
      <c r="D314" s="72">
        <v>59</v>
      </c>
      <c r="E314" s="60">
        <f t="shared" ref="E314" si="393">+C314*D314</f>
        <v>59531</v>
      </c>
      <c r="F314" s="60">
        <f t="shared" ref="F314" si="394">+E314*7%</f>
        <v>4167.17</v>
      </c>
      <c r="G314" s="60">
        <f t="shared" ref="G314" si="395">+E314+F314</f>
        <v>63698.17</v>
      </c>
      <c r="I314">
        <v>6901273</v>
      </c>
    </row>
    <row r="315" spans="1:9" ht="18" customHeight="1" x14ac:dyDescent="0.4">
      <c r="A315" s="16" t="s">
        <v>268</v>
      </c>
      <c r="B315" s="5" t="s">
        <v>58</v>
      </c>
      <c r="C315" s="6">
        <v>582.6</v>
      </c>
      <c r="D315" s="72">
        <v>59</v>
      </c>
      <c r="E315" s="60">
        <f t="shared" ref="E315" si="396">+C315*D315</f>
        <v>34373.4</v>
      </c>
      <c r="F315" s="60">
        <f t="shared" ref="F315" si="397">+E315*7%</f>
        <v>2406.1380000000004</v>
      </c>
      <c r="G315" s="60">
        <f t="shared" ref="G315" si="398">+E315+F315</f>
        <v>36779.538</v>
      </c>
      <c r="I315">
        <v>6901272</v>
      </c>
    </row>
    <row r="316" spans="1:9" ht="18" customHeight="1" x14ac:dyDescent="0.4">
      <c r="A316" s="16" t="s">
        <v>202</v>
      </c>
      <c r="B316" s="5" t="s">
        <v>203</v>
      </c>
      <c r="C316" s="6">
        <v>295.5</v>
      </c>
      <c r="D316" s="72">
        <v>82</v>
      </c>
      <c r="E316" s="60">
        <f t="shared" ref="E316" si="399">+C316*D316</f>
        <v>24231</v>
      </c>
      <c r="F316" s="60">
        <f t="shared" ref="F316" si="400">+E316*7%</f>
        <v>1696.17</v>
      </c>
      <c r="G316" s="60">
        <f t="shared" ref="G316" si="401">+E316+F316</f>
        <v>25927.17</v>
      </c>
      <c r="I316">
        <v>6801077</v>
      </c>
    </row>
    <row r="317" spans="1:9" ht="18" customHeight="1" x14ac:dyDescent="0.4">
      <c r="A317" s="16" t="s">
        <v>202</v>
      </c>
      <c r="B317" s="5" t="s">
        <v>201</v>
      </c>
      <c r="C317" s="6">
        <v>489.5</v>
      </c>
      <c r="D317" s="72">
        <v>82</v>
      </c>
      <c r="E317" s="60">
        <f t="shared" ref="E317" si="402">+C317*D317</f>
        <v>40139</v>
      </c>
      <c r="F317" s="60">
        <f t="shared" ref="F317" si="403">+E317*7%</f>
        <v>2809.7300000000005</v>
      </c>
      <c r="G317" s="60">
        <f t="shared" ref="G317" si="404">+E317+F317</f>
        <v>42948.73</v>
      </c>
      <c r="I317">
        <v>6901077</v>
      </c>
    </row>
    <row r="318" spans="1:9" ht="18" customHeight="1" x14ac:dyDescent="0.4">
      <c r="A318" s="16" t="s">
        <v>268</v>
      </c>
      <c r="B318" s="5" t="s">
        <v>270</v>
      </c>
      <c r="C318" s="6">
        <v>181.5</v>
      </c>
      <c r="D318" s="72">
        <v>82</v>
      </c>
      <c r="E318" s="60">
        <f t="shared" ref="E318" si="405">+C318*D318</f>
        <v>14883</v>
      </c>
      <c r="F318" s="60">
        <f t="shared" ref="F318" si="406">+E318*7%</f>
        <v>1041.8100000000002</v>
      </c>
      <c r="G318" s="60">
        <f t="shared" ref="G318" si="407">+E318+F318</f>
        <v>15924.81</v>
      </c>
      <c r="I318">
        <v>6901271</v>
      </c>
    </row>
    <row r="319" spans="1:9" s="30" customFormat="1" ht="18" customHeight="1" thickBot="1" x14ac:dyDescent="0.55000000000000004">
      <c r="A319" s="16"/>
      <c r="B319" s="73" t="s">
        <v>15</v>
      </c>
      <c r="C319" s="89">
        <f>SUM(C311:C318)</f>
        <v>7961.1</v>
      </c>
      <c r="D319" s="51"/>
      <c r="E319" s="89">
        <f>SUM(E311:E318)</f>
        <v>491934.4</v>
      </c>
      <c r="F319" s="89">
        <f t="shared" ref="F319:G319" si="408">SUM(F311:F318)</f>
        <v>34435.408000000003</v>
      </c>
      <c r="G319" s="89">
        <f t="shared" si="408"/>
        <v>526369.80799999996</v>
      </c>
    </row>
    <row r="320" spans="1:9" s="30" customFormat="1" ht="9.75" customHeight="1" thickTop="1" x14ac:dyDescent="0.5">
      <c r="A320" s="90"/>
      <c r="B320" s="91"/>
      <c r="C320" s="92"/>
      <c r="D320" s="93"/>
      <c r="E320" s="92"/>
      <c r="F320" s="92"/>
      <c r="G320" s="92"/>
    </row>
    <row r="321" spans="1:9" ht="23.25" x14ac:dyDescent="0.3">
      <c r="A321" s="362" t="s">
        <v>59</v>
      </c>
      <c r="B321" s="362"/>
      <c r="C321" s="362"/>
      <c r="D321" s="362"/>
      <c r="E321" s="362"/>
      <c r="F321" s="362"/>
      <c r="G321" s="362"/>
    </row>
    <row r="322" spans="1:9" ht="18" customHeight="1" x14ac:dyDescent="0.3">
      <c r="A322" s="94" t="s">
        <v>2</v>
      </c>
      <c r="B322" s="95" t="s">
        <v>3</v>
      </c>
      <c r="C322" s="95" t="s">
        <v>4</v>
      </c>
      <c r="D322" s="3" t="s">
        <v>5</v>
      </c>
      <c r="E322" s="95" t="s">
        <v>6</v>
      </c>
      <c r="F322" s="95" t="s">
        <v>7</v>
      </c>
      <c r="G322" s="95" t="s">
        <v>8</v>
      </c>
    </row>
    <row r="323" spans="1:9" ht="18" customHeight="1" x14ac:dyDescent="0.4">
      <c r="A323" s="96" t="s">
        <v>249</v>
      </c>
      <c r="B323" s="5" t="s">
        <v>60</v>
      </c>
      <c r="C323" s="97">
        <v>1034.1500000000001</v>
      </c>
      <c r="D323" s="83">
        <v>77</v>
      </c>
      <c r="E323" s="60">
        <f>+C323*D323</f>
        <v>79629.55</v>
      </c>
      <c r="F323" s="60">
        <f>+E323*7%</f>
        <v>5574.0685000000003</v>
      </c>
      <c r="G323" s="60">
        <f>+E323+F323</f>
        <v>85203.618499999997</v>
      </c>
      <c r="I323">
        <v>6901187</v>
      </c>
    </row>
    <row r="324" spans="1:9" ht="18" customHeight="1" thickBot="1" x14ac:dyDescent="0.35">
      <c r="A324" s="98"/>
      <c r="B324" s="28" t="s">
        <v>15</v>
      </c>
      <c r="C324" s="99">
        <f>SUM(C323)</f>
        <v>1034.1500000000001</v>
      </c>
      <c r="D324" s="19"/>
      <c r="E324" s="100">
        <f>SUM(E323)</f>
        <v>79629.55</v>
      </c>
      <c r="F324" s="100">
        <f t="shared" ref="F324:G324" si="409">SUM(F323)</f>
        <v>5574.0685000000003</v>
      </c>
      <c r="G324" s="100">
        <f t="shared" si="409"/>
        <v>85203.618499999997</v>
      </c>
    </row>
    <row r="325" spans="1:9" ht="13.5" customHeight="1" thickTop="1" x14ac:dyDescent="0.4">
      <c r="A325" s="101"/>
      <c r="B325" s="53"/>
      <c r="C325" s="102"/>
      <c r="D325" s="48"/>
      <c r="E325" s="103"/>
      <c r="F325" s="103"/>
      <c r="G325" s="103"/>
    </row>
    <row r="326" spans="1:9" ht="23.25" x14ac:dyDescent="0.3">
      <c r="A326" s="359" t="s">
        <v>61</v>
      </c>
      <c r="B326" s="359"/>
      <c r="C326" s="359"/>
      <c r="D326" s="359"/>
      <c r="E326" s="359"/>
      <c r="F326" s="359"/>
      <c r="G326" s="359"/>
    </row>
    <row r="327" spans="1:9" ht="18" customHeight="1" x14ac:dyDescent="0.4">
      <c r="A327" s="57" t="s">
        <v>2</v>
      </c>
      <c r="B327" s="58" t="s">
        <v>3</v>
      </c>
      <c r="C327" s="2" t="s">
        <v>62</v>
      </c>
      <c r="D327" s="59" t="s">
        <v>5</v>
      </c>
      <c r="E327" s="58" t="s">
        <v>6</v>
      </c>
      <c r="F327" s="58" t="s">
        <v>7</v>
      </c>
      <c r="G327" s="58" t="s">
        <v>8</v>
      </c>
    </row>
    <row r="328" spans="1:9" ht="18" customHeight="1" x14ac:dyDescent="0.4">
      <c r="A328" s="16" t="s">
        <v>242</v>
      </c>
      <c r="B328" s="5" t="s">
        <v>63</v>
      </c>
      <c r="C328" s="6">
        <v>2000</v>
      </c>
      <c r="D328" s="72">
        <v>74</v>
      </c>
      <c r="E328" s="60">
        <f>+C328*D328</f>
        <v>148000</v>
      </c>
      <c r="F328" s="60">
        <f>+E328*7%</f>
        <v>10360.000000000002</v>
      </c>
      <c r="G328" s="60">
        <f>+E328+F328</f>
        <v>158360</v>
      </c>
      <c r="I328">
        <v>6901175</v>
      </c>
    </row>
    <row r="329" spans="1:9" ht="18" customHeight="1" x14ac:dyDescent="0.4">
      <c r="A329" s="16" t="s">
        <v>264</v>
      </c>
      <c r="B329" s="5" t="s">
        <v>63</v>
      </c>
      <c r="C329" s="6">
        <v>1000</v>
      </c>
      <c r="D329" s="72">
        <v>74</v>
      </c>
      <c r="E329" s="60">
        <f>+C329*D329</f>
        <v>74000</v>
      </c>
      <c r="F329" s="60">
        <f>+E329*7%</f>
        <v>5180.0000000000009</v>
      </c>
      <c r="G329" s="60">
        <f>+E329+F329</f>
        <v>79180</v>
      </c>
      <c r="I329">
        <v>6901254</v>
      </c>
    </row>
    <row r="330" spans="1:9" ht="18" customHeight="1" x14ac:dyDescent="0.4">
      <c r="A330" s="16" t="s">
        <v>268</v>
      </c>
      <c r="B330" s="5" t="s">
        <v>63</v>
      </c>
      <c r="C330" s="6">
        <v>500</v>
      </c>
      <c r="D330" s="72">
        <v>74</v>
      </c>
      <c r="E330" s="60">
        <f>+C330*D330</f>
        <v>37000</v>
      </c>
      <c r="F330" s="60">
        <f>+E330*7%</f>
        <v>2590.0000000000005</v>
      </c>
      <c r="G330" s="60">
        <f>+E330+F330</f>
        <v>39590</v>
      </c>
      <c r="I330">
        <v>6901268</v>
      </c>
    </row>
    <row r="331" spans="1:9" ht="18" customHeight="1" x14ac:dyDescent="0.4">
      <c r="A331" s="16" t="s">
        <v>286</v>
      </c>
      <c r="B331" s="5" t="s">
        <v>63</v>
      </c>
      <c r="C331" s="6">
        <v>500</v>
      </c>
      <c r="D331" s="72">
        <v>74</v>
      </c>
      <c r="E331" s="60">
        <f>+C331*D331</f>
        <v>37000</v>
      </c>
      <c r="F331" s="60">
        <f>+E331*7%</f>
        <v>2590.0000000000005</v>
      </c>
      <c r="G331" s="60">
        <f>+E331+F331</f>
        <v>39590</v>
      </c>
      <c r="I331">
        <v>6901347</v>
      </c>
    </row>
    <row r="332" spans="1:9" ht="18" customHeight="1" thickBot="1" x14ac:dyDescent="0.35">
      <c r="A332" s="84"/>
      <c r="B332" s="17" t="s">
        <v>15</v>
      </c>
      <c r="C332" s="18">
        <f>SUM(C328:C331)</f>
        <v>4000</v>
      </c>
      <c r="D332" s="19"/>
      <c r="E332" s="18">
        <f>SUM(E328:E331)</f>
        <v>296000</v>
      </c>
      <c r="F332" s="18">
        <f t="shared" ref="F332:G332" si="410">SUM(F328:F331)</f>
        <v>20720.000000000004</v>
      </c>
      <c r="G332" s="18">
        <f t="shared" si="410"/>
        <v>316720</v>
      </c>
    </row>
    <row r="333" spans="1:9" ht="13.5" customHeight="1" thickTop="1" x14ac:dyDescent="0.3">
      <c r="A333" s="85"/>
      <c r="B333" s="68"/>
      <c r="C333" s="69"/>
      <c r="D333" s="70"/>
      <c r="E333" s="69"/>
      <c r="F333" s="69"/>
      <c r="G333" s="69"/>
    </row>
    <row r="334" spans="1:9" s="108" customFormat="1" ht="18" customHeight="1" thickBot="1" x14ac:dyDescent="0.45">
      <c r="A334" s="104"/>
      <c r="B334" s="105" t="s">
        <v>63</v>
      </c>
      <c r="C334" s="69">
        <f>C332</f>
        <v>4000</v>
      </c>
      <c r="D334" s="106">
        <v>1.1080000000000001</v>
      </c>
      <c r="E334" s="107">
        <f>+C334*D334</f>
        <v>4432</v>
      </c>
      <c r="G334" s="109"/>
    </row>
    <row r="335" spans="1:9" ht="9.75" customHeight="1" thickTop="1" x14ac:dyDescent="0.3">
      <c r="A335" s="85"/>
      <c r="B335" s="68"/>
      <c r="C335" s="69"/>
      <c r="D335" s="70"/>
      <c r="E335" s="69"/>
      <c r="F335" s="69"/>
      <c r="G335" s="69"/>
    </row>
    <row r="336" spans="1:9" s="30" customFormat="1" ht="23.25" x14ac:dyDescent="0.5">
      <c r="A336" s="360" t="s">
        <v>64</v>
      </c>
      <c r="B336" s="360"/>
      <c r="C336" s="360"/>
      <c r="D336" s="360"/>
      <c r="E336" s="360"/>
      <c r="F336" s="360"/>
      <c r="G336" s="360"/>
    </row>
    <row r="337" spans="1:9" s="30" customFormat="1" ht="18" customHeight="1" x14ac:dyDescent="0.5">
      <c r="A337" s="114" t="s">
        <v>2</v>
      </c>
      <c r="B337" s="115" t="s">
        <v>3</v>
      </c>
      <c r="C337" s="95" t="s">
        <v>4</v>
      </c>
      <c r="D337" s="3" t="s">
        <v>5</v>
      </c>
      <c r="E337" s="115" t="s">
        <v>6</v>
      </c>
      <c r="F337" s="115" t="s">
        <v>7</v>
      </c>
      <c r="G337" s="115" t="s">
        <v>8</v>
      </c>
    </row>
    <row r="338" spans="1:9" s="30" customFormat="1" ht="18" customHeight="1" x14ac:dyDescent="0.5">
      <c r="A338" s="16" t="s">
        <v>199</v>
      </c>
      <c r="B338" s="5" t="s">
        <v>175</v>
      </c>
      <c r="C338" s="6">
        <v>72.25</v>
      </c>
      <c r="D338" s="7">
        <v>54</v>
      </c>
      <c r="E338" s="60">
        <f t="shared" ref="E338" si="411">+C338*D338</f>
        <v>3901.5</v>
      </c>
      <c r="F338" s="60">
        <f t="shared" ref="F338" si="412">+E338*7%</f>
        <v>273.10500000000002</v>
      </c>
      <c r="G338" s="60">
        <f t="shared" ref="G338" si="413">+E338+F338</f>
        <v>4174.6049999999996</v>
      </c>
      <c r="I338" s="30">
        <v>6901074</v>
      </c>
    </row>
    <row r="339" spans="1:9" ht="18" customHeight="1" thickBot="1" x14ac:dyDescent="0.35">
      <c r="A339" s="116"/>
      <c r="B339" s="17" t="s">
        <v>15</v>
      </c>
      <c r="C339" s="18">
        <f>SUM(C338:C338)</f>
        <v>72.25</v>
      </c>
      <c r="D339" s="19"/>
      <c r="E339" s="62">
        <f>SUM(E338:E338)</f>
        <v>3901.5</v>
      </c>
      <c r="F339" s="62">
        <f t="shared" ref="F339:G339" si="414">SUM(F338:F338)</f>
        <v>273.10500000000002</v>
      </c>
      <c r="G339" s="62">
        <f t="shared" si="414"/>
        <v>4174.6049999999996</v>
      </c>
    </row>
    <row r="340" spans="1:9" s="30" customFormat="1" ht="12" customHeight="1" thickTop="1" x14ac:dyDescent="0.5">
      <c r="A340" s="110"/>
      <c r="B340" s="111"/>
      <c r="C340" s="112"/>
      <c r="D340" s="70"/>
      <c r="E340" s="113"/>
      <c r="F340" s="113"/>
      <c r="G340" s="113"/>
    </row>
    <row r="341" spans="1:9" s="30" customFormat="1" ht="23.25" x14ac:dyDescent="0.5">
      <c r="A341" s="360" t="s">
        <v>64</v>
      </c>
      <c r="B341" s="360"/>
      <c r="C341" s="360"/>
      <c r="D341" s="360"/>
      <c r="E341" s="360"/>
      <c r="F341" s="360"/>
      <c r="G341" s="360"/>
    </row>
    <row r="342" spans="1:9" s="30" customFormat="1" ht="18" customHeight="1" x14ac:dyDescent="0.5">
      <c r="A342" s="114" t="s">
        <v>2</v>
      </c>
      <c r="B342" s="115" t="s">
        <v>3</v>
      </c>
      <c r="C342" s="95" t="s">
        <v>65</v>
      </c>
      <c r="D342" s="3" t="s">
        <v>5</v>
      </c>
      <c r="E342" s="115" t="s">
        <v>6</v>
      </c>
      <c r="F342" s="115" t="s">
        <v>7</v>
      </c>
      <c r="G342" s="115" t="s">
        <v>8</v>
      </c>
    </row>
    <row r="343" spans="1:9" ht="18" customHeight="1" x14ac:dyDescent="0.4">
      <c r="A343" s="16" t="s">
        <v>268</v>
      </c>
      <c r="B343" s="5" t="s">
        <v>126</v>
      </c>
      <c r="C343" s="37">
        <v>17500</v>
      </c>
      <c r="D343" s="51">
        <v>1.34</v>
      </c>
      <c r="E343" s="8">
        <f t="shared" ref="E343" si="415">+C343*D343</f>
        <v>23450</v>
      </c>
      <c r="F343" s="8">
        <f t="shared" ref="F343" si="416">+E343*7%</f>
        <v>1641.5000000000002</v>
      </c>
      <c r="G343" s="122">
        <f t="shared" ref="G343" si="417">SUM(E343:F343)</f>
        <v>25091.5</v>
      </c>
      <c r="I343">
        <v>6901266</v>
      </c>
    </row>
    <row r="344" spans="1:9" ht="18" customHeight="1" x14ac:dyDescent="0.4">
      <c r="A344" s="16" t="s">
        <v>268</v>
      </c>
      <c r="B344" s="5" t="s">
        <v>271</v>
      </c>
      <c r="C344" s="37">
        <v>7500</v>
      </c>
      <c r="D344" s="51">
        <v>1.34</v>
      </c>
      <c r="E344" s="8">
        <f t="shared" ref="E344" si="418">+C344*D344</f>
        <v>10050</v>
      </c>
      <c r="F344" s="8">
        <f t="shared" ref="F344" si="419">+E344*7%</f>
        <v>703.50000000000011</v>
      </c>
      <c r="G344" s="122">
        <f t="shared" ref="G344" si="420">SUM(E344:F344)</f>
        <v>10753.5</v>
      </c>
      <c r="I344">
        <v>6901266</v>
      </c>
    </row>
    <row r="345" spans="1:9" ht="18" customHeight="1" x14ac:dyDescent="0.4">
      <c r="A345" s="16" t="s">
        <v>268</v>
      </c>
      <c r="B345" s="5" t="s">
        <v>272</v>
      </c>
      <c r="C345" s="37">
        <v>2500</v>
      </c>
      <c r="D345" s="51">
        <v>1.34</v>
      </c>
      <c r="E345" s="8">
        <f t="shared" ref="E345" si="421">+C345*D345</f>
        <v>3350</v>
      </c>
      <c r="F345" s="8">
        <f t="shared" ref="F345" si="422">+E345*7%</f>
        <v>234.50000000000003</v>
      </c>
      <c r="G345" s="122">
        <f t="shared" ref="G345" si="423">SUM(E345:F345)</f>
        <v>3584.5</v>
      </c>
      <c r="I345">
        <v>6901266</v>
      </c>
    </row>
    <row r="346" spans="1:9" ht="18" customHeight="1" x14ac:dyDescent="0.4">
      <c r="A346" s="16" t="s">
        <v>249</v>
      </c>
      <c r="B346" s="5" t="s">
        <v>152</v>
      </c>
      <c r="C346" s="37">
        <v>32736</v>
      </c>
      <c r="D346" s="51">
        <v>1.1399999999999999</v>
      </c>
      <c r="E346" s="8">
        <f t="shared" ref="E346" si="424">+C346*D346</f>
        <v>37319.039999999994</v>
      </c>
      <c r="F346" s="8">
        <f t="shared" ref="F346" si="425">+E346*7%</f>
        <v>2612.3327999999997</v>
      </c>
      <c r="G346" s="122">
        <f t="shared" ref="G346" si="426">SUM(E346:F346)</f>
        <v>39931.37279999999</v>
      </c>
      <c r="I346">
        <v>6901188</v>
      </c>
    </row>
    <row r="347" spans="1:9" ht="18" customHeight="1" x14ac:dyDescent="0.4">
      <c r="A347" s="16" t="s">
        <v>249</v>
      </c>
      <c r="B347" s="5" t="s">
        <v>251</v>
      </c>
      <c r="C347" s="37">
        <v>32736</v>
      </c>
      <c r="D347" s="51">
        <v>1.1399999999999999</v>
      </c>
      <c r="E347" s="8">
        <f t="shared" ref="E347" si="427">+C347*D347</f>
        <v>37319.039999999994</v>
      </c>
      <c r="F347" s="8">
        <f t="shared" ref="F347" si="428">+E347*7%</f>
        <v>2612.3327999999997</v>
      </c>
      <c r="G347" s="122">
        <f t="shared" ref="G347" si="429">SUM(E347:F347)</f>
        <v>39931.37279999999</v>
      </c>
      <c r="I347">
        <v>6901188</v>
      </c>
    </row>
    <row r="348" spans="1:9" ht="18" customHeight="1" x14ac:dyDescent="0.4">
      <c r="A348" s="16" t="s">
        <v>249</v>
      </c>
      <c r="B348" s="5" t="s">
        <v>180</v>
      </c>
      <c r="C348" s="37">
        <v>32736</v>
      </c>
      <c r="D348" s="51">
        <v>1.1399999999999999</v>
      </c>
      <c r="E348" s="8">
        <f t="shared" ref="E348" si="430">+C348*D348</f>
        <v>37319.039999999994</v>
      </c>
      <c r="F348" s="8">
        <f t="shared" ref="F348" si="431">+E348*7%</f>
        <v>2612.3327999999997</v>
      </c>
      <c r="G348" s="122">
        <f t="shared" ref="G348" si="432">SUM(E348:F348)</f>
        <v>39931.37279999999</v>
      </c>
      <c r="I348">
        <v>6901188</v>
      </c>
    </row>
    <row r="349" spans="1:9" ht="18" customHeight="1" x14ac:dyDescent="0.4">
      <c r="A349" s="16" t="s">
        <v>192</v>
      </c>
      <c r="B349" s="5" t="s">
        <v>66</v>
      </c>
      <c r="C349" s="37">
        <v>107150</v>
      </c>
      <c r="D349" s="51">
        <v>1.43</v>
      </c>
      <c r="E349" s="8">
        <f t="shared" ref="E349:E355" si="433">+C349*D349</f>
        <v>153224.5</v>
      </c>
      <c r="F349" s="8">
        <f t="shared" ref="F349:F355" si="434">+E349*7%</f>
        <v>10725.715</v>
      </c>
      <c r="G349" s="122">
        <f t="shared" ref="G349" si="435">SUM(E349:F349)</f>
        <v>163950.215</v>
      </c>
      <c r="I349">
        <v>6901011</v>
      </c>
    </row>
    <row r="350" spans="1:9" ht="18" customHeight="1" x14ac:dyDescent="0.4">
      <c r="A350" s="16" t="s">
        <v>199</v>
      </c>
      <c r="B350" s="5" t="s">
        <v>66</v>
      </c>
      <c r="C350" s="37">
        <v>107150</v>
      </c>
      <c r="D350" s="51">
        <v>1.43</v>
      </c>
      <c r="E350" s="8">
        <f t="shared" ref="E350" si="436">+C350*D350</f>
        <v>153224.5</v>
      </c>
      <c r="F350" s="8">
        <f t="shared" ref="F350" si="437">+E350*7%</f>
        <v>10725.715</v>
      </c>
      <c r="G350" s="122">
        <f t="shared" ref="G350" si="438">SUM(E350:F350)</f>
        <v>163950.215</v>
      </c>
      <c r="I350">
        <v>6901075</v>
      </c>
    </row>
    <row r="351" spans="1:9" ht="18" customHeight="1" x14ac:dyDescent="0.4">
      <c r="A351" s="16" t="s">
        <v>268</v>
      </c>
      <c r="B351" s="5" t="s">
        <v>66</v>
      </c>
      <c r="C351" s="37">
        <v>107150</v>
      </c>
      <c r="D351" s="51">
        <v>1.43</v>
      </c>
      <c r="E351" s="8">
        <f t="shared" ref="E351" si="439">+C351*D351</f>
        <v>153224.5</v>
      </c>
      <c r="F351" s="8">
        <f t="shared" ref="F351" si="440">+E351*7%</f>
        <v>10725.715</v>
      </c>
      <c r="G351" s="122">
        <f t="shared" ref="G351" si="441">SUM(E351:F351)</f>
        <v>163950.215</v>
      </c>
      <c r="I351">
        <v>6901267</v>
      </c>
    </row>
    <row r="352" spans="1:9" ht="18" customHeight="1" x14ac:dyDescent="0.4">
      <c r="A352" s="16" t="s">
        <v>264</v>
      </c>
      <c r="B352" s="5" t="s">
        <v>66</v>
      </c>
      <c r="C352" s="37">
        <v>107150</v>
      </c>
      <c r="D352" s="51">
        <v>1.43</v>
      </c>
      <c r="E352" s="8">
        <f t="shared" ref="E352" si="442">+C352*D352</f>
        <v>153224.5</v>
      </c>
      <c r="F352" s="8">
        <f t="shared" ref="F352" si="443">+E352*7%</f>
        <v>10725.715</v>
      </c>
      <c r="G352" s="122">
        <f t="shared" ref="G352" si="444">SUM(E352:F352)</f>
        <v>163950.215</v>
      </c>
      <c r="I352">
        <v>6901250</v>
      </c>
    </row>
    <row r="353" spans="1:9" ht="18" customHeight="1" x14ac:dyDescent="0.4">
      <c r="A353" s="16" t="s">
        <v>275</v>
      </c>
      <c r="B353" s="5" t="s">
        <v>66</v>
      </c>
      <c r="C353" s="37">
        <v>107150</v>
      </c>
      <c r="D353" s="51">
        <v>1.43</v>
      </c>
      <c r="E353" s="8">
        <f t="shared" ref="E353" si="445">+C353*D353</f>
        <v>153224.5</v>
      </c>
      <c r="F353" s="8">
        <f t="shared" ref="F353" si="446">+E353*7%</f>
        <v>10725.715</v>
      </c>
      <c r="G353" s="122">
        <f t="shared" ref="G353" si="447">SUM(E353:F353)</f>
        <v>163950.215</v>
      </c>
      <c r="I353">
        <v>6901299</v>
      </c>
    </row>
    <row r="354" spans="1:9" ht="18" customHeight="1" x14ac:dyDescent="0.4">
      <c r="A354" s="16" t="s">
        <v>286</v>
      </c>
      <c r="B354" s="5" t="s">
        <v>66</v>
      </c>
      <c r="C354" s="37">
        <v>107150</v>
      </c>
      <c r="D354" s="51">
        <v>1.43</v>
      </c>
      <c r="E354" s="8">
        <f t="shared" ref="E354" si="448">+C354*D354</f>
        <v>153224.5</v>
      </c>
      <c r="F354" s="8">
        <f t="shared" ref="F354" si="449">+E354*7%</f>
        <v>10725.715</v>
      </c>
      <c r="G354" s="122">
        <f t="shared" ref="G354" si="450">SUM(E354:F354)</f>
        <v>163950.215</v>
      </c>
      <c r="I354">
        <v>6901343</v>
      </c>
    </row>
    <row r="355" spans="1:9" ht="18" customHeight="1" x14ac:dyDescent="0.4">
      <c r="A355" s="16" t="s">
        <v>199</v>
      </c>
      <c r="B355" s="5" t="s">
        <v>168</v>
      </c>
      <c r="C355" s="37">
        <v>1781</v>
      </c>
      <c r="D355" s="51">
        <v>3.93</v>
      </c>
      <c r="E355" s="8">
        <f t="shared" si="433"/>
        <v>6999.33</v>
      </c>
      <c r="F355" s="8">
        <f t="shared" si="434"/>
        <v>489.95310000000006</v>
      </c>
      <c r="G355" s="8">
        <f t="shared" ref="G355" si="451">+E355+F355</f>
        <v>7489.2830999999996</v>
      </c>
      <c r="I355">
        <v>6901074</v>
      </c>
    </row>
    <row r="356" spans="1:9" ht="18" customHeight="1" x14ac:dyDescent="0.4">
      <c r="A356" s="16" t="s">
        <v>237</v>
      </c>
      <c r="B356" s="5" t="s">
        <v>142</v>
      </c>
      <c r="C356" s="37">
        <v>30002</v>
      </c>
      <c r="D356" s="51">
        <v>1.43</v>
      </c>
      <c r="E356" s="8">
        <f t="shared" ref="E356" si="452">+C356*D356</f>
        <v>42902.86</v>
      </c>
      <c r="F356" s="8">
        <f t="shared" ref="F356" si="453">+E356*7%</f>
        <v>3003.2002000000002</v>
      </c>
      <c r="G356" s="8">
        <f t="shared" ref="G356" si="454">+E356+F356</f>
        <v>45906.0602</v>
      </c>
      <c r="I356">
        <v>6901146</v>
      </c>
    </row>
    <row r="357" spans="1:9" ht="18" customHeight="1" thickBot="1" x14ac:dyDescent="0.35">
      <c r="A357" s="116"/>
      <c r="B357" s="17" t="s">
        <v>15</v>
      </c>
      <c r="C357" s="18">
        <f>SUM(C343:C356)</f>
        <v>800391</v>
      </c>
      <c r="D357" s="19"/>
      <c r="E357" s="62">
        <f>SUM(E343:E356)</f>
        <v>1118056.3100000003</v>
      </c>
      <c r="F357" s="62">
        <f t="shared" ref="F357:G357" si="455">SUM(F343:F356)</f>
        <v>78263.941699999996</v>
      </c>
      <c r="G357" s="62">
        <f t="shared" si="455"/>
        <v>1196320.2516999997</v>
      </c>
    </row>
    <row r="358" spans="1:9" ht="15.75" customHeight="1" thickTop="1" x14ac:dyDescent="0.3">
      <c r="A358" s="121"/>
      <c r="B358" s="68"/>
      <c r="C358" s="69"/>
      <c r="D358" s="70"/>
      <c r="E358" s="70"/>
      <c r="F358" s="71"/>
      <c r="G358" s="71"/>
    </row>
    <row r="359" spans="1:9" s="30" customFormat="1" ht="18" customHeight="1" x14ac:dyDescent="0.5">
      <c r="A359" s="117"/>
      <c r="B359" s="118" t="s">
        <v>3</v>
      </c>
      <c r="C359" s="73" t="s">
        <v>4</v>
      </c>
      <c r="F359"/>
      <c r="G359"/>
    </row>
    <row r="360" spans="1:9" ht="18" customHeight="1" x14ac:dyDescent="0.4">
      <c r="A360" s="16" t="s">
        <v>268</v>
      </c>
      <c r="B360" s="275" t="s">
        <v>126</v>
      </c>
      <c r="C360" s="276">
        <v>127.8</v>
      </c>
      <c r="D360" s="93"/>
      <c r="E360" s="120"/>
      <c r="F360" s="120"/>
      <c r="G360" s="123"/>
      <c r="I360">
        <v>6901266</v>
      </c>
    </row>
    <row r="361" spans="1:9" ht="18" customHeight="1" x14ac:dyDescent="0.4">
      <c r="A361" s="16" t="s">
        <v>268</v>
      </c>
      <c r="B361" s="275" t="s">
        <v>271</v>
      </c>
      <c r="C361" s="276">
        <v>28.95</v>
      </c>
      <c r="D361" s="93"/>
      <c r="E361" s="120"/>
      <c r="F361" s="120"/>
      <c r="G361" s="123"/>
      <c r="I361">
        <v>6901266</v>
      </c>
    </row>
    <row r="362" spans="1:9" ht="18" customHeight="1" x14ac:dyDescent="0.4">
      <c r="A362" s="16" t="s">
        <v>268</v>
      </c>
      <c r="B362" s="275" t="s">
        <v>272</v>
      </c>
      <c r="C362" s="276">
        <v>292.7</v>
      </c>
      <c r="D362" s="93"/>
      <c r="E362" s="120"/>
      <c r="F362" s="120"/>
      <c r="G362" s="123"/>
      <c r="I362">
        <v>6901266</v>
      </c>
    </row>
    <row r="363" spans="1:9" ht="18" customHeight="1" x14ac:dyDescent="0.4">
      <c r="A363" s="16" t="s">
        <v>249</v>
      </c>
      <c r="B363" s="275" t="s">
        <v>152</v>
      </c>
      <c r="C363" s="276">
        <v>477.65</v>
      </c>
      <c r="D363" s="93"/>
      <c r="E363" s="120"/>
      <c r="F363" s="120"/>
      <c r="G363" s="123"/>
      <c r="I363">
        <v>6901188</v>
      </c>
    </row>
    <row r="364" spans="1:9" ht="18" customHeight="1" x14ac:dyDescent="0.4">
      <c r="A364" s="16" t="s">
        <v>249</v>
      </c>
      <c r="B364" s="275" t="s">
        <v>251</v>
      </c>
      <c r="C364" s="276">
        <v>468.6</v>
      </c>
      <c r="D364" s="93"/>
      <c r="E364" s="120"/>
      <c r="F364" s="120"/>
      <c r="G364" s="123"/>
      <c r="I364">
        <v>6901188</v>
      </c>
    </row>
    <row r="365" spans="1:9" ht="18" customHeight="1" x14ac:dyDescent="0.4">
      <c r="A365" s="16" t="s">
        <v>249</v>
      </c>
      <c r="B365" s="275" t="s">
        <v>180</v>
      </c>
      <c r="C365" s="276">
        <v>478.7</v>
      </c>
      <c r="D365" s="93"/>
      <c r="E365" s="120"/>
      <c r="F365" s="120"/>
      <c r="G365" s="123"/>
      <c r="I365">
        <v>6901188</v>
      </c>
    </row>
    <row r="366" spans="1:9" ht="18" customHeight="1" x14ac:dyDescent="0.4">
      <c r="A366" s="16" t="s">
        <v>192</v>
      </c>
      <c r="B366" s="275" t="s">
        <v>66</v>
      </c>
      <c r="C366" s="276">
        <v>1994.5</v>
      </c>
      <c r="D366" s="93"/>
      <c r="E366" s="120"/>
      <c r="F366" s="120"/>
      <c r="G366" s="123"/>
      <c r="I366">
        <v>6901011</v>
      </c>
    </row>
    <row r="367" spans="1:9" ht="18" customHeight="1" x14ac:dyDescent="0.4">
      <c r="A367" s="16" t="s">
        <v>199</v>
      </c>
      <c r="B367" s="275" t="s">
        <v>66</v>
      </c>
      <c r="C367" s="276">
        <v>1982.7</v>
      </c>
      <c r="D367" s="93"/>
      <c r="E367" s="120"/>
      <c r="F367" s="120"/>
      <c r="G367" s="123"/>
      <c r="I367">
        <v>6901075</v>
      </c>
    </row>
    <row r="368" spans="1:9" ht="18" customHeight="1" x14ac:dyDescent="0.4">
      <c r="A368" s="16" t="s">
        <v>268</v>
      </c>
      <c r="B368" s="275" t="s">
        <v>66</v>
      </c>
      <c r="C368" s="276">
        <v>1959.8</v>
      </c>
      <c r="D368" s="93"/>
      <c r="E368" s="120"/>
      <c r="F368" s="120"/>
      <c r="G368" s="123"/>
      <c r="I368">
        <v>6901267</v>
      </c>
    </row>
    <row r="369" spans="1:9" ht="18" customHeight="1" x14ac:dyDescent="0.4">
      <c r="A369" s="16" t="s">
        <v>264</v>
      </c>
      <c r="B369" s="275" t="s">
        <v>66</v>
      </c>
      <c r="C369" s="276">
        <v>1963.03</v>
      </c>
      <c r="D369" s="93"/>
      <c r="E369" s="120"/>
      <c r="F369" s="120"/>
      <c r="G369" s="123"/>
      <c r="I369">
        <v>6901250</v>
      </c>
    </row>
    <row r="370" spans="1:9" ht="18" customHeight="1" x14ac:dyDescent="0.4">
      <c r="A370" s="16" t="s">
        <v>275</v>
      </c>
      <c r="B370" s="275" t="s">
        <v>66</v>
      </c>
      <c r="C370" s="276">
        <v>1985.95</v>
      </c>
      <c r="D370" s="93"/>
      <c r="E370" s="120"/>
      <c r="F370" s="120"/>
      <c r="G370" s="123"/>
      <c r="I370">
        <v>6901299</v>
      </c>
    </row>
    <row r="371" spans="1:9" ht="18" customHeight="1" x14ac:dyDescent="0.4">
      <c r="A371" s="16" t="s">
        <v>286</v>
      </c>
      <c r="B371" s="275" t="s">
        <v>66</v>
      </c>
      <c r="C371" s="276">
        <v>1951.15</v>
      </c>
      <c r="D371" s="93"/>
      <c r="E371" s="120"/>
      <c r="F371" s="120"/>
      <c r="G371" s="123"/>
      <c r="I371">
        <v>6901343</v>
      </c>
    </row>
    <row r="372" spans="1:9" ht="18" customHeight="1" x14ac:dyDescent="0.45">
      <c r="A372" s="16" t="s">
        <v>199</v>
      </c>
      <c r="B372" s="281" t="s">
        <v>168</v>
      </c>
      <c r="C372" s="282">
        <v>36.4</v>
      </c>
      <c r="D372" s="26"/>
      <c r="I372">
        <v>6901074</v>
      </c>
    </row>
    <row r="373" spans="1:9" ht="18" customHeight="1" x14ac:dyDescent="0.45">
      <c r="A373" s="16" t="s">
        <v>237</v>
      </c>
      <c r="B373" s="275" t="s">
        <v>142</v>
      </c>
      <c r="C373" s="276">
        <v>538.9</v>
      </c>
      <c r="D373" s="26"/>
      <c r="I373">
        <v>6901146</v>
      </c>
    </row>
    <row r="374" spans="1:9" ht="18" customHeight="1" thickBot="1" x14ac:dyDescent="0.35">
      <c r="A374" s="116"/>
      <c r="B374" s="17" t="s">
        <v>15</v>
      </c>
      <c r="C374" s="124">
        <f>SUM(C360:C373)</f>
        <v>14286.83</v>
      </c>
    </row>
    <row r="375" spans="1:9" ht="9.75" customHeight="1" thickTop="1" x14ac:dyDescent="0.3">
      <c r="A375" s="121"/>
      <c r="B375" s="68"/>
      <c r="C375" s="125"/>
    </row>
    <row r="376" spans="1:9" ht="23.25" x14ac:dyDescent="0.3">
      <c r="A376" s="359" t="s">
        <v>67</v>
      </c>
      <c r="B376" s="359"/>
      <c r="C376" s="359"/>
      <c r="D376" s="359"/>
      <c r="E376" s="359"/>
      <c r="F376" s="359"/>
      <c r="G376" s="359"/>
    </row>
    <row r="377" spans="1:9" ht="18" customHeight="1" x14ac:dyDescent="0.4">
      <c r="A377" s="57" t="s">
        <v>2</v>
      </c>
      <c r="B377" s="58" t="s">
        <v>3</v>
      </c>
      <c r="C377" s="58" t="s">
        <v>4</v>
      </c>
      <c r="D377" s="59" t="s">
        <v>5</v>
      </c>
      <c r="E377" s="58" t="s">
        <v>6</v>
      </c>
      <c r="F377" s="58" t="s">
        <v>7</v>
      </c>
      <c r="G377" s="58" t="s">
        <v>8</v>
      </c>
    </row>
    <row r="378" spans="1:9" ht="18" customHeight="1" x14ac:dyDescent="0.4">
      <c r="A378" s="16" t="s">
        <v>199</v>
      </c>
      <c r="B378" s="5" t="s">
        <v>68</v>
      </c>
      <c r="C378" s="86">
        <v>314.3</v>
      </c>
      <c r="D378" s="87">
        <v>75</v>
      </c>
      <c r="E378" s="37">
        <f t="shared" ref="E378:E407" si="456">+C378*D378</f>
        <v>23572.5</v>
      </c>
      <c r="F378" s="8">
        <f t="shared" ref="F378:F407" si="457">+E378*7%</f>
        <v>1650.075</v>
      </c>
      <c r="G378" s="8">
        <f t="shared" ref="G378:G407" si="458">+E378+F378</f>
        <v>25222.575000000001</v>
      </c>
      <c r="I378">
        <v>6901072</v>
      </c>
    </row>
    <row r="379" spans="1:9" ht="18" customHeight="1" x14ac:dyDescent="0.4">
      <c r="A379" s="16" t="s">
        <v>242</v>
      </c>
      <c r="B379" s="5" t="s">
        <v>68</v>
      </c>
      <c r="C379" s="86">
        <v>315.14999999999998</v>
      </c>
      <c r="D379" s="38">
        <v>75</v>
      </c>
      <c r="E379" s="37">
        <f>+C379*D379</f>
        <v>23636.25</v>
      </c>
      <c r="F379" s="8">
        <f>+E379*7%</f>
        <v>1654.5375000000001</v>
      </c>
      <c r="G379" s="8">
        <f>+E379+F379</f>
        <v>25290.787499999999</v>
      </c>
      <c r="I379">
        <v>6901169</v>
      </c>
    </row>
    <row r="380" spans="1:9" ht="18" customHeight="1" x14ac:dyDescent="0.4">
      <c r="A380" s="16" t="s">
        <v>268</v>
      </c>
      <c r="B380" s="5" t="s">
        <v>68</v>
      </c>
      <c r="C380" s="86">
        <v>520.04999999999995</v>
      </c>
      <c r="D380" s="87">
        <v>75</v>
      </c>
      <c r="E380" s="37">
        <f t="shared" si="456"/>
        <v>39003.75</v>
      </c>
      <c r="F380" s="8">
        <f t="shared" si="457"/>
        <v>2730.2625000000003</v>
      </c>
      <c r="G380" s="8">
        <f t="shared" si="458"/>
        <v>41734.012499999997</v>
      </c>
      <c r="I380">
        <v>6901263</v>
      </c>
    </row>
    <row r="381" spans="1:9" ht="18" customHeight="1" x14ac:dyDescent="0.4">
      <c r="A381" s="16" t="s">
        <v>187</v>
      </c>
      <c r="B381" s="5" t="s">
        <v>69</v>
      </c>
      <c r="C381" s="86">
        <v>312.55</v>
      </c>
      <c r="D381" s="87">
        <v>75</v>
      </c>
      <c r="E381" s="37">
        <f t="shared" si="456"/>
        <v>23441.25</v>
      </c>
      <c r="F381" s="8">
        <f t="shared" si="457"/>
        <v>1640.8875</v>
      </c>
      <c r="G381" s="8">
        <f t="shared" si="458"/>
        <v>25082.137500000001</v>
      </c>
      <c r="I381">
        <v>6901034</v>
      </c>
    </row>
    <row r="382" spans="1:9" ht="18" customHeight="1" x14ac:dyDescent="0.4">
      <c r="A382" s="16" t="s">
        <v>261</v>
      </c>
      <c r="B382" s="5" t="s">
        <v>69</v>
      </c>
      <c r="C382" s="86">
        <v>179.05</v>
      </c>
      <c r="D382" s="87">
        <v>75</v>
      </c>
      <c r="E382" s="37">
        <f t="shared" si="456"/>
        <v>13428.75</v>
      </c>
      <c r="F382" s="8">
        <f t="shared" si="457"/>
        <v>940.01250000000005</v>
      </c>
      <c r="G382" s="8">
        <f t="shared" si="458"/>
        <v>14368.762500000001</v>
      </c>
      <c r="I382">
        <v>6901239</v>
      </c>
    </row>
    <row r="383" spans="1:9" ht="18" customHeight="1" x14ac:dyDescent="0.4">
      <c r="A383" s="16" t="s">
        <v>275</v>
      </c>
      <c r="B383" s="5" t="s">
        <v>69</v>
      </c>
      <c r="C383" s="86">
        <v>210.6</v>
      </c>
      <c r="D383" s="87">
        <v>75</v>
      </c>
      <c r="E383" s="37">
        <f t="shared" ref="E383" si="459">+C383*D383</f>
        <v>15795</v>
      </c>
      <c r="F383" s="8">
        <f t="shared" ref="F383" si="460">+E383*7%</f>
        <v>1105.6500000000001</v>
      </c>
      <c r="G383" s="8">
        <f t="shared" ref="G383" si="461">+E383+F383</f>
        <v>16900.650000000001</v>
      </c>
      <c r="I383">
        <v>6901297</v>
      </c>
    </row>
    <row r="384" spans="1:9" ht="18" customHeight="1" x14ac:dyDescent="0.4">
      <c r="A384" s="16" t="s">
        <v>187</v>
      </c>
      <c r="B384" s="5" t="s">
        <v>70</v>
      </c>
      <c r="C384" s="86">
        <v>307.3</v>
      </c>
      <c r="D384" s="87">
        <v>75</v>
      </c>
      <c r="E384" s="37">
        <f t="shared" si="456"/>
        <v>23047.5</v>
      </c>
      <c r="F384" s="8">
        <f t="shared" si="457"/>
        <v>1613.325</v>
      </c>
      <c r="G384" s="8">
        <f t="shared" si="458"/>
        <v>24660.825000000001</v>
      </c>
      <c r="I384">
        <v>6901034</v>
      </c>
    </row>
    <row r="385" spans="1:9" ht="18" customHeight="1" x14ac:dyDescent="0.4">
      <c r="A385" s="16" t="s">
        <v>199</v>
      </c>
      <c r="B385" s="5" t="s">
        <v>70</v>
      </c>
      <c r="C385" s="86">
        <v>106.8</v>
      </c>
      <c r="D385" s="87">
        <v>75</v>
      </c>
      <c r="E385" s="37">
        <f t="shared" si="456"/>
        <v>8010</v>
      </c>
      <c r="F385" s="8">
        <f t="shared" si="457"/>
        <v>560.70000000000005</v>
      </c>
      <c r="G385" s="8">
        <f t="shared" si="458"/>
        <v>8570.7000000000007</v>
      </c>
      <c r="I385">
        <v>6901072</v>
      </c>
    </row>
    <row r="386" spans="1:9" ht="18" customHeight="1" x14ac:dyDescent="0.4">
      <c r="A386" s="16" t="s">
        <v>237</v>
      </c>
      <c r="B386" s="5" t="s">
        <v>70</v>
      </c>
      <c r="C386" s="86">
        <v>411.9</v>
      </c>
      <c r="D386" s="87">
        <v>75</v>
      </c>
      <c r="E386" s="37">
        <f t="shared" si="456"/>
        <v>30892.5</v>
      </c>
      <c r="F386" s="8">
        <f t="shared" si="457"/>
        <v>2162.4750000000004</v>
      </c>
      <c r="G386" s="8">
        <f t="shared" si="458"/>
        <v>33054.974999999999</v>
      </c>
      <c r="I386">
        <v>6901149</v>
      </c>
    </row>
    <row r="387" spans="1:9" ht="18" customHeight="1" x14ac:dyDescent="0.4">
      <c r="A387" s="16" t="s">
        <v>242</v>
      </c>
      <c r="B387" s="5" t="s">
        <v>70</v>
      </c>
      <c r="C387" s="86">
        <v>178.25</v>
      </c>
      <c r="D387" s="87">
        <v>75</v>
      </c>
      <c r="E387" s="37">
        <f t="shared" si="456"/>
        <v>13368.75</v>
      </c>
      <c r="F387" s="8">
        <f t="shared" si="457"/>
        <v>935.81250000000011</v>
      </c>
      <c r="G387" s="8">
        <f t="shared" si="458"/>
        <v>14304.5625</v>
      </c>
      <c r="I387">
        <v>6901169</v>
      </c>
    </row>
    <row r="388" spans="1:9" ht="18" customHeight="1" x14ac:dyDescent="0.4">
      <c r="A388" s="16" t="s">
        <v>257</v>
      </c>
      <c r="B388" s="5" t="s">
        <v>70</v>
      </c>
      <c r="C388" s="86">
        <v>75.5</v>
      </c>
      <c r="D388" s="87">
        <v>78</v>
      </c>
      <c r="E388" s="37">
        <f t="shared" si="456"/>
        <v>5889</v>
      </c>
      <c r="F388" s="8">
        <f t="shared" si="457"/>
        <v>412.23</v>
      </c>
      <c r="G388" s="8">
        <f t="shared" si="458"/>
        <v>6301.23</v>
      </c>
      <c r="I388">
        <v>6901218</v>
      </c>
    </row>
    <row r="389" spans="1:9" ht="18" customHeight="1" x14ac:dyDescent="0.4">
      <c r="A389" s="16" t="s">
        <v>257</v>
      </c>
      <c r="B389" s="5" t="s">
        <v>70</v>
      </c>
      <c r="C389" s="86">
        <v>171.3</v>
      </c>
      <c r="D389" s="87">
        <v>75</v>
      </c>
      <c r="E389" s="37">
        <f t="shared" si="456"/>
        <v>12847.5</v>
      </c>
      <c r="F389" s="8">
        <f t="shared" si="457"/>
        <v>899.32500000000005</v>
      </c>
      <c r="G389" s="8">
        <f t="shared" si="458"/>
        <v>13746.825000000001</v>
      </c>
      <c r="I389">
        <v>6901217</v>
      </c>
    </row>
    <row r="390" spans="1:9" ht="18" customHeight="1" x14ac:dyDescent="0.4">
      <c r="A390" s="16" t="s">
        <v>268</v>
      </c>
      <c r="B390" s="5" t="s">
        <v>70</v>
      </c>
      <c r="C390" s="86">
        <v>102.2</v>
      </c>
      <c r="D390" s="87">
        <v>78</v>
      </c>
      <c r="E390" s="37">
        <f t="shared" si="456"/>
        <v>7971.6</v>
      </c>
      <c r="F390" s="8">
        <f t="shared" si="457"/>
        <v>558.01200000000006</v>
      </c>
      <c r="G390" s="8">
        <f>+E390+F390</f>
        <v>8529.612000000001</v>
      </c>
      <c r="I390">
        <v>6901265</v>
      </c>
    </row>
    <row r="391" spans="1:9" ht="18" customHeight="1" x14ac:dyDescent="0.4">
      <c r="A391" s="16" t="s">
        <v>268</v>
      </c>
      <c r="B391" s="5" t="s">
        <v>70</v>
      </c>
      <c r="C391" s="86">
        <v>121.45</v>
      </c>
      <c r="D391" s="87">
        <v>78</v>
      </c>
      <c r="E391" s="37">
        <f t="shared" ref="E391" si="462">+C391*D391</f>
        <v>9473.1</v>
      </c>
      <c r="F391" s="8">
        <f t="shared" ref="F391" si="463">+E391*7%</f>
        <v>663.11700000000008</v>
      </c>
      <c r="G391" s="8">
        <f>+E391+F391</f>
        <v>10136.217000000001</v>
      </c>
      <c r="I391">
        <v>6901264</v>
      </c>
    </row>
    <row r="392" spans="1:9" ht="18" customHeight="1" x14ac:dyDescent="0.4">
      <c r="A392" s="16" t="s">
        <v>275</v>
      </c>
      <c r="B392" s="5" t="s">
        <v>70</v>
      </c>
      <c r="C392" s="86">
        <v>208.3</v>
      </c>
      <c r="D392" s="87">
        <v>75</v>
      </c>
      <c r="E392" s="37">
        <f t="shared" ref="E392" si="464">+C392*D392</f>
        <v>15622.5</v>
      </c>
      <c r="F392" s="8">
        <f t="shared" ref="F392" si="465">+E392*7%</f>
        <v>1093.575</v>
      </c>
      <c r="G392" s="8">
        <f>+E392+F392</f>
        <v>16716.075000000001</v>
      </c>
      <c r="I392">
        <v>6901296</v>
      </c>
    </row>
    <row r="393" spans="1:9" ht="18" customHeight="1" x14ac:dyDescent="0.4">
      <c r="A393" s="16" t="s">
        <v>187</v>
      </c>
      <c r="B393" s="5" t="s">
        <v>71</v>
      </c>
      <c r="C393" s="86">
        <v>316.3</v>
      </c>
      <c r="D393" s="87">
        <v>74</v>
      </c>
      <c r="E393" s="37">
        <f t="shared" si="456"/>
        <v>23406.2</v>
      </c>
      <c r="F393" s="8">
        <f t="shared" si="457"/>
        <v>1638.4340000000002</v>
      </c>
      <c r="G393" s="8">
        <f t="shared" si="458"/>
        <v>25044.634000000002</v>
      </c>
      <c r="I393">
        <v>6901033</v>
      </c>
    </row>
    <row r="394" spans="1:9" ht="18" customHeight="1" x14ac:dyDescent="0.4">
      <c r="A394" s="16" t="s">
        <v>199</v>
      </c>
      <c r="B394" s="5" t="s">
        <v>71</v>
      </c>
      <c r="C394" s="86">
        <v>48.35</v>
      </c>
      <c r="D394" s="87">
        <v>75</v>
      </c>
      <c r="E394" s="37">
        <f t="shared" si="456"/>
        <v>3626.25</v>
      </c>
      <c r="F394" s="8">
        <f t="shared" si="457"/>
        <v>253.83750000000003</v>
      </c>
      <c r="G394" s="8">
        <f t="shared" si="458"/>
        <v>3880.0875000000001</v>
      </c>
      <c r="I394">
        <v>6901069</v>
      </c>
    </row>
    <row r="395" spans="1:9" ht="18" customHeight="1" x14ac:dyDescent="0.4">
      <c r="A395" s="16" t="s">
        <v>242</v>
      </c>
      <c r="B395" s="5" t="s">
        <v>71</v>
      </c>
      <c r="C395" s="86">
        <v>29.2</v>
      </c>
      <c r="D395" s="87">
        <v>75</v>
      </c>
      <c r="E395" s="37">
        <f t="shared" si="456"/>
        <v>2190</v>
      </c>
      <c r="F395" s="8">
        <f t="shared" si="457"/>
        <v>153.30000000000001</v>
      </c>
      <c r="G395" s="8">
        <f t="shared" si="458"/>
        <v>2343.3000000000002</v>
      </c>
      <c r="I395">
        <v>6901167</v>
      </c>
    </row>
    <row r="396" spans="1:9" ht="18" customHeight="1" x14ac:dyDescent="0.4">
      <c r="A396" s="16" t="s">
        <v>261</v>
      </c>
      <c r="B396" s="5" t="s">
        <v>71</v>
      </c>
      <c r="C396" s="86">
        <v>316.75</v>
      </c>
      <c r="D396" s="87">
        <v>74</v>
      </c>
      <c r="E396" s="37">
        <f t="shared" si="456"/>
        <v>23439.5</v>
      </c>
      <c r="F396" s="8">
        <f t="shared" si="457"/>
        <v>1640.7650000000001</v>
      </c>
      <c r="G396" s="8">
        <f t="shared" si="458"/>
        <v>25080.264999999999</v>
      </c>
      <c r="I396">
        <v>6901238</v>
      </c>
    </row>
    <row r="397" spans="1:9" ht="18" customHeight="1" x14ac:dyDescent="0.4">
      <c r="A397" s="16" t="s">
        <v>268</v>
      </c>
      <c r="B397" s="5" t="s">
        <v>71</v>
      </c>
      <c r="C397" s="86">
        <v>48.5</v>
      </c>
      <c r="D397" s="87">
        <v>75</v>
      </c>
      <c r="E397" s="37">
        <f t="shared" ref="E397" si="466">+C397*D397</f>
        <v>3637.5</v>
      </c>
      <c r="F397" s="8">
        <f t="shared" ref="F397" si="467">+E397*7%</f>
        <v>254.62500000000003</v>
      </c>
      <c r="G397" s="8">
        <f t="shared" ref="G397" si="468">+E397+F397</f>
        <v>3892.125</v>
      </c>
      <c r="I397">
        <v>6901262</v>
      </c>
    </row>
    <row r="398" spans="1:9" ht="18" customHeight="1" x14ac:dyDescent="0.4">
      <c r="A398" s="16" t="s">
        <v>275</v>
      </c>
      <c r="B398" s="5" t="s">
        <v>71</v>
      </c>
      <c r="C398" s="86">
        <v>420.3</v>
      </c>
      <c r="D398" s="87">
        <v>74</v>
      </c>
      <c r="E398" s="37">
        <f t="shared" ref="E398" si="469">+C398*D398</f>
        <v>31102.2</v>
      </c>
      <c r="F398" s="8">
        <f t="shared" ref="F398" si="470">+E398*7%</f>
        <v>2177.1540000000005</v>
      </c>
      <c r="G398" s="8">
        <f t="shared" ref="G398" si="471">+E398+F398</f>
        <v>33279.353999999999</v>
      </c>
      <c r="I398">
        <v>6901295</v>
      </c>
    </row>
    <row r="399" spans="1:9" ht="18" customHeight="1" x14ac:dyDescent="0.4">
      <c r="A399" s="16" t="s">
        <v>199</v>
      </c>
      <c r="B399" s="5" t="s">
        <v>72</v>
      </c>
      <c r="C399" s="86">
        <v>102.9</v>
      </c>
      <c r="D399" s="87">
        <v>75</v>
      </c>
      <c r="E399" s="37">
        <f t="shared" si="456"/>
        <v>7717.5</v>
      </c>
      <c r="F399" s="8">
        <f t="shared" si="457"/>
        <v>540.22500000000002</v>
      </c>
      <c r="G399" s="8">
        <f t="shared" si="458"/>
        <v>8257.7250000000004</v>
      </c>
      <c r="I399">
        <v>6901070</v>
      </c>
    </row>
    <row r="400" spans="1:9" ht="18" customHeight="1" x14ac:dyDescent="0.4">
      <c r="A400" s="16" t="s">
        <v>242</v>
      </c>
      <c r="B400" s="5" t="s">
        <v>72</v>
      </c>
      <c r="C400" s="86">
        <v>43.7</v>
      </c>
      <c r="D400" s="87">
        <v>75</v>
      </c>
      <c r="E400" s="37">
        <f t="shared" ref="E400" si="472">+C400*D400</f>
        <v>3277.5</v>
      </c>
      <c r="F400" s="8">
        <f t="shared" ref="F400" si="473">+E400*7%</f>
        <v>229.42500000000001</v>
      </c>
      <c r="G400" s="8">
        <f t="shared" ref="G400" si="474">+E400+F400</f>
        <v>3506.9250000000002</v>
      </c>
      <c r="I400">
        <v>6901168</v>
      </c>
    </row>
    <row r="401" spans="1:9" ht="18" customHeight="1" x14ac:dyDescent="0.4">
      <c r="A401" s="16" t="s">
        <v>257</v>
      </c>
      <c r="B401" s="5" t="s">
        <v>72</v>
      </c>
      <c r="C401" s="86">
        <v>53.75</v>
      </c>
      <c r="D401" s="87">
        <v>75</v>
      </c>
      <c r="E401" s="37">
        <f t="shared" ref="E401" si="475">+C401*D401</f>
        <v>4031.25</v>
      </c>
      <c r="F401" s="8">
        <f t="shared" ref="F401" si="476">+E401*7%</f>
        <v>282.1875</v>
      </c>
      <c r="G401" s="8">
        <f t="shared" ref="G401" si="477">+E401+F401</f>
        <v>4313.4375</v>
      </c>
      <c r="I401">
        <v>6901219</v>
      </c>
    </row>
    <row r="402" spans="1:9" ht="18" customHeight="1" x14ac:dyDescent="0.4">
      <c r="A402" s="16" t="s">
        <v>187</v>
      </c>
      <c r="B402" s="5" t="s">
        <v>73</v>
      </c>
      <c r="C402" s="86">
        <v>828.7</v>
      </c>
      <c r="D402" s="87">
        <v>75</v>
      </c>
      <c r="E402" s="37">
        <f t="shared" si="456"/>
        <v>62152.5</v>
      </c>
      <c r="F402" s="8">
        <f t="shared" si="457"/>
        <v>4350.6750000000002</v>
      </c>
      <c r="G402" s="8">
        <f t="shared" si="458"/>
        <v>66503.175000000003</v>
      </c>
      <c r="I402">
        <v>6901033</v>
      </c>
    </row>
    <row r="403" spans="1:9" ht="18" customHeight="1" x14ac:dyDescent="0.4">
      <c r="A403" s="16" t="s">
        <v>237</v>
      </c>
      <c r="B403" s="5" t="s">
        <v>73</v>
      </c>
      <c r="C403" s="86">
        <v>730.5</v>
      </c>
      <c r="D403" s="87">
        <v>75</v>
      </c>
      <c r="E403" s="37">
        <f t="shared" si="456"/>
        <v>54787.5</v>
      </c>
      <c r="F403" s="8">
        <f t="shared" si="457"/>
        <v>3835.1250000000005</v>
      </c>
      <c r="G403" s="8">
        <f t="shared" si="458"/>
        <v>58622.625</v>
      </c>
      <c r="I403">
        <v>6901150</v>
      </c>
    </row>
    <row r="404" spans="1:9" ht="18" customHeight="1" x14ac:dyDescent="0.4">
      <c r="A404" s="16" t="s">
        <v>261</v>
      </c>
      <c r="B404" s="5" t="s">
        <v>73</v>
      </c>
      <c r="C404" s="86">
        <v>238.4</v>
      </c>
      <c r="D404" s="87">
        <v>75</v>
      </c>
      <c r="E404" s="37">
        <f t="shared" si="456"/>
        <v>17880</v>
      </c>
      <c r="F404" s="8">
        <f t="shared" si="457"/>
        <v>1251.6000000000001</v>
      </c>
      <c r="G404" s="8">
        <f t="shared" si="458"/>
        <v>19131.599999999999</v>
      </c>
      <c r="I404">
        <v>6901238</v>
      </c>
    </row>
    <row r="405" spans="1:9" ht="18" customHeight="1" x14ac:dyDescent="0.4">
      <c r="A405" s="16" t="s">
        <v>275</v>
      </c>
      <c r="B405" s="5" t="s">
        <v>73</v>
      </c>
      <c r="C405" s="86">
        <v>311.7</v>
      </c>
      <c r="D405" s="87">
        <v>75</v>
      </c>
      <c r="E405" s="37">
        <f t="shared" ref="E405" si="478">+C405*D405</f>
        <v>23377.5</v>
      </c>
      <c r="F405" s="8">
        <f t="shared" ref="F405" si="479">+E405*7%</f>
        <v>1636.4250000000002</v>
      </c>
      <c r="G405" s="8">
        <f t="shared" ref="G405" si="480">+E405+F405</f>
        <v>25013.924999999999</v>
      </c>
      <c r="I405">
        <v>6901298</v>
      </c>
    </row>
    <row r="406" spans="1:9" ht="18" customHeight="1" x14ac:dyDescent="0.4">
      <c r="A406" s="16" t="s">
        <v>199</v>
      </c>
      <c r="B406" s="5" t="s">
        <v>74</v>
      </c>
      <c r="C406" s="86">
        <v>77.95</v>
      </c>
      <c r="D406" s="87">
        <v>78</v>
      </c>
      <c r="E406" s="37">
        <f t="shared" ref="E406" si="481">+C406*D406</f>
        <v>6080.1</v>
      </c>
      <c r="F406" s="8">
        <f t="shared" ref="F406" si="482">+E406*7%</f>
        <v>425.60700000000008</v>
      </c>
      <c r="G406" s="8">
        <f t="shared" ref="G406" si="483">+E406+F406</f>
        <v>6505.7070000000003</v>
      </c>
      <c r="I406">
        <v>6901071</v>
      </c>
    </row>
    <row r="407" spans="1:9" ht="18" customHeight="1" x14ac:dyDescent="0.4">
      <c r="A407" s="16" t="s">
        <v>242</v>
      </c>
      <c r="B407" s="5" t="s">
        <v>74</v>
      </c>
      <c r="C407" s="86">
        <v>29.75</v>
      </c>
      <c r="D407" s="87">
        <v>80</v>
      </c>
      <c r="E407" s="37">
        <f t="shared" si="456"/>
        <v>2380</v>
      </c>
      <c r="F407" s="8">
        <f t="shared" si="457"/>
        <v>166.60000000000002</v>
      </c>
      <c r="G407" s="8">
        <f t="shared" si="458"/>
        <v>2546.6</v>
      </c>
      <c r="I407">
        <v>6901166</v>
      </c>
    </row>
    <row r="408" spans="1:9" ht="18" customHeight="1" x14ac:dyDescent="0.4">
      <c r="A408" s="16" t="s">
        <v>242</v>
      </c>
      <c r="B408" s="5" t="s">
        <v>176</v>
      </c>
      <c r="C408" s="86">
        <v>29.55</v>
      </c>
      <c r="D408" s="87">
        <v>78</v>
      </c>
      <c r="E408" s="37">
        <f t="shared" ref="E408" si="484">+C408*D408</f>
        <v>2304.9</v>
      </c>
      <c r="F408" s="8">
        <f t="shared" ref="F408" si="485">+E408*7%</f>
        <v>161.34300000000002</v>
      </c>
      <c r="G408" s="8">
        <f t="shared" ref="G408" si="486">+E408+F408</f>
        <v>2466.2429999999999</v>
      </c>
      <c r="I408">
        <v>6901165</v>
      </c>
    </row>
    <row r="409" spans="1:9" ht="18" customHeight="1" x14ac:dyDescent="0.4">
      <c r="A409" s="16" t="s">
        <v>257</v>
      </c>
      <c r="B409" s="5" t="s">
        <v>176</v>
      </c>
      <c r="C409" s="86">
        <v>48.95</v>
      </c>
      <c r="D409" s="87">
        <v>80</v>
      </c>
      <c r="E409" s="37">
        <f t="shared" ref="E409" si="487">+C409*D409</f>
        <v>3916</v>
      </c>
      <c r="F409" s="8">
        <f t="shared" ref="F409" si="488">+E409*7%</f>
        <v>274.12</v>
      </c>
      <c r="G409" s="8">
        <f t="shared" ref="G409" si="489">+E409+F409</f>
        <v>4190.12</v>
      </c>
      <c r="I409">
        <v>6901220</v>
      </c>
    </row>
    <row r="410" spans="1:9" ht="18" customHeight="1" thickBot="1" x14ac:dyDescent="0.35">
      <c r="A410" s="84"/>
      <c r="B410" s="17" t="s">
        <v>15</v>
      </c>
      <c r="C410" s="18">
        <f>SUM(C378:C409)</f>
        <v>7209.9499999999989</v>
      </c>
      <c r="D410" s="19"/>
      <c r="E410" s="18">
        <f>SUM(E378:E409)</f>
        <v>541306.35000000009</v>
      </c>
      <c r="F410" s="18">
        <f>SUM(F378:F409)</f>
        <v>37891.444500000005</v>
      </c>
      <c r="G410" s="18">
        <f>SUM(G378:G409)</f>
        <v>579197.79450000008</v>
      </c>
    </row>
    <row r="411" spans="1:9" ht="11.25" customHeight="1" thickTop="1" x14ac:dyDescent="0.4">
      <c r="A411" s="21"/>
      <c r="B411" s="22"/>
      <c r="C411" s="23"/>
      <c r="D411" s="24"/>
      <c r="E411" s="23"/>
      <c r="F411" s="25"/>
      <c r="G411" s="23"/>
    </row>
    <row r="412" spans="1:9" ht="23.25" x14ac:dyDescent="0.5">
      <c r="A412" s="361" t="s">
        <v>75</v>
      </c>
      <c r="B412" s="361"/>
      <c r="C412" s="361"/>
      <c r="D412" s="361"/>
      <c r="E412" s="361"/>
      <c r="F412" s="361"/>
      <c r="G412" s="361"/>
    </row>
    <row r="413" spans="1:9" ht="18" customHeight="1" x14ac:dyDescent="0.3">
      <c r="A413" s="94" t="s">
        <v>2</v>
      </c>
      <c r="B413" s="95" t="s">
        <v>3</v>
      </c>
      <c r="C413" s="95" t="s">
        <v>76</v>
      </c>
      <c r="D413" s="3" t="s">
        <v>5</v>
      </c>
      <c r="E413" s="95" t="s">
        <v>6</v>
      </c>
      <c r="F413" s="95" t="s">
        <v>7</v>
      </c>
      <c r="G413" s="95" t="s">
        <v>8</v>
      </c>
    </row>
    <row r="414" spans="1:9" ht="18" customHeight="1" x14ac:dyDescent="0.4">
      <c r="A414" s="127" t="s">
        <v>199</v>
      </c>
      <c r="B414" s="5" t="s">
        <v>77</v>
      </c>
      <c r="C414" s="128">
        <v>20</v>
      </c>
      <c r="D414" s="40">
        <v>714</v>
      </c>
      <c r="E414" s="6">
        <f t="shared" ref="E414:E417" si="490">+C414*D414</f>
        <v>14280</v>
      </c>
      <c r="F414" s="6">
        <f t="shared" ref="F414:F417" si="491">+E414*7%</f>
        <v>999.60000000000014</v>
      </c>
      <c r="G414" s="6">
        <f t="shared" ref="G414:G417" si="492">+E414+F414</f>
        <v>15279.6</v>
      </c>
      <c r="I414">
        <v>6901080</v>
      </c>
    </row>
    <row r="415" spans="1:9" ht="18" customHeight="1" x14ac:dyDescent="0.4">
      <c r="A415" s="127" t="s">
        <v>204</v>
      </c>
      <c r="B415" s="129" t="s">
        <v>78</v>
      </c>
      <c r="C415" s="130">
        <v>60</v>
      </c>
      <c r="D415" s="19">
        <v>714</v>
      </c>
      <c r="E415" s="60">
        <f t="shared" si="490"/>
        <v>42840</v>
      </c>
      <c r="F415" s="60">
        <f t="shared" si="491"/>
        <v>2998.8</v>
      </c>
      <c r="G415" s="60">
        <f t="shared" si="492"/>
        <v>45838.8</v>
      </c>
      <c r="I415">
        <v>6901048</v>
      </c>
    </row>
    <row r="416" spans="1:9" ht="18" customHeight="1" x14ac:dyDescent="0.4">
      <c r="A416" s="127" t="s">
        <v>237</v>
      </c>
      <c r="B416" s="129" t="s">
        <v>78</v>
      </c>
      <c r="C416" s="130">
        <v>45</v>
      </c>
      <c r="D416" s="19">
        <v>714</v>
      </c>
      <c r="E416" s="60">
        <f t="shared" si="490"/>
        <v>32130</v>
      </c>
      <c r="F416" s="60">
        <f t="shared" si="491"/>
        <v>2249.1000000000004</v>
      </c>
      <c r="G416" s="60">
        <f t="shared" si="492"/>
        <v>34379.1</v>
      </c>
      <c r="I416">
        <v>6901148</v>
      </c>
    </row>
    <row r="417" spans="1:9" ht="18" customHeight="1" x14ac:dyDescent="0.4">
      <c r="A417" s="127" t="s">
        <v>259</v>
      </c>
      <c r="B417" s="129" t="s">
        <v>78</v>
      </c>
      <c r="C417" s="130">
        <v>85</v>
      </c>
      <c r="D417" s="19">
        <v>685</v>
      </c>
      <c r="E417" s="60">
        <f t="shared" si="490"/>
        <v>58225</v>
      </c>
      <c r="F417" s="60">
        <f t="shared" si="491"/>
        <v>4075.7500000000005</v>
      </c>
      <c r="G417" s="60">
        <f t="shared" si="492"/>
        <v>62300.75</v>
      </c>
      <c r="I417">
        <v>6901229</v>
      </c>
    </row>
    <row r="418" spans="1:9" ht="18" customHeight="1" x14ac:dyDescent="0.4">
      <c r="A418" s="127" t="s">
        <v>275</v>
      </c>
      <c r="B418" s="129" t="s">
        <v>78</v>
      </c>
      <c r="C418" s="130">
        <v>85</v>
      </c>
      <c r="D418" s="19">
        <v>685</v>
      </c>
      <c r="E418" s="60">
        <f t="shared" ref="E418" si="493">+C418*D418</f>
        <v>58225</v>
      </c>
      <c r="F418" s="60">
        <f t="shared" ref="F418" si="494">+E418*7%</f>
        <v>4075.7500000000005</v>
      </c>
      <c r="G418" s="60">
        <f t="shared" ref="G418" si="495">+E418+F418</f>
        <v>62300.75</v>
      </c>
      <c r="I418">
        <v>6901310</v>
      </c>
    </row>
    <row r="419" spans="1:9" ht="18" customHeight="1" thickBot="1" x14ac:dyDescent="0.35">
      <c r="A419" s="131"/>
      <c r="B419" s="95" t="s">
        <v>15</v>
      </c>
      <c r="C419" s="132">
        <f>SUM(C414:C418)</f>
        <v>295</v>
      </c>
      <c r="D419" s="133"/>
      <c r="E419" s="134">
        <f>SUM(E414:E418)</f>
        <v>205700</v>
      </c>
      <c r="F419" s="134">
        <f t="shared" ref="F419:G419" si="496">SUM(F414:F418)</f>
        <v>14399.000000000002</v>
      </c>
      <c r="G419" s="134">
        <f t="shared" si="496"/>
        <v>220099</v>
      </c>
    </row>
    <row r="420" spans="1:9" ht="11.25" customHeight="1" thickTop="1" x14ac:dyDescent="0.3">
      <c r="A420" s="126"/>
      <c r="B420" s="111"/>
      <c r="C420" s="112"/>
      <c r="D420" s="119"/>
      <c r="E420" s="113"/>
      <c r="F420" s="113"/>
      <c r="G420" s="113"/>
    </row>
    <row r="421" spans="1:9" ht="18" customHeight="1" x14ac:dyDescent="0.3">
      <c r="A421" s="27" t="s">
        <v>2</v>
      </c>
      <c r="B421" s="28" t="s">
        <v>3</v>
      </c>
      <c r="C421" s="28" t="s">
        <v>79</v>
      </c>
      <c r="D421" s="119"/>
      <c r="E421" s="111"/>
      <c r="F421" s="111"/>
      <c r="G421" s="111"/>
    </row>
    <row r="422" spans="1:9" ht="18" customHeight="1" x14ac:dyDescent="0.4">
      <c r="A422" s="127" t="s">
        <v>199</v>
      </c>
      <c r="B422" s="5" t="s">
        <v>80</v>
      </c>
      <c r="C422" s="128">
        <v>236.5</v>
      </c>
      <c r="D422" s="88"/>
      <c r="E422" s="135"/>
      <c r="F422" s="111"/>
      <c r="G422" s="135"/>
      <c r="I422">
        <v>6901080</v>
      </c>
    </row>
    <row r="423" spans="1:9" ht="18" customHeight="1" x14ac:dyDescent="0.4">
      <c r="A423" s="127" t="s">
        <v>204</v>
      </c>
      <c r="B423" s="5" t="s">
        <v>80</v>
      </c>
      <c r="C423" s="136">
        <v>695.7</v>
      </c>
      <c r="D423" s="70"/>
      <c r="E423" s="120"/>
      <c r="F423" s="120"/>
      <c r="G423" s="120"/>
      <c r="I423">
        <v>6901048</v>
      </c>
    </row>
    <row r="424" spans="1:9" ht="18" customHeight="1" x14ac:dyDescent="0.4">
      <c r="A424" s="127" t="s">
        <v>237</v>
      </c>
      <c r="B424" s="5" t="s">
        <v>80</v>
      </c>
      <c r="C424" s="136">
        <v>524.65</v>
      </c>
      <c r="D424" s="70"/>
      <c r="E424" s="120"/>
      <c r="F424" s="120"/>
      <c r="G424" s="120"/>
      <c r="I424">
        <v>6901148</v>
      </c>
    </row>
    <row r="425" spans="1:9" ht="18" customHeight="1" x14ac:dyDescent="0.4">
      <c r="A425" s="127" t="s">
        <v>259</v>
      </c>
      <c r="B425" s="5" t="s">
        <v>80</v>
      </c>
      <c r="C425" s="136">
        <v>1005.3</v>
      </c>
      <c r="D425" s="70"/>
      <c r="E425" s="120"/>
      <c r="F425" s="120"/>
      <c r="G425" s="120"/>
      <c r="I425">
        <v>6901229</v>
      </c>
    </row>
    <row r="426" spans="1:9" ht="18" customHeight="1" x14ac:dyDescent="0.4">
      <c r="A426" s="127" t="s">
        <v>275</v>
      </c>
      <c r="B426" s="5" t="s">
        <v>80</v>
      </c>
      <c r="C426" s="136">
        <v>997.15</v>
      </c>
      <c r="D426" s="70"/>
      <c r="E426" s="120"/>
      <c r="F426" s="120"/>
      <c r="G426" s="120"/>
      <c r="I426">
        <v>6901310</v>
      </c>
    </row>
    <row r="427" spans="1:9" ht="18" customHeight="1" thickBot="1" x14ac:dyDescent="0.35">
      <c r="A427" s="131"/>
      <c r="B427" s="95" t="s">
        <v>15</v>
      </c>
      <c r="C427" s="132">
        <f>SUM(C422:C426)</f>
        <v>3459.2999999999997</v>
      </c>
      <c r="D427" s="119"/>
      <c r="E427" s="113"/>
      <c r="F427" s="113"/>
      <c r="G427" s="113"/>
    </row>
    <row r="428" spans="1:9" ht="18" customHeight="1" thickTop="1" x14ac:dyDescent="0.3">
      <c r="A428" s="126"/>
      <c r="B428" s="111"/>
      <c r="C428" s="112"/>
      <c r="D428" s="119"/>
      <c r="E428" s="113"/>
      <c r="F428" s="113"/>
      <c r="G428" s="113"/>
    </row>
    <row r="429" spans="1:9" ht="23.25" x14ac:dyDescent="0.3">
      <c r="A429" s="359" t="s">
        <v>81</v>
      </c>
      <c r="B429" s="359"/>
      <c r="C429" s="359"/>
      <c r="D429" s="359"/>
      <c r="E429" s="359"/>
      <c r="F429" s="359"/>
      <c r="G429" s="359"/>
    </row>
    <row r="430" spans="1:9" ht="18" customHeight="1" x14ac:dyDescent="0.3">
      <c r="A430" s="1" t="s">
        <v>2</v>
      </c>
      <c r="B430" s="2" t="s">
        <v>3</v>
      </c>
      <c r="C430" s="2" t="s">
        <v>4</v>
      </c>
      <c r="D430" s="3" t="s">
        <v>5</v>
      </c>
      <c r="E430" s="2" t="s">
        <v>6</v>
      </c>
      <c r="F430" s="2" t="s">
        <v>7</v>
      </c>
      <c r="G430" s="2" t="s">
        <v>8</v>
      </c>
    </row>
    <row r="431" spans="1:9" ht="18" customHeight="1" x14ac:dyDescent="0.4">
      <c r="A431" s="4" t="s">
        <v>249</v>
      </c>
      <c r="B431" s="5" t="s">
        <v>250</v>
      </c>
      <c r="C431" s="128">
        <v>195.45</v>
      </c>
      <c r="D431" s="40">
        <v>57</v>
      </c>
      <c r="E431" s="6">
        <f t="shared" ref="E431:E434" si="497">+C431*D431</f>
        <v>11140.65</v>
      </c>
      <c r="F431" s="60">
        <f t="shared" ref="F431:F434" si="498">+E431*7%</f>
        <v>779.84550000000002</v>
      </c>
      <c r="G431" s="60">
        <f t="shared" ref="G431:G434" si="499">+E431+F431</f>
        <v>11920.495499999999</v>
      </c>
      <c r="I431">
        <v>6901189</v>
      </c>
    </row>
    <row r="432" spans="1:9" ht="18" customHeight="1" x14ac:dyDescent="0.4">
      <c r="A432" s="4" t="s">
        <v>261</v>
      </c>
      <c r="B432" s="5" t="s">
        <v>250</v>
      </c>
      <c r="C432" s="128">
        <v>314.5</v>
      </c>
      <c r="D432" s="40">
        <v>57</v>
      </c>
      <c r="E432" s="6">
        <f t="shared" ref="E432" si="500">+C432*D432</f>
        <v>17926.5</v>
      </c>
      <c r="F432" s="60">
        <f t="shared" ref="F432" si="501">+E432*7%</f>
        <v>1254.855</v>
      </c>
      <c r="G432" s="60">
        <f t="shared" ref="G432" si="502">+E432+F432</f>
        <v>19181.355</v>
      </c>
      <c r="I432">
        <v>6901244</v>
      </c>
    </row>
    <row r="433" spans="1:9" ht="18" customHeight="1" x14ac:dyDescent="0.4">
      <c r="A433" s="4" t="s">
        <v>187</v>
      </c>
      <c r="B433" s="5" t="s">
        <v>82</v>
      </c>
      <c r="C433" s="128">
        <v>297.85000000000002</v>
      </c>
      <c r="D433" s="40">
        <v>59</v>
      </c>
      <c r="E433" s="6">
        <f t="shared" ref="E433" si="503">+C433*D433</f>
        <v>17573.150000000001</v>
      </c>
      <c r="F433" s="60">
        <f t="shared" ref="F433" si="504">+E433*7%</f>
        <v>1230.1205000000002</v>
      </c>
      <c r="G433" s="60">
        <f t="shared" ref="G433" si="505">+E433+F433</f>
        <v>18803.270500000002</v>
      </c>
      <c r="I433">
        <v>6901040</v>
      </c>
    </row>
    <row r="434" spans="1:9" ht="18" customHeight="1" x14ac:dyDescent="0.4">
      <c r="A434" s="4" t="s">
        <v>199</v>
      </c>
      <c r="B434" s="5" t="s">
        <v>83</v>
      </c>
      <c r="C434" s="128">
        <v>190.6</v>
      </c>
      <c r="D434" s="40">
        <v>59</v>
      </c>
      <c r="E434" s="6">
        <f t="shared" si="497"/>
        <v>11245.4</v>
      </c>
      <c r="F434" s="60">
        <f t="shared" si="498"/>
        <v>787.178</v>
      </c>
      <c r="G434" s="60">
        <f t="shared" si="499"/>
        <v>12032.578</v>
      </c>
      <c r="I434">
        <v>6901073</v>
      </c>
    </row>
    <row r="435" spans="1:9" ht="18" customHeight="1" x14ac:dyDescent="0.4">
      <c r="A435" s="4" t="s">
        <v>280</v>
      </c>
      <c r="B435" s="5" t="s">
        <v>83</v>
      </c>
      <c r="C435" s="128">
        <v>192.45</v>
      </c>
      <c r="D435" s="40">
        <v>57</v>
      </c>
      <c r="E435" s="6">
        <f t="shared" ref="E435" si="506">+C435*D435</f>
        <v>10969.65</v>
      </c>
      <c r="F435" s="60">
        <f t="shared" ref="F435" si="507">+E435*7%</f>
        <v>767.8755000000001</v>
      </c>
      <c r="G435" s="60">
        <f t="shared" ref="G435" si="508">+E435+F435</f>
        <v>11737.5255</v>
      </c>
      <c r="I435">
        <v>6901326</v>
      </c>
    </row>
    <row r="436" spans="1:9" ht="18" customHeight="1" x14ac:dyDescent="0.4">
      <c r="A436" s="4" t="s">
        <v>264</v>
      </c>
      <c r="B436" s="5" t="s">
        <v>266</v>
      </c>
      <c r="C436" s="128">
        <v>168.8</v>
      </c>
      <c r="D436" s="40">
        <v>57</v>
      </c>
      <c r="E436" s="6">
        <f t="shared" ref="E436" si="509">+C436*D436</f>
        <v>9621.6</v>
      </c>
      <c r="F436" s="60">
        <f t="shared" ref="F436" si="510">+E436*7%</f>
        <v>673.51200000000006</v>
      </c>
      <c r="G436" s="60">
        <f t="shared" ref="G436" si="511">+E436+F436</f>
        <v>10295.112000000001</v>
      </c>
      <c r="I436">
        <v>6901255</v>
      </c>
    </row>
    <row r="437" spans="1:9" ht="18" customHeight="1" x14ac:dyDescent="0.4">
      <c r="A437" s="4" t="s">
        <v>280</v>
      </c>
      <c r="B437" s="5" t="s">
        <v>266</v>
      </c>
      <c r="C437" s="128">
        <v>31.75</v>
      </c>
      <c r="D437" s="40">
        <v>57</v>
      </c>
      <c r="E437" s="6">
        <f t="shared" ref="E437" si="512">+C437*D437</f>
        <v>1809.75</v>
      </c>
      <c r="F437" s="60">
        <f t="shared" ref="F437" si="513">+E437*7%</f>
        <v>126.68250000000002</v>
      </c>
      <c r="G437" s="60">
        <f t="shared" ref="G437" si="514">+E437+F437</f>
        <v>1936.4325000000001</v>
      </c>
      <c r="I437">
        <v>6901328</v>
      </c>
    </row>
    <row r="438" spans="1:9" ht="18" customHeight="1" x14ac:dyDescent="0.4">
      <c r="A438" s="4" t="s">
        <v>280</v>
      </c>
      <c r="B438" s="5" t="s">
        <v>282</v>
      </c>
      <c r="C438" s="128">
        <v>198.2</v>
      </c>
      <c r="D438" s="40">
        <v>70</v>
      </c>
      <c r="E438" s="6">
        <f t="shared" ref="E438" si="515">+C438*D438</f>
        <v>13874</v>
      </c>
      <c r="F438" s="60">
        <f t="shared" ref="F438" si="516">+E438*7%</f>
        <v>971.18000000000006</v>
      </c>
      <c r="G438" s="60">
        <f t="shared" ref="G438" si="517">+E438+F438</f>
        <v>14845.18</v>
      </c>
      <c r="I438">
        <v>6901327</v>
      </c>
    </row>
    <row r="439" spans="1:9" ht="18" customHeight="1" thickBot="1" x14ac:dyDescent="0.35">
      <c r="A439" s="61"/>
      <c r="B439" s="137" t="s">
        <v>15</v>
      </c>
      <c r="C439" s="18">
        <f>SUM(C431:C438)</f>
        <v>1589.6</v>
      </c>
      <c r="D439" s="66"/>
      <c r="E439" s="18">
        <f>SUM(E431:E438)</f>
        <v>94160.700000000012</v>
      </c>
      <c r="F439" s="18">
        <f t="shared" ref="F439:G439" si="518">SUM(F431:F438)</f>
        <v>6591.2489999999998</v>
      </c>
      <c r="G439" s="18">
        <f t="shared" si="518"/>
        <v>100751.94899999999</v>
      </c>
    </row>
    <row r="440" spans="1:9" ht="15" customHeight="1" thickTop="1" x14ac:dyDescent="0.4">
      <c r="A440" s="21"/>
      <c r="B440" s="22"/>
      <c r="C440" s="23"/>
      <c r="D440" s="24"/>
      <c r="E440" s="23"/>
      <c r="F440" s="23"/>
      <c r="G440" s="23"/>
    </row>
    <row r="441" spans="1:9" ht="23.25" x14ac:dyDescent="0.3">
      <c r="A441" s="362" t="s">
        <v>84</v>
      </c>
      <c r="B441" s="362"/>
      <c r="C441" s="362"/>
      <c r="D441" s="362"/>
      <c r="E441" s="362"/>
      <c r="F441" s="362"/>
      <c r="G441" s="362"/>
    </row>
    <row r="442" spans="1:9" ht="18" customHeight="1" x14ac:dyDescent="0.3">
      <c r="A442" s="1" t="s">
        <v>2</v>
      </c>
      <c r="B442" s="2" t="s">
        <v>3</v>
      </c>
      <c r="C442" s="2" t="s">
        <v>4</v>
      </c>
      <c r="D442" s="3" t="s">
        <v>5</v>
      </c>
      <c r="E442" s="2" t="s">
        <v>6</v>
      </c>
      <c r="F442" s="2" t="s">
        <v>7</v>
      </c>
      <c r="G442" s="2" t="s">
        <v>8</v>
      </c>
    </row>
    <row r="443" spans="1:9" ht="18" customHeight="1" x14ac:dyDescent="0.4">
      <c r="A443" s="11" t="s">
        <v>242</v>
      </c>
      <c r="B443" s="5" t="s">
        <v>85</v>
      </c>
      <c r="C443" s="138">
        <v>1042.3499999999999</v>
      </c>
      <c r="D443" s="40">
        <v>45.5</v>
      </c>
      <c r="E443" s="6">
        <f t="shared" ref="E443:E446" si="519">+C443*D443</f>
        <v>47426.924999999996</v>
      </c>
      <c r="F443" s="60">
        <f t="shared" ref="F443:F446" si="520">+E443*7%</f>
        <v>3319.8847500000002</v>
      </c>
      <c r="G443" s="60">
        <f t="shared" ref="G443:G446" si="521">+E443+F443</f>
        <v>50746.809749999993</v>
      </c>
      <c r="I443">
        <v>6901160</v>
      </c>
    </row>
    <row r="444" spans="1:9" ht="18" customHeight="1" x14ac:dyDescent="0.4">
      <c r="A444" s="11" t="s">
        <v>268</v>
      </c>
      <c r="B444" s="5" t="s">
        <v>85</v>
      </c>
      <c r="C444" s="138">
        <v>1322.5</v>
      </c>
      <c r="D444" s="40">
        <v>45.5</v>
      </c>
      <c r="E444" s="6">
        <f t="shared" si="519"/>
        <v>60173.75</v>
      </c>
      <c r="F444" s="60">
        <f t="shared" si="520"/>
        <v>4212.1625000000004</v>
      </c>
      <c r="G444" s="60">
        <f t="shared" si="521"/>
        <v>64385.912499999999</v>
      </c>
      <c r="I444">
        <v>6901275</v>
      </c>
    </row>
    <row r="445" spans="1:9" ht="18" customHeight="1" x14ac:dyDescent="0.4">
      <c r="A445" s="11" t="s">
        <v>286</v>
      </c>
      <c r="B445" s="5" t="s">
        <v>85</v>
      </c>
      <c r="C445" s="138">
        <v>1420.15</v>
      </c>
      <c r="D445" s="40">
        <v>45</v>
      </c>
      <c r="E445" s="6">
        <f t="shared" ref="E445" si="522">+C445*D445</f>
        <v>63906.750000000007</v>
      </c>
      <c r="F445" s="60">
        <f t="shared" ref="F445" si="523">+E445*7%</f>
        <v>4473.4725000000008</v>
      </c>
      <c r="G445" s="60">
        <f t="shared" ref="G445" si="524">+E445+F445</f>
        <v>68380.222500000003</v>
      </c>
      <c r="I445">
        <v>6901344</v>
      </c>
    </row>
    <row r="446" spans="1:9" ht="18" customHeight="1" x14ac:dyDescent="0.4">
      <c r="A446" s="11" t="s">
        <v>257</v>
      </c>
      <c r="B446" s="5" t="s">
        <v>258</v>
      </c>
      <c r="C446" s="138">
        <v>1672.7</v>
      </c>
      <c r="D446" s="40">
        <v>46</v>
      </c>
      <c r="E446" s="6">
        <f t="shared" si="519"/>
        <v>76944.2</v>
      </c>
      <c r="F446" s="60">
        <f t="shared" si="520"/>
        <v>5386.0940000000001</v>
      </c>
      <c r="G446" s="60">
        <f t="shared" si="521"/>
        <v>82330.293999999994</v>
      </c>
      <c r="I446">
        <v>6901215</v>
      </c>
    </row>
    <row r="447" spans="1:9" ht="18" customHeight="1" x14ac:dyDescent="0.4">
      <c r="A447" s="11" t="s">
        <v>242</v>
      </c>
      <c r="B447" s="5" t="s">
        <v>247</v>
      </c>
      <c r="C447" s="138">
        <v>805.4</v>
      </c>
      <c r="D447" s="40">
        <v>47</v>
      </c>
      <c r="E447" s="6">
        <f t="shared" ref="E447" si="525">+C447*D447</f>
        <v>37853.799999999996</v>
      </c>
      <c r="F447" s="60">
        <f t="shared" ref="F447" si="526">+E447*7%</f>
        <v>2649.7660000000001</v>
      </c>
      <c r="G447" s="60">
        <f t="shared" ref="G447" si="527">+E447+F447</f>
        <v>40503.565999999999</v>
      </c>
      <c r="I447">
        <v>6901159</v>
      </c>
    </row>
    <row r="448" spans="1:9" ht="18" customHeight="1" thickBot="1" x14ac:dyDescent="0.35">
      <c r="A448" s="139"/>
      <c r="B448" s="17" t="s">
        <v>15</v>
      </c>
      <c r="C448" s="18">
        <f>SUM(C443:C447)</f>
        <v>6263.0999999999995</v>
      </c>
      <c r="D448" s="141"/>
      <c r="E448" s="18">
        <f>SUM(E443:E447)</f>
        <v>286305.42499999999</v>
      </c>
      <c r="F448" s="18">
        <f t="shared" ref="F448:G448" si="528">SUM(F443:F447)</f>
        <v>20041.37975</v>
      </c>
      <c r="G448" s="18">
        <f t="shared" si="528"/>
        <v>306346.80475000001</v>
      </c>
    </row>
    <row r="449" spans="1:9" ht="18" customHeight="1" thickTop="1" x14ac:dyDescent="0.4">
      <c r="A449" s="21"/>
      <c r="B449" s="22"/>
      <c r="C449" s="23"/>
      <c r="D449" s="140"/>
      <c r="E449" s="23"/>
      <c r="F449" s="25"/>
      <c r="G449" s="23"/>
    </row>
    <row r="450" spans="1:9" ht="23.25" x14ac:dyDescent="0.3">
      <c r="A450" s="359" t="s">
        <v>87</v>
      </c>
      <c r="B450" s="359"/>
      <c r="C450" s="359"/>
      <c r="D450" s="359"/>
      <c r="E450" s="359"/>
      <c r="F450" s="359"/>
      <c r="G450" s="359"/>
    </row>
    <row r="451" spans="1:9" ht="18" customHeight="1" x14ac:dyDescent="0.4">
      <c r="A451" s="57" t="s">
        <v>2</v>
      </c>
      <c r="B451" s="58" t="s">
        <v>3</v>
      </c>
      <c r="C451" s="2" t="s">
        <v>4</v>
      </c>
      <c r="D451" s="59" t="s">
        <v>5</v>
      </c>
      <c r="E451" s="58" t="s">
        <v>6</v>
      </c>
      <c r="F451" s="58" t="s">
        <v>7</v>
      </c>
      <c r="G451" s="58" t="s">
        <v>8</v>
      </c>
    </row>
    <row r="452" spans="1:9" ht="18" customHeight="1" x14ac:dyDescent="0.4">
      <c r="A452" s="16" t="s">
        <v>192</v>
      </c>
      <c r="B452" s="5" t="s">
        <v>90</v>
      </c>
      <c r="C452" s="37">
        <v>515.29999999999995</v>
      </c>
      <c r="D452" s="51">
        <v>52</v>
      </c>
      <c r="E452" s="60">
        <f t="shared" ref="E452:E455" si="529">+C452*D452</f>
        <v>26795.599999999999</v>
      </c>
      <c r="F452" s="60">
        <f t="shared" ref="F452:F455" si="530">+E452*7%</f>
        <v>1875.692</v>
      </c>
      <c r="G452" s="60">
        <f t="shared" ref="G452:G455" si="531">+E452+F452</f>
        <v>28671.291999999998</v>
      </c>
      <c r="I452">
        <v>6901015</v>
      </c>
    </row>
    <row r="453" spans="1:9" ht="18" customHeight="1" x14ac:dyDescent="0.4">
      <c r="A453" s="16" t="s">
        <v>229</v>
      </c>
      <c r="B453" s="5" t="s">
        <v>90</v>
      </c>
      <c r="C453" s="37">
        <v>444.4</v>
      </c>
      <c r="D453" s="51">
        <v>52</v>
      </c>
      <c r="E453" s="60">
        <f t="shared" si="529"/>
        <v>23108.799999999999</v>
      </c>
      <c r="F453" s="60">
        <f t="shared" si="530"/>
        <v>1617.6160000000002</v>
      </c>
      <c r="G453" s="60">
        <f t="shared" si="531"/>
        <v>24726.416000000001</v>
      </c>
      <c r="I453">
        <v>6901125</v>
      </c>
    </row>
    <row r="454" spans="1:9" ht="18" customHeight="1" x14ac:dyDescent="0.4">
      <c r="A454" s="16" t="s">
        <v>254</v>
      </c>
      <c r="B454" s="5" t="s">
        <v>90</v>
      </c>
      <c r="C454" s="37">
        <v>496.3</v>
      </c>
      <c r="D454" s="51">
        <v>52</v>
      </c>
      <c r="E454" s="60">
        <f t="shared" si="529"/>
        <v>25807.600000000002</v>
      </c>
      <c r="F454" s="60">
        <f t="shared" si="530"/>
        <v>1806.5320000000004</v>
      </c>
      <c r="G454" s="60">
        <f t="shared" si="531"/>
        <v>27614.132000000001</v>
      </c>
      <c r="I454">
        <v>6901207</v>
      </c>
    </row>
    <row r="455" spans="1:9" ht="18" customHeight="1" x14ac:dyDescent="0.4">
      <c r="A455" s="16" t="s">
        <v>277</v>
      </c>
      <c r="B455" s="5" t="s">
        <v>90</v>
      </c>
      <c r="C455" s="37">
        <v>516</v>
      </c>
      <c r="D455" s="51">
        <v>52</v>
      </c>
      <c r="E455" s="60">
        <f t="shared" si="529"/>
        <v>26832</v>
      </c>
      <c r="F455" s="60">
        <f t="shared" si="530"/>
        <v>1878.2400000000002</v>
      </c>
      <c r="G455" s="60">
        <f t="shared" si="531"/>
        <v>28710.240000000002</v>
      </c>
      <c r="I455">
        <v>6901288</v>
      </c>
    </row>
    <row r="456" spans="1:9" ht="18" customHeight="1" thickBot="1" x14ac:dyDescent="0.35">
      <c r="A456" s="84"/>
      <c r="B456" s="17" t="s">
        <v>15</v>
      </c>
      <c r="C456" s="18">
        <f>SUM(C452:C455)</f>
        <v>1972</v>
      </c>
      <c r="D456" s="19"/>
      <c r="E456" s="18">
        <f>SUM(E452:E455)</f>
        <v>102544</v>
      </c>
      <c r="F456" s="18">
        <f t="shared" ref="F456:G456" si="532">SUM(F452:F455)</f>
        <v>7178.08</v>
      </c>
      <c r="G456" s="18">
        <f t="shared" si="532"/>
        <v>109722.08</v>
      </c>
    </row>
    <row r="457" spans="1:9" ht="18" customHeight="1" thickTop="1" x14ac:dyDescent="0.3">
      <c r="A457" s="85"/>
      <c r="B457" s="68"/>
      <c r="C457" s="69"/>
      <c r="D457" s="70"/>
      <c r="E457" s="69"/>
      <c r="F457" s="69"/>
      <c r="G457" s="69"/>
    </row>
    <row r="458" spans="1:9" s="26" customFormat="1" ht="23.25" x14ac:dyDescent="0.5">
      <c r="A458" s="361" t="s">
        <v>91</v>
      </c>
      <c r="B458" s="361"/>
      <c r="C458" s="361"/>
      <c r="D458" s="361"/>
      <c r="E458" s="361"/>
      <c r="F458" s="361"/>
      <c r="G458" s="361"/>
    </row>
    <row r="459" spans="1:9" s="26" customFormat="1" ht="16.5" customHeight="1" x14ac:dyDescent="0.45">
      <c r="A459" s="150" t="s">
        <v>2</v>
      </c>
      <c r="B459" s="151" t="s">
        <v>3</v>
      </c>
      <c r="C459" s="151" t="s">
        <v>92</v>
      </c>
      <c r="D459" s="59" t="s">
        <v>5</v>
      </c>
      <c r="E459" s="151" t="s">
        <v>6</v>
      </c>
      <c r="F459" s="151" t="s">
        <v>7</v>
      </c>
      <c r="G459" s="151" t="s">
        <v>8</v>
      </c>
    </row>
    <row r="460" spans="1:9" s="26" customFormat="1" ht="16.5" customHeight="1" x14ac:dyDescent="0.45">
      <c r="A460" s="12" t="s">
        <v>280</v>
      </c>
      <c r="B460" s="152" t="s">
        <v>93</v>
      </c>
      <c r="C460" s="153">
        <v>600</v>
      </c>
      <c r="D460" s="154">
        <v>19</v>
      </c>
      <c r="E460" s="60">
        <f t="shared" ref="E460:E464" si="533">+C460*D460</f>
        <v>11400</v>
      </c>
      <c r="F460" s="60">
        <f t="shared" ref="F460:F464" si="534">+E460*7%</f>
        <v>798.00000000000011</v>
      </c>
      <c r="G460" s="60">
        <f t="shared" ref="G460:G464" si="535">+E460+F460</f>
        <v>12198</v>
      </c>
      <c r="I460" s="26">
        <v>6901331</v>
      </c>
    </row>
    <row r="461" spans="1:9" s="26" customFormat="1" ht="16.5" customHeight="1" x14ac:dyDescent="0.45">
      <c r="A461" s="12" t="s">
        <v>280</v>
      </c>
      <c r="B461" s="152" t="s">
        <v>218</v>
      </c>
      <c r="C461" s="153">
        <v>1600</v>
      </c>
      <c r="D461" s="154">
        <v>25</v>
      </c>
      <c r="E461" s="60">
        <f t="shared" si="533"/>
        <v>40000</v>
      </c>
      <c r="F461" s="60">
        <f t="shared" si="534"/>
        <v>2800.0000000000005</v>
      </c>
      <c r="G461" s="60">
        <f t="shared" si="535"/>
        <v>42800</v>
      </c>
      <c r="I461" s="26">
        <v>6901330</v>
      </c>
    </row>
    <row r="462" spans="1:9" s="26" customFormat="1" ht="16.5" customHeight="1" x14ac:dyDescent="0.45">
      <c r="A462" s="12" t="s">
        <v>216</v>
      </c>
      <c r="B462" s="152" t="s">
        <v>218</v>
      </c>
      <c r="C462" s="153">
        <v>1800</v>
      </c>
      <c r="D462" s="154">
        <v>25</v>
      </c>
      <c r="E462" s="60">
        <f t="shared" si="533"/>
        <v>45000</v>
      </c>
      <c r="F462" s="60">
        <f t="shared" si="534"/>
        <v>3150.0000000000005</v>
      </c>
      <c r="G462" s="60">
        <f t="shared" si="535"/>
        <v>48150</v>
      </c>
      <c r="I462" s="26">
        <v>6901098</v>
      </c>
    </row>
    <row r="463" spans="1:9" s="26" customFormat="1" ht="16.5" customHeight="1" x14ac:dyDescent="0.45">
      <c r="A463" s="12" t="s">
        <v>280</v>
      </c>
      <c r="B463" s="152" t="s">
        <v>125</v>
      </c>
      <c r="C463" s="153">
        <v>2100</v>
      </c>
      <c r="D463" s="154">
        <v>32</v>
      </c>
      <c r="E463" s="60">
        <f t="shared" ref="E463" si="536">+C463*D463</f>
        <v>67200</v>
      </c>
      <c r="F463" s="60">
        <f t="shared" ref="F463" si="537">+E463*7%</f>
        <v>4704</v>
      </c>
      <c r="G463" s="60">
        <f t="shared" ref="G463" si="538">+E463+F463</f>
        <v>71904</v>
      </c>
      <c r="I463" s="26">
        <v>6901329</v>
      </c>
    </row>
    <row r="464" spans="1:9" s="26" customFormat="1" ht="16.5" customHeight="1" x14ac:dyDescent="0.45">
      <c r="A464" s="12" t="s">
        <v>235</v>
      </c>
      <c r="B464" s="152" t="s">
        <v>185</v>
      </c>
      <c r="C464" s="153">
        <v>4200</v>
      </c>
      <c r="D464" s="154">
        <v>7.5</v>
      </c>
      <c r="E464" s="60">
        <f t="shared" si="533"/>
        <v>31500</v>
      </c>
      <c r="F464" s="60">
        <f t="shared" si="534"/>
        <v>2205</v>
      </c>
      <c r="G464" s="60">
        <f t="shared" si="535"/>
        <v>33705</v>
      </c>
      <c r="I464" s="26">
        <v>6901139</v>
      </c>
    </row>
    <row r="465" spans="1:9" s="26" customFormat="1" ht="16.5" customHeight="1" x14ac:dyDescent="0.45">
      <c r="A465" s="12" t="s">
        <v>264</v>
      </c>
      <c r="B465" s="152" t="s">
        <v>267</v>
      </c>
      <c r="C465" s="153">
        <v>3000</v>
      </c>
      <c r="D465" s="154">
        <v>10</v>
      </c>
      <c r="E465" s="60">
        <f t="shared" ref="E465" si="539">+C465*D465</f>
        <v>30000</v>
      </c>
      <c r="F465" s="60">
        <f t="shared" ref="F465" si="540">+E465*7%</f>
        <v>2100</v>
      </c>
      <c r="G465" s="60">
        <f t="shared" ref="G465" si="541">+E465+F465</f>
        <v>32100</v>
      </c>
      <c r="I465" s="26">
        <v>6901251</v>
      </c>
    </row>
    <row r="466" spans="1:9" s="26" customFormat="1" ht="16.5" customHeight="1" x14ac:dyDescent="0.45">
      <c r="A466" s="12" t="s">
        <v>204</v>
      </c>
      <c r="B466" s="152" t="s">
        <v>95</v>
      </c>
      <c r="C466" s="153">
        <v>4000</v>
      </c>
      <c r="D466" s="154">
        <v>10</v>
      </c>
      <c r="E466" s="60">
        <f t="shared" ref="E466" si="542">+C466*D466</f>
        <v>40000</v>
      </c>
      <c r="F466" s="60">
        <f t="shared" ref="F466" si="543">+E466*7%</f>
        <v>2800.0000000000005</v>
      </c>
      <c r="G466" s="60">
        <f t="shared" ref="G466" si="544">+E466+F466</f>
        <v>42800</v>
      </c>
      <c r="I466" s="26">
        <v>6901047</v>
      </c>
    </row>
    <row r="467" spans="1:9" s="26" customFormat="1" ht="18" customHeight="1" thickBot="1" x14ac:dyDescent="0.5">
      <c r="A467" s="41"/>
      <c r="B467" s="151" t="s">
        <v>15</v>
      </c>
      <c r="C467" s="155">
        <f>SUM(C460:C466)</f>
        <v>17300</v>
      </c>
      <c r="D467" s="156"/>
      <c r="E467" s="157">
        <f>SUM(E460:E466)</f>
        <v>265100</v>
      </c>
      <c r="F467" s="157">
        <f t="shared" ref="F467:G467" si="545">SUM(F460:F466)</f>
        <v>18557</v>
      </c>
      <c r="G467" s="157">
        <f t="shared" si="545"/>
        <v>283657</v>
      </c>
    </row>
    <row r="468" spans="1:9" s="26" customFormat="1" ht="12.75" customHeight="1" thickTop="1" x14ac:dyDescent="0.45">
      <c r="A468" s="78"/>
      <c r="B468" s="91"/>
      <c r="C468" s="54"/>
      <c r="D468" s="158"/>
      <c r="E468" s="92"/>
      <c r="F468" s="92"/>
      <c r="G468" s="92"/>
    </row>
    <row r="469" spans="1:9" s="26" customFormat="1" ht="21" x14ac:dyDescent="0.45">
      <c r="A469" s="78"/>
      <c r="B469" s="22" t="s">
        <v>93</v>
      </c>
      <c r="C469" s="159">
        <f>C460</f>
        <v>600</v>
      </c>
      <c r="D469" s="93">
        <v>0.39800000000000002</v>
      </c>
      <c r="E469" s="160">
        <f t="shared" ref="E469" si="546">+C469*D469</f>
        <v>238.8</v>
      </c>
      <c r="F469" s="120"/>
      <c r="G469" s="92"/>
    </row>
    <row r="470" spans="1:9" s="108" customFormat="1" ht="18" x14ac:dyDescent="0.4">
      <c r="A470" s="161"/>
      <c r="B470" s="162" t="s">
        <v>97</v>
      </c>
      <c r="C470" s="159">
        <f>C461+C462</f>
        <v>3400</v>
      </c>
      <c r="D470" s="163">
        <v>0.53</v>
      </c>
      <c r="E470" s="160">
        <f t="shared" ref="E470" si="547">+C470*D470</f>
        <v>1802</v>
      </c>
    </row>
    <row r="471" spans="1:9" s="108" customFormat="1" ht="18" x14ac:dyDescent="0.4">
      <c r="A471" s="161"/>
      <c r="B471" s="162" t="s">
        <v>125</v>
      </c>
      <c r="C471" s="159">
        <f>C463</f>
        <v>2100</v>
      </c>
      <c r="D471" s="163">
        <v>0.64900000000000002</v>
      </c>
      <c r="E471" s="160">
        <f t="shared" ref="E471:E478" si="548">+C471*D471</f>
        <v>1362.9</v>
      </c>
    </row>
    <row r="472" spans="1:9" s="108" customFormat="1" ht="18.75" thickBot="1" x14ac:dyDescent="0.45">
      <c r="A472" s="143"/>
      <c r="B472" s="106" t="s">
        <v>94</v>
      </c>
      <c r="C472" s="159">
        <v>0</v>
      </c>
      <c r="D472" s="144">
        <v>8.6199999999999999E-2</v>
      </c>
      <c r="E472" s="160">
        <f t="shared" si="548"/>
        <v>0</v>
      </c>
      <c r="F472" s="145">
        <f>SUM(E469:E478)</f>
        <v>5361.9919999999993</v>
      </c>
      <c r="G472" s="109"/>
    </row>
    <row r="473" spans="1:9" s="108" customFormat="1" ht="18.75" thickTop="1" x14ac:dyDescent="0.4">
      <c r="A473" s="143"/>
      <c r="B473" s="106" t="s">
        <v>98</v>
      </c>
      <c r="C473" s="159">
        <v>0</v>
      </c>
      <c r="D473" s="144">
        <f>120*120*150*0.921/10000000</f>
        <v>0.198936</v>
      </c>
      <c r="E473" s="160">
        <f t="shared" si="548"/>
        <v>0</v>
      </c>
      <c r="F473" s="146"/>
      <c r="G473" s="109"/>
    </row>
    <row r="474" spans="1:9" s="108" customFormat="1" ht="18" x14ac:dyDescent="0.4">
      <c r="A474" s="143"/>
      <c r="B474" s="106" t="s">
        <v>98</v>
      </c>
      <c r="C474" s="159">
        <f>C465+C466</f>
        <v>7000</v>
      </c>
      <c r="D474" s="144">
        <f>120*120*150*0.921/10000000</f>
        <v>0.198936</v>
      </c>
      <c r="E474" s="160">
        <f t="shared" ref="E474" si="549">+C474*D474</f>
        <v>1392.5519999999999</v>
      </c>
      <c r="F474" s="146"/>
      <c r="G474" s="109"/>
    </row>
    <row r="475" spans="1:9" s="108" customFormat="1" ht="18" x14ac:dyDescent="0.4">
      <c r="A475" s="143"/>
      <c r="B475" s="106" t="s">
        <v>95</v>
      </c>
      <c r="C475" s="159">
        <v>0</v>
      </c>
      <c r="D475" s="144">
        <v>0.77900000000000003</v>
      </c>
      <c r="E475" s="160">
        <f t="shared" si="548"/>
        <v>0</v>
      </c>
      <c r="F475" s="146"/>
      <c r="G475" s="109"/>
    </row>
    <row r="476" spans="1:9" s="108" customFormat="1" ht="18" x14ac:dyDescent="0.4">
      <c r="A476" s="143"/>
      <c r="B476" s="106" t="s">
        <v>99</v>
      </c>
      <c r="C476" s="159">
        <v>0</v>
      </c>
      <c r="D476" s="144">
        <v>1.7789999999999999</v>
      </c>
      <c r="E476" s="160">
        <f t="shared" ref="E476" si="550">+C476*D476</f>
        <v>0</v>
      </c>
      <c r="F476" s="146"/>
      <c r="G476" s="109"/>
    </row>
    <row r="477" spans="1:9" s="166" customFormat="1" ht="18" x14ac:dyDescent="0.4">
      <c r="A477" s="164"/>
      <c r="B477" s="105" t="s">
        <v>96</v>
      </c>
      <c r="C477" s="159">
        <f>C464</f>
        <v>4200</v>
      </c>
      <c r="D477" s="165">
        <v>0.13469999999999999</v>
      </c>
      <c r="E477" s="160">
        <f t="shared" si="548"/>
        <v>565.7399999999999</v>
      </c>
      <c r="F477" s="105"/>
      <c r="G477" s="105"/>
    </row>
    <row r="478" spans="1:9" s="166" customFormat="1" ht="18" x14ac:dyDescent="0.4">
      <c r="A478" s="164"/>
      <c r="B478" s="105" t="s">
        <v>100</v>
      </c>
      <c r="C478" s="159">
        <v>0</v>
      </c>
      <c r="D478" s="165">
        <v>0.57199999999999995</v>
      </c>
      <c r="E478" s="160">
        <f t="shared" si="548"/>
        <v>0</v>
      </c>
      <c r="F478" s="105"/>
      <c r="G478" s="105"/>
    </row>
    <row r="479" spans="1:9" s="30" customFormat="1" ht="13.5" customHeight="1" x14ac:dyDescent="0.5">
      <c r="A479" s="85"/>
      <c r="B479" s="68"/>
      <c r="C479" s="69"/>
      <c r="D479" s="70"/>
      <c r="E479" s="71"/>
      <c r="F479" s="71"/>
      <c r="G479" s="71"/>
    </row>
    <row r="480" spans="1:9" ht="23.25" x14ac:dyDescent="0.3">
      <c r="A480" s="359" t="s">
        <v>101</v>
      </c>
      <c r="B480" s="359"/>
      <c r="C480" s="359"/>
      <c r="D480" s="359"/>
      <c r="E480" s="359"/>
      <c r="F480" s="359"/>
      <c r="G480" s="359"/>
    </row>
    <row r="481" spans="1:9" ht="18" customHeight="1" x14ac:dyDescent="0.4">
      <c r="A481" s="57" t="s">
        <v>2</v>
      </c>
      <c r="B481" s="58" t="s">
        <v>3</v>
      </c>
      <c r="C481" s="2" t="s">
        <v>4</v>
      </c>
      <c r="D481" s="59" t="s">
        <v>5</v>
      </c>
      <c r="E481" s="58" t="s">
        <v>6</v>
      </c>
      <c r="F481" s="58" t="s">
        <v>7</v>
      </c>
      <c r="G481" s="58" t="s">
        <v>8</v>
      </c>
    </row>
    <row r="482" spans="1:9" ht="18" customHeight="1" x14ac:dyDescent="0.4">
      <c r="A482" s="81" t="s">
        <v>204</v>
      </c>
      <c r="B482" s="5" t="s">
        <v>208</v>
      </c>
      <c r="C482" s="167">
        <v>312.5</v>
      </c>
      <c r="D482" s="154">
        <v>60</v>
      </c>
      <c r="E482" s="60">
        <f t="shared" ref="E482" si="551">+C482*D482</f>
        <v>18750</v>
      </c>
      <c r="F482" s="60">
        <f t="shared" ref="F482" si="552">+E482*7%</f>
        <v>1312.5000000000002</v>
      </c>
      <c r="G482" s="60">
        <f t="shared" ref="G482" si="553">+E482+F482</f>
        <v>20062.5</v>
      </c>
      <c r="I482">
        <v>6901052</v>
      </c>
    </row>
    <row r="483" spans="1:9" ht="18" customHeight="1" x14ac:dyDescent="0.4">
      <c r="A483" s="81" t="s">
        <v>204</v>
      </c>
      <c r="B483" s="5" t="s">
        <v>207</v>
      </c>
      <c r="C483" s="167">
        <v>309.3</v>
      </c>
      <c r="D483" s="154">
        <v>60</v>
      </c>
      <c r="E483" s="60">
        <f t="shared" ref="E483:E486" si="554">+C483*D483</f>
        <v>18558</v>
      </c>
      <c r="F483" s="60">
        <f t="shared" ref="F483:F486" si="555">+E483*7%</f>
        <v>1299.0600000000002</v>
      </c>
      <c r="G483" s="60">
        <f t="shared" ref="G483:G486" si="556">+E483+F483</f>
        <v>19857.060000000001</v>
      </c>
      <c r="I483">
        <v>6901052</v>
      </c>
    </row>
    <row r="484" spans="1:9" ht="18" customHeight="1" x14ac:dyDescent="0.4">
      <c r="A484" s="81" t="s">
        <v>204</v>
      </c>
      <c r="B484" s="5" t="s">
        <v>209</v>
      </c>
      <c r="C484" s="167">
        <v>498.1</v>
      </c>
      <c r="D484" s="154">
        <v>60</v>
      </c>
      <c r="E484" s="60">
        <f t="shared" si="554"/>
        <v>29886</v>
      </c>
      <c r="F484" s="60">
        <f t="shared" si="555"/>
        <v>2092.02</v>
      </c>
      <c r="G484" s="60">
        <f t="shared" si="556"/>
        <v>31978.02</v>
      </c>
      <c r="I484">
        <v>6901051</v>
      </c>
    </row>
    <row r="485" spans="1:9" ht="18" customHeight="1" x14ac:dyDescent="0.4">
      <c r="A485" s="81" t="s">
        <v>275</v>
      </c>
      <c r="B485" s="5" t="s">
        <v>209</v>
      </c>
      <c r="C485" s="167">
        <v>473.5</v>
      </c>
      <c r="D485" s="154">
        <v>60</v>
      </c>
      <c r="E485" s="60">
        <f t="shared" ref="E485" si="557">+C485*D485</f>
        <v>28410</v>
      </c>
      <c r="F485" s="60">
        <f t="shared" ref="F485" si="558">+E485*7%</f>
        <v>1988.7000000000003</v>
      </c>
      <c r="G485" s="60">
        <f t="shared" ref="G485" si="559">+E485+F485</f>
        <v>30398.7</v>
      </c>
      <c r="I485">
        <v>6901316</v>
      </c>
    </row>
    <row r="486" spans="1:9" ht="18" customHeight="1" x14ac:dyDescent="0.4">
      <c r="A486" s="81" t="s">
        <v>204</v>
      </c>
      <c r="B486" s="5" t="s">
        <v>165</v>
      </c>
      <c r="C486" s="167">
        <v>491</v>
      </c>
      <c r="D486" s="154">
        <v>60</v>
      </c>
      <c r="E486" s="60">
        <f t="shared" si="554"/>
        <v>29460</v>
      </c>
      <c r="F486" s="60">
        <f t="shared" si="555"/>
        <v>2062.2000000000003</v>
      </c>
      <c r="G486" s="60">
        <f t="shared" si="556"/>
        <v>31522.2</v>
      </c>
      <c r="I486">
        <v>6901051</v>
      </c>
    </row>
    <row r="487" spans="1:9" ht="18" customHeight="1" x14ac:dyDescent="0.4">
      <c r="A487" s="81" t="s">
        <v>275</v>
      </c>
      <c r="B487" s="5" t="s">
        <v>165</v>
      </c>
      <c r="C487" s="167">
        <v>482.25</v>
      </c>
      <c r="D487" s="154">
        <v>60</v>
      </c>
      <c r="E487" s="60">
        <f t="shared" ref="E487" si="560">+C487*D487</f>
        <v>28935</v>
      </c>
      <c r="F487" s="60">
        <f t="shared" ref="F487" si="561">+E487*7%</f>
        <v>2025.4500000000003</v>
      </c>
      <c r="G487" s="60">
        <f t="shared" ref="G487" si="562">+E487+F487</f>
        <v>30960.45</v>
      </c>
      <c r="I487">
        <v>6901316</v>
      </c>
    </row>
    <row r="488" spans="1:9" s="30" customFormat="1" ht="18" customHeight="1" thickBot="1" x14ac:dyDescent="0.55000000000000004">
      <c r="A488" s="84"/>
      <c r="B488" s="17" t="s">
        <v>15</v>
      </c>
      <c r="C488" s="18">
        <f>SUM(C482:C487)</f>
        <v>2566.65</v>
      </c>
      <c r="D488" s="19"/>
      <c r="E488" s="18">
        <f>SUM(E482:E487)</f>
        <v>153999</v>
      </c>
      <c r="F488" s="18">
        <f>SUM(F482:F487)</f>
        <v>10779.930000000002</v>
      </c>
      <c r="G488" s="18">
        <f>SUM(G482:G487)</f>
        <v>164778.93000000002</v>
      </c>
    </row>
    <row r="489" spans="1:9" s="30" customFormat="1" ht="12.75" customHeight="1" thickTop="1" x14ac:dyDescent="0.5">
      <c r="A489" s="85"/>
      <c r="B489" s="68"/>
      <c r="C489" s="69"/>
      <c r="D489" s="70"/>
      <c r="E489" s="69"/>
      <c r="F489" s="69"/>
      <c r="G489" s="69"/>
    </row>
    <row r="490" spans="1:9" s="30" customFormat="1" ht="23.25" x14ac:dyDescent="0.5">
      <c r="A490" s="359" t="s">
        <v>102</v>
      </c>
      <c r="B490" s="359"/>
      <c r="C490" s="359"/>
      <c r="D490" s="359"/>
      <c r="E490" s="359"/>
      <c r="F490" s="359"/>
      <c r="G490" s="359"/>
    </row>
    <row r="491" spans="1:9" s="30" customFormat="1" ht="18" customHeight="1" x14ac:dyDescent="0.5">
      <c r="A491" s="57" t="s">
        <v>2</v>
      </c>
      <c r="B491" s="58" t="s">
        <v>3</v>
      </c>
      <c r="C491" s="2" t="s">
        <v>4</v>
      </c>
      <c r="D491" s="59" t="s">
        <v>5</v>
      </c>
      <c r="E491" s="58" t="s">
        <v>6</v>
      </c>
      <c r="F491" s="58" t="s">
        <v>7</v>
      </c>
      <c r="G491" s="58" t="s">
        <v>8</v>
      </c>
    </row>
    <row r="492" spans="1:9" s="26" customFormat="1" ht="18" customHeight="1" x14ac:dyDescent="0.45">
      <c r="A492" s="16" t="s">
        <v>213</v>
      </c>
      <c r="B492" s="5" t="s">
        <v>233</v>
      </c>
      <c r="C492" s="37">
        <v>292.39999999999998</v>
      </c>
      <c r="D492" s="51">
        <v>49</v>
      </c>
      <c r="E492" s="60">
        <f t="shared" ref="E492" si="563">+C492*D492</f>
        <v>14327.599999999999</v>
      </c>
      <c r="F492" s="60">
        <f t="shared" ref="F492" si="564">+E492*7%</f>
        <v>1002.932</v>
      </c>
      <c r="G492" s="60">
        <f t="shared" ref="G492" si="565">+E492+F492</f>
        <v>15330.531999999999</v>
      </c>
      <c r="I492" s="26">
        <v>6901106</v>
      </c>
    </row>
    <row r="493" spans="1:9" s="26" customFormat="1" ht="18" customHeight="1" x14ac:dyDescent="0.45">
      <c r="A493" s="16" t="s">
        <v>192</v>
      </c>
      <c r="B493" s="5" t="s">
        <v>143</v>
      </c>
      <c r="C493" s="37">
        <v>1996.9</v>
      </c>
      <c r="D493" s="51">
        <v>49</v>
      </c>
      <c r="E493" s="60">
        <f t="shared" ref="E493" si="566">+C493*D493</f>
        <v>97848.1</v>
      </c>
      <c r="F493" s="60">
        <f t="shared" ref="F493" si="567">+E493*7%</f>
        <v>6849.3670000000011</v>
      </c>
      <c r="G493" s="60">
        <f t="shared" ref="G493" si="568">+E493+F493</f>
        <v>104697.467</v>
      </c>
      <c r="I493" s="26">
        <v>6901025</v>
      </c>
    </row>
    <row r="494" spans="1:9" s="26" customFormat="1" ht="18" customHeight="1" x14ac:dyDescent="0.45">
      <c r="A494" s="16" t="s">
        <v>286</v>
      </c>
      <c r="B494" s="5" t="s">
        <v>289</v>
      </c>
      <c r="C494" s="37">
        <v>458.3</v>
      </c>
      <c r="D494" s="51">
        <v>49</v>
      </c>
      <c r="E494" s="60">
        <f t="shared" ref="E494" si="569">+C494*D494</f>
        <v>22456.7</v>
      </c>
      <c r="F494" s="60">
        <f t="shared" ref="F494" si="570">+E494*7%</f>
        <v>1571.9690000000003</v>
      </c>
      <c r="G494" s="60">
        <f t="shared" ref="G494" si="571">+E494+F494</f>
        <v>24028.669000000002</v>
      </c>
      <c r="I494" s="26">
        <v>6901338</v>
      </c>
    </row>
    <row r="495" spans="1:9" s="30" customFormat="1" ht="18" customHeight="1" thickBot="1" x14ac:dyDescent="0.55000000000000004">
      <c r="A495" s="84"/>
      <c r="B495" s="17" t="s">
        <v>15</v>
      </c>
      <c r="C495" s="18">
        <f>SUM(C492:C494)</f>
        <v>2747.6000000000004</v>
      </c>
      <c r="D495" s="19"/>
      <c r="E495" s="18">
        <f>SUM(E492:E494)</f>
        <v>134632.40000000002</v>
      </c>
      <c r="F495" s="18">
        <f t="shared" ref="F495:G495" si="572">SUM(F492:F494)</f>
        <v>9424.2680000000018</v>
      </c>
      <c r="G495" s="18">
        <f t="shared" si="572"/>
        <v>144056.66800000001</v>
      </c>
    </row>
    <row r="496" spans="1:9" s="30" customFormat="1" ht="18" customHeight="1" thickTop="1" x14ac:dyDescent="0.5">
      <c r="A496" s="85"/>
      <c r="B496" s="68"/>
      <c r="C496" s="69"/>
      <c r="D496" s="70"/>
      <c r="E496" s="69"/>
      <c r="F496" s="69"/>
      <c r="G496" s="69"/>
    </row>
    <row r="497" spans="1:11" s="30" customFormat="1" ht="23.25" x14ac:dyDescent="0.5">
      <c r="A497" s="359" t="s">
        <v>246</v>
      </c>
      <c r="B497" s="359"/>
      <c r="C497" s="359"/>
      <c r="D497" s="359"/>
      <c r="E497" s="359"/>
      <c r="F497" s="359"/>
      <c r="G497" s="359"/>
    </row>
    <row r="498" spans="1:11" s="30" customFormat="1" ht="18" customHeight="1" x14ac:dyDescent="0.5">
      <c r="A498" s="57" t="s">
        <v>2</v>
      </c>
      <c r="B498" s="58" t="s">
        <v>3</v>
      </c>
      <c r="C498" s="2" t="s">
        <v>86</v>
      </c>
      <c r="D498" s="59" t="s">
        <v>5</v>
      </c>
      <c r="E498" s="58" t="s">
        <v>6</v>
      </c>
      <c r="F498" s="58" t="s">
        <v>7</v>
      </c>
      <c r="G498" s="58" t="s">
        <v>8</v>
      </c>
    </row>
    <row r="499" spans="1:11" s="26" customFormat="1" ht="18" customHeight="1" x14ac:dyDescent="0.45">
      <c r="A499" s="16" t="s">
        <v>242</v>
      </c>
      <c r="B499" s="5" t="s">
        <v>127</v>
      </c>
      <c r="C499" s="37">
        <v>1000</v>
      </c>
      <c r="D499" s="51">
        <v>21.15</v>
      </c>
      <c r="E499" s="60">
        <f>+C499*D499</f>
        <v>21150</v>
      </c>
      <c r="F499" s="60">
        <f>+E499*7%</f>
        <v>1480.5000000000002</v>
      </c>
      <c r="G499" s="60">
        <f>+E499+F499</f>
        <v>22630.5</v>
      </c>
      <c r="I499" s="26">
        <v>6901164</v>
      </c>
    </row>
    <row r="500" spans="1:11" s="30" customFormat="1" ht="18" customHeight="1" thickBot="1" x14ac:dyDescent="0.55000000000000004">
      <c r="A500" s="84"/>
      <c r="B500" s="17" t="s">
        <v>15</v>
      </c>
      <c r="C500" s="18">
        <f>SUM(C499:C499)</f>
        <v>1000</v>
      </c>
      <c r="D500" s="19"/>
      <c r="E500" s="18">
        <f>SUM(E499:E499)</f>
        <v>21150</v>
      </c>
      <c r="F500" s="18">
        <f>SUM(F499:F499)</f>
        <v>1480.5000000000002</v>
      </c>
      <c r="G500" s="18">
        <f>SUM(G499:G499)</f>
        <v>22630.5</v>
      </c>
    </row>
    <row r="501" spans="1:11" s="30" customFormat="1" ht="18" customHeight="1" thickTop="1" x14ac:dyDescent="0.5">
      <c r="A501" s="85"/>
      <c r="B501" s="68"/>
      <c r="C501" s="69"/>
      <c r="D501" s="70"/>
      <c r="E501" s="69"/>
      <c r="F501" s="69"/>
      <c r="G501" s="69"/>
    </row>
    <row r="502" spans="1:11" ht="18" customHeight="1" x14ac:dyDescent="0.45">
      <c r="A502" s="22"/>
      <c r="B502" s="22" t="s">
        <v>293</v>
      </c>
      <c r="C502" s="189">
        <f>C500</f>
        <v>1000</v>
      </c>
      <c r="D502" s="190">
        <v>0.36480000000000001</v>
      </c>
      <c r="E502" s="189">
        <f>+C502*D502</f>
        <v>364.8</v>
      </c>
      <c r="F502" s="22"/>
      <c r="G502" s="22"/>
      <c r="K502" s="191"/>
    </row>
    <row r="503" spans="1:11" ht="18" customHeight="1" thickBot="1" x14ac:dyDescent="0.5">
      <c r="A503" s="22"/>
      <c r="B503" s="22" t="s">
        <v>294</v>
      </c>
      <c r="C503" s="189">
        <v>0</v>
      </c>
      <c r="D503" s="190">
        <v>0.32979999999999998</v>
      </c>
      <c r="E503" s="189">
        <f t="shared" ref="E503:E507" si="573">+C503*D503</f>
        <v>0</v>
      </c>
      <c r="F503" s="192">
        <f>SUM(E502:E507)</f>
        <v>364.8</v>
      </c>
      <c r="G503" s="22"/>
      <c r="K503" s="191"/>
    </row>
    <row r="504" spans="1:11" ht="18" customHeight="1" thickTop="1" x14ac:dyDescent="0.45">
      <c r="A504" s="22"/>
      <c r="B504" s="22" t="s">
        <v>295</v>
      </c>
      <c r="C504" s="189">
        <v>0</v>
      </c>
      <c r="D504" s="193">
        <v>0.26569999999999999</v>
      </c>
      <c r="E504" s="189">
        <f t="shared" si="573"/>
        <v>0</v>
      </c>
      <c r="F504" s="54"/>
      <c r="G504" s="22"/>
      <c r="K504" s="191"/>
    </row>
    <row r="505" spans="1:11" ht="18" customHeight="1" x14ac:dyDescent="0.45">
      <c r="A505" s="22"/>
      <c r="B505" s="22" t="s">
        <v>296</v>
      </c>
      <c r="C505" s="189">
        <v>0</v>
      </c>
      <c r="D505" s="193">
        <v>0.1832</v>
      </c>
      <c r="E505" s="189">
        <f t="shared" si="573"/>
        <v>0</v>
      </c>
      <c r="F505" s="54"/>
      <c r="G505" s="22"/>
      <c r="K505" s="191"/>
    </row>
    <row r="506" spans="1:11" ht="18" customHeight="1" x14ac:dyDescent="0.45">
      <c r="A506" s="22"/>
      <c r="B506" s="22" t="s">
        <v>297</v>
      </c>
      <c r="C506" s="189">
        <v>0</v>
      </c>
      <c r="D506" s="193">
        <v>0.2268</v>
      </c>
      <c r="E506" s="189">
        <f t="shared" si="573"/>
        <v>0</v>
      </c>
      <c r="F506" s="54"/>
      <c r="G506" s="22"/>
      <c r="K506" s="191"/>
    </row>
    <row r="507" spans="1:11" ht="18" customHeight="1" x14ac:dyDescent="0.45">
      <c r="A507" s="22"/>
      <c r="B507" s="22" t="s">
        <v>298</v>
      </c>
      <c r="C507" s="189">
        <v>0</v>
      </c>
      <c r="D507" s="193">
        <v>0.23469999999999999</v>
      </c>
      <c r="E507" s="189">
        <f t="shared" si="573"/>
        <v>0</v>
      </c>
      <c r="F507" s="54"/>
      <c r="G507" s="22"/>
      <c r="K507" s="191"/>
    </row>
    <row r="508" spans="1:11" s="30" customFormat="1" ht="18" customHeight="1" x14ac:dyDescent="0.5">
      <c r="A508" s="85"/>
      <c r="B508" s="68"/>
      <c r="C508" s="69"/>
      <c r="D508" s="70"/>
      <c r="E508" s="69"/>
      <c r="F508" s="69"/>
      <c r="G508" s="69"/>
    </row>
    <row r="509" spans="1:11" s="30" customFormat="1" ht="23.25" x14ac:dyDescent="0.5">
      <c r="A509" s="359" t="s">
        <v>103</v>
      </c>
      <c r="B509" s="359"/>
      <c r="C509" s="359"/>
      <c r="D509" s="359"/>
      <c r="E509" s="359"/>
      <c r="F509" s="359"/>
      <c r="G509" s="359"/>
    </row>
    <row r="510" spans="1:11" s="30" customFormat="1" ht="18" customHeight="1" x14ac:dyDescent="0.5">
      <c r="A510" s="57" t="s">
        <v>2</v>
      </c>
      <c r="B510" s="58" t="s">
        <v>3</v>
      </c>
      <c r="C510" s="2" t="s">
        <v>4</v>
      </c>
      <c r="D510" s="59" t="s">
        <v>5</v>
      </c>
      <c r="E510" s="58" t="s">
        <v>6</v>
      </c>
      <c r="F510" s="58" t="s">
        <v>7</v>
      </c>
      <c r="G510" s="58" t="s">
        <v>8</v>
      </c>
    </row>
    <row r="511" spans="1:11" ht="18" customHeight="1" x14ac:dyDescent="0.4">
      <c r="A511" s="81" t="s">
        <v>187</v>
      </c>
      <c r="B511" s="5" t="s">
        <v>104</v>
      </c>
      <c r="C511" s="168">
        <v>514.6</v>
      </c>
      <c r="D511" s="87">
        <v>47</v>
      </c>
      <c r="E511" s="6">
        <f>+C511*D511</f>
        <v>24186.2</v>
      </c>
      <c r="F511" s="6">
        <f>+E511*7%</f>
        <v>1693.0340000000001</v>
      </c>
      <c r="G511" s="6">
        <f>+E511+F511</f>
        <v>25879.234</v>
      </c>
      <c r="I511">
        <v>6901039</v>
      </c>
    </row>
    <row r="512" spans="1:11" ht="18" customHeight="1" x14ac:dyDescent="0.4">
      <c r="A512" s="81" t="s">
        <v>235</v>
      </c>
      <c r="B512" s="5" t="s">
        <v>104</v>
      </c>
      <c r="C512" s="168">
        <v>525.85</v>
      </c>
      <c r="D512" s="87">
        <v>47</v>
      </c>
      <c r="E512" s="6">
        <f t="shared" ref="E512:E513" si="574">+C512*D512</f>
        <v>24714.95</v>
      </c>
      <c r="F512" s="6">
        <f t="shared" ref="F512:F513" si="575">+E512*7%</f>
        <v>1730.0465000000002</v>
      </c>
      <c r="G512" s="6">
        <f t="shared" ref="G512:G513" si="576">+E512+F512</f>
        <v>26444.996500000001</v>
      </c>
      <c r="I512">
        <v>6901140</v>
      </c>
    </row>
    <row r="513" spans="1:9" ht="18" customHeight="1" x14ac:dyDescent="0.4">
      <c r="A513" s="81" t="s">
        <v>253</v>
      </c>
      <c r="B513" s="5" t="s">
        <v>104</v>
      </c>
      <c r="C513" s="168">
        <v>381.65</v>
      </c>
      <c r="D513" s="87">
        <v>47</v>
      </c>
      <c r="E513" s="6">
        <f t="shared" si="574"/>
        <v>17937.55</v>
      </c>
      <c r="F513" s="6">
        <f t="shared" si="575"/>
        <v>1255.6285</v>
      </c>
      <c r="G513" s="6">
        <f t="shared" si="576"/>
        <v>19193.178499999998</v>
      </c>
      <c r="I513">
        <v>6901197</v>
      </c>
    </row>
    <row r="514" spans="1:9" ht="18" customHeight="1" x14ac:dyDescent="0.4">
      <c r="A514" s="81" t="s">
        <v>257</v>
      </c>
      <c r="B514" s="5" t="s">
        <v>104</v>
      </c>
      <c r="C514" s="168">
        <v>489.95</v>
      </c>
      <c r="D514" s="87">
        <v>47</v>
      </c>
      <c r="E514" s="6">
        <f t="shared" ref="E514" si="577">+C514*D514</f>
        <v>23027.649999999998</v>
      </c>
      <c r="F514" s="6">
        <f t="shared" ref="F514" si="578">+E514*7%</f>
        <v>1611.9355</v>
      </c>
      <c r="G514" s="6">
        <f t="shared" ref="G514" si="579">+E514+F514</f>
        <v>24639.585499999997</v>
      </c>
      <c r="I514">
        <v>6901216</v>
      </c>
    </row>
    <row r="515" spans="1:9" ht="18" customHeight="1" x14ac:dyDescent="0.4">
      <c r="A515" s="81" t="s">
        <v>275</v>
      </c>
      <c r="B515" s="5" t="s">
        <v>104</v>
      </c>
      <c r="C515" s="168">
        <v>466.45</v>
      </c>
      <c r="D515" s="87">
        <v>47</v>
      </c>
      <c r="E515" s="6">
        <f t="shared" ref="E515" si="580">+C515*D515</f>
        <v>21923.149999999998</v>
      </c>
      <c r="F515" s="6">
        <f t="shared" ref="F515" si="581">+E515*7%</f>
        <v>1534.6205</v>
      </c>
      <c r="G515" s="6">
        <f t="shared" ref="G515" si="582">+E515+F515</f>
        <v>23457.770499999999</v>
      </c>
      <c r="I515">
        <v>6901315</v>
      </c>
    </row>
    <row r="516" spans="1:9" ht="18" customHeight="1" thickBot="1" x14ac:dyDescent="0.35">
      <c r="A516" s="84"/>
      <c r="B516" s="17" t="s">
        <v>15</v>
      </c>
      <c r="C516" s="18">
        <f>SUM(C511:C515)</f>
        <v>2378.5</v>
      </c>
      <c r="D516" s="19"/>
      <c r="E516" s="18">
        <f>SUM(E511:E515)</f>
        <v>111789.49999999999</v>
      </c>
      <c r="F516" s="18">
        <f t="shared" ref="F516:G516" si="583">SUM(F511:F515)</f>
        <v>7825.2650000000003</v>
      </c>
      <c r="G516" s="18">
        <f t="shared" si="583"/>
        <v>119614.765</v>
      </c>
    </row>
    <row r="517" spans="1:9" ht="18" customHeight="1" thickTop="1" x14ac:dyDescent="0.3">
      <c r="A517" s="85"/>
      <c r="B517" s="68"/>
      <c r="C517" s="69"/>
      <c r="D517" s="70"/>
      <c r="E517" s="69"/>
      <c r="F517" s="69"/>
      <c r="G517" s="69"/>
    </row>
    <row r="518" spans="1:9" ht="18" customHeight="1" x14ac:dyDescent="0.3">
      <c r="A518" s="359" t="s">
        <v>105</v>
      </c>
      <c r="B518" s="359"/>
      <c r="C518" s="359"/>
      <c r="D518" s="359"/>
      <c r="E518" s="359"/>
      <c r="F518" s="359"/>
      <c r="G518" s="359"/>
    </row>
    <row r="519" spans="1:9" ht="18" customHeight="1" x14ac:dyDescent="0.4">
      <c r="A519" s="57" t="s">
        <v>2</v>
      </c>
      <c r="B519" s="58" t="s">
        <v>3</v>
      </c>
      <c r="C519" s="2" t="s">
        <v>4</v>
      </c>
      <c r="D519" s="59" t="s">
        <v>5</v>
      </c>
      <c r="E519" s="58" t="s">
        <v>6</v>
      </c>
      <c r="F519" s="58" t="s">
        <v>7</v>
      </c>
      <c r="G519" s="58" t="s">
        <v>8</v>
      </c>
    </row>
    <row r="520" spans="1:9" ht="18" customHeight="1" x14ac:dyDescent="0.4">
      <c r="A520" s="81" t="s">
        <v>257</v>
      </c>
      <c r="B520" s="5" t="s">
        <v>106</v>
      </c>
      <c r="C520" s="169">
        <v>226.6</v>
      </c>
      <c r="D520" s="170">
        <v>59</v>
      </c>
      <c r="E520" s="6">
        <f>+C520*D520</f>
        <v>13369.4</v>
      </c>
      <c r="F520" s="6">
        <f>+E520*7%</f>
        <v>935.85800000000006</v>
      </c>
      <c r="G520" s="6">
        <f>+E520+F520</f>
        <v>14305.258</v>
      </c>
      <c r="I520">
        <v>6901221</v>
      </c>
    </row>
    <row r="521" spans="1:9" ht="18" customHeight="1" x14ac:dyDescent="0.4">
      <c r="A521" s="81" t="s">
        <v>264</v>
      </c>
      <c r="B521" s="5" t="s">
        <v>106</v>
      </c>
      <c r="C521" s="169">
        <v>163.75</v>
      </c>
      <c r="D521" s="170">
        <v>59</v>
      </c>
      <c r="E521" s="6">
        <f>+C521*D521</f>
        <v>9661.25</v>
      </c>
      <c r="F521" s="6">
        <f>+E521*7%</f>
        <v>676.28750000000002</v>
      </c>
      <c r="G521" s="6">
        <f>+E521+F521</f>
        <v>10337.5375</v>
      </c>
      <c r="I521">
        <v>6901253</v>
      </c>
    </row>
    <row r="522" spans="1:9" ht="18" customHeight="1" thickBot="1" x14ac:dyDescent="0.35">
      <c r="A522" s="84"/>
      <c r="B522" s="17" t="s">
        <v>15</v>
      </c>
      <c r="C522" s="18">
        <f>SUM(C520:C521)</f>
        <v>390.35</v>
      </c>
      <c r="D522" s="19"/>
      <c r="E522" s="18">
        <f>SUM(E520:E521)</f>
        <v>23030.65</v>
      </c>
      <c r="F522" s="18">
        <f t="shared" ref="F522:G522" si="584">SUM(F520:F521)</f>
        <v>1612.1455000000001</v>
      </c>
      <c r="G522" s="18">
        <f t="shared" si="584"/>
        <v>24642.7955</v>
      </c>
    </row>
    <row r="523" spans="1:9" ht="11.25" customHeight="1" thickTop="1" x14ac:dyDescent="0.3">
      <c r="A523" s="85"/>
      <c r="C523" s="69"/>
      <c r="D523" s="70"/>
      <c r="E523" s="69"/>
      <c r="F523" s="69"/>
      <c r="G523" s="69"/>
    </row>
    <row r="524" spans="1:9" ht="30" customHeight="1" x14ac:dyDescent="0.3">
      <c r="A524" s="359" t="s">
        <v>107</v>
      </c>
      <c r="B524" s="359"/>
      <c r="C524" s="359"/>
      <c r="D524" s="359"/>
      <c r="E524" s="359"/>
      <c r="F524" s="359"/>
      <c r="G524" s="359"/>
    </row>
    <row r="525" spans="1:9" ht="18" customHeight="1" x14ac:dyDescent="0.3">
      <c r="A525" s="1" t="s">
        <v>2</v>
      </c>
      <c r="B525" s="2" t="s">
        <v>3</v>
      </c>
      <c r="C525" s="2" t="s">
        <v>108</v>
      </c>
      <c r="D525" s="3" t="s">
        <v>5</v>
      </c>
      <c r="E525" s="2" t="s">
        <v>6</v>
      </c>
      <c r="F525" s="2" t="s">
        <v>7</v>
      </c>
      <c r="G525" s="2" t="s">
        <v>8</v>
      </c>
    </row>
    <row r="526" spans="1:9" ht="18" customHeight="1" x14ac:dyDescent="0.4">
      <c r="A526" s="16" t="s">
        <v>229</v>
      </c>
      <c r="B526" s="5" t="s">
        <v>109</v>
      </c>
      <c r="C526" s="50">
        <v>190.8</v>
      </c>
      <c r="D526" s="142">
        <v>55</v>
      </c>
      <c r="E526" s="6">
        <f>+C526*D526</f>
        <v>10494</v>
      </c>
      <c r="F526" s="60">
        <f>+E526*7%</f>
        <v>734.58</v>
      </c>
      <c r="G526" s="60">
        <f>+E526+F526</f>
        <v>11228.58</v>
      </c>
      <c r="I526">
        <v>6901126</v>
      </c>
    </row>
    <row r="527" spans="1:9" ht="18" customHeight="1" x14ac:dyDescent="0.4">
      <c r="A527" s="16" t="s">
        <v>229</v>
      </c>
      <c r="B527" s="5" t="s">
        <v>109</v>
      </c>
      <c r="C527" s="50">
        <v>985</v>
      </c>
      <c r="D527" s="142">
        <v>55</v>
      </c>
      <c r="E527" s="6">
        <f>+C527*D527</f>
        <v>54175</v>
      </c>
      <c r="F527" s="60">
        <f>+E527*7%</f>
        <v>3792.2500000000005</v>
      </c>
      <c r="G527" s="60">
        <f>+E527+F527</f>
        <v>57967.25</v>
      </c>
      <c r="I527">
        <v>6901126</v>
      </c>
    </row>
    <row r="528" spans="1:9" ht="18" customHeight="1" x14ac:dyDescent="0.4">
      <c r="A528" s="16" t="s">
        <v>277</v>
      </c>
      <c r="B528" s="5" t="s">
        <v>109</v>
      </c>
      <c r="C528" s="50">
        <v>1384.75</v>
      </c>
      <c r="D528" s="142">
        <v>55</v>
      </c>
      <c r="E528" s="6">
        <f>+C528*D528</f>
        <v>76161.25</v>
      </c>
      <c r="F528" s="60">
        <f>+E528*7%</f>
        <v>5331.2875000000004</v>
      </c>
      <c r="G528" s="60">
        <f>+E528+F528</f>
        <v>81492.537500000006</v>
      </c>
      <c r="I528">
        <v>6901285</v>
      </c>
    </row>
    <row r="529" spans="1:9" ht="18" customHeight="1" thickBot="1" x14ac:dyDescent="0.35">
      <c r="A529" s="139"/>
      <c r="B529" s="17" t="s">
        <v>15</v>
      </c>
      <c r="C529" s="18">
        <f>SUM(C526:C528)</f>
        <v>2560.5500000000002</v>
      </c>
      <c r="D529" s="133"/>
      <c r="E529" s="18">
        <f>SUM(E526:E528)</f>
        <v>140830.25</v>
      </c>
      <c r="F529" s="18">
        <f t="shared" ref="F529:G529" si="585">SUM(F526:F528)</f>
        <v>9858.1175000000003</v>
      </c>
      <c r="G529" s="18">
        <f t="shared" si="585"/>
        <v>150688.36749999999</v>
      </c>
    </row>
    <row r="530" spans="1:9" ht="17.25" thickTop="1" x14ac:dyDescent="0.3"/>
    <row r="531" spans="1:9" s="30" customFormat="1" ht="23.25" x14ac:dyDescent="0.5">
      <c r="A531" s="359" t="s">
        <v>110</v>
      </c>
      <c r="B531" s="359"/>
      <c r="C531" s="359"/>
      <c r="D531" s="359"/>
      <c r="E531" s="359"/>
      <c r="F531" s="359"/>
      <c r="G531" s="359"/>
    </row>
    <row r="532" spans="1:9" s="30" customFormat="1" ht="18" customHeight="1" x14ac:dyDescent="0.5">
      <c r="A532" s="1" t="s">
        <v>2</v>
      </c>
      <c r="B532" s="2" t="s">
        <v>3</v>
      </c>
      <c r="C532" s="2" t="s">
        <v>88</v>
      </c>
      <c r="D532" s="3" t="s">
        <v>5</v>
      </c>
      <c r="E532" s="2" t="s">
        <v>6</v>
      </c>
      <c r="F532" s="2" t="s">
        <v>7</v>
      </c>
      <c r="G532" s="2" t="s">
        <v>8</v>
      </c>
    </row>
    <row r="533" spans="1:9" s="30" customFormat="1" ht="18" customHeight="1" x14ac:dyDescent="0.5">
      <c r="A533" s="81" t="s">
        <v>242</v>
      </c>
      <c r="B533" s="171" t="s">
        <v>241</v>
      </c>
      <c r="C533" s="168">
        <v>60</v>
      </c>
      <c r="D533" s="83">
        <v>87.45</v>
      </c>
      <c r="E533" s="6">
        <f t="shared" ref="E533" si="586">+C533*D533</f>
        <v>5247</v>
      </c>
      <c r="F533" s="60">
        <f t="shared" ref="F533" si="587">+E533*7%</f>
        <v>367.29</v>
      </c>
      <c r="G533" s="60">
        <f t="shared" ref="G533" si="588">+E533+F533</f>
        <v>5614.29</v>
      </c>
      <c r="I533" s="30">
        <v>6901180</v>
      </c>
    </row>
    <row r="534" spans="1:9" s="30" customFormat="1" ht="18" customHeight="1" thickBot="1" x14ac:dyDescent="0.55000000000000004">
      <c r="A534" s="84"/>
      <c r="B534" s="17" t="s">
        <v>15</v>
      </c>
      <c r="C534" s="18">
        <f>SUM(C533:C533)</f>
        <v>60</v>
      </c>
      <c r="D534" s="19"/>
      <c r="E534" s="62">
        <f>SUM(E533:E533)</f>
        <v>5247</v>
      </c>
      <c r="F534" s="62">
        <f t="shared" ref="F534:G534" si="589">SUM(F533:F533)</f>
        <v>367.29</v>
      </c>
      <c r="G534" s="62">
        <f t="shared" si="589"/>
        <v>5614.29</v>
      </c>
    </row>
    <row r="535" spans="1:9" ht="13.5" customHeight="1" thickTop="1" x14ac:dyDescent="0.3"/>
    <row r="536" spans="1:9" ht="18" x14ac:dyDescent="0.4">
      <c r="B536" s="22" t="s">
        <v>299</v>
      </c>
      <c r="C536" s="194">
        <v>0</v>
      </c>
      <c r="D536" s="195">
        <f>50*11600*15*0.921/10000000</f>
        <v>0.80127000000000004</v>
      </c>
      <c r="E536" s="172">
        <f>+C536*D536</f>
        <v>0</v>
      </c>
    </row>
    <row r="537" spans="1:9" ht="18" x14ac:dyDescent="0.4">
      <c r="B537" s="22" t="s">
        <v>300</v>
      </c>
      <c r="C537" s="194">
        <v>0</v>
      </c>
      <c r="D537" s="195">
        <v>1.2</v>
      </c>
      <c r="E537" s="172">
        <f t="shared" ref="E537:E544" si="590">+C537*D537</f>
        <v>0</v>
      </c>
    </row>
    <row r="538" spans="1:9" ht="18" x14ac:dyDescent="0.4">
      <c r="B538" s="22" t="s">
        <v>301</v>
      </c>
      <c r="C538" s="194">
        <v>0</v>
      </c>
      <c r="D538" s="195">
        <f>50*18100*15*0.921/10000000</f>
        <v>1.2502575</v>
      </c>
      <c r="E538" s="172">
        <f t="shared" si="590"/>
        <v>0</v>
      </c>
    </row>
    <row r="539" spans="1:9" ht="18" x14ac:dyDescent="0.4">
      <c r="B539" s="22" t="s">
        <v>302</v>
      </c>
      <c r="C539" s="194">
        <v>0</v>
      </c>
      <c r="D539" s="195">
        <f>50*19800*17*0.921/10000000</f>
        <v>1.5500430000000001</v>
      </c>
      <c r="E539" s="172">
        <f t="shared" si="590"/>
        <v>0</v>
      </c>
    </row>
    <row r="540" spans="1:9" ht="18" x14ac:dyDescent="0.4">
      <c r="B540" s="22" t="s">
        <v>303</v>
      </c>
      <c r="C540" s="194">
        <v>0</v>
      </c>
      <c r="D540" s="195">
        <v>1.59</v>
      </c>
      <c r="E540" s="172">
        <f t="shared" si="590"/>
        <v>0</v>
      </c>
    </row>
    <row r="541" spans="1:9" ht="18" x14ac:dyDescent="0.4">
      <c r="B541" s="22" t="s">
        <v>241</v>
      </c>
      <c r="C541" s="194">
        <f>C534</f>
        <v>60</v>
      </c>
      <c r="D541" s="195">
        <v>1.45</v>
      </c>
      <c r="E541" s="172">
        <f t="shared" si="590"/>
        <v>87</v>
      </c>
    </row>
    <row r="542" spans="1:9" ht="18" x14ac:dyDescent="0.35">
      <c r="B542" s="147" t="s">
        <v>304</v>
      </c>
      <c r="C542" s="194">
        <v>0</v>
      </c>
      <c r="D542" s="149">
        <f>50*22400*15*0.921/10000000</f>
        <v>1.54728</v>
      </c>
      <c r="E542" s="172">
        <f t="shared" si="590"/>
        <v>0</v>
      </c>
      <c r="F542" s="173"/>
    </row>
    <row r="543" spans="1:9" ht="18" x14ac:dyDescent="0.35">
      <c r="B543" s="147" t="s">
        <v>305</v>
      </c>
      <c r="C543" s="194">
        <v>0</v>
      </c>
      <c r="D543" s="149">
        <v>1.6</v>
      </c>
      <c r="E543" s="172">
        <f t="shared" si="590"/>
        <v>0</v>
      </c>
      <c r="F543" s="173"/>
    </row>
    <row r="544" spans="1:9" ht="18" x14ac:dyDescent="0.35">
      <c r="B544" s="147" t="s">
        <v>306</v>
      </c>
      <c r="C544" s="194">
        <v>0</v>
      </c>
      <c r="D544" s="149">
        <f>50*23600*17*0.921/10000000</f>
        <v>1.847526</v>
      </c>
      <c r="E544" s="172">
        <f t="shared" si="590"/>
        <v>0</v>
      </c>
      <c r="F544" s="173"/>
    </row>
    <row r="545" spans="1:9" ht="18" x14ac:dyDescent="0.35">
      <c r="B545" s="147" t="s">
        <v>307</v>
      </c>
      <c r="C545" s="194">
        <v>0</v>
      </c>
      <c r="D545" s="149">
        <f>50*23900*15*0.921/10000000</f>
        <v>1.6508925000000001</v>
      </c>
      <c r="E545" s="172">
        <f>+C545*D545</f>
        <v>0</v>
      </c>
      <c r="F545" s="173"/>
    </row>
    <row r="546" spans="1:9" ht="18" x14ac:dyDescent="0.35">
      <c r="B546" s="147" t="s">
        <v>111</v>
      </c>
      <c r="C546" s="194">
        <v>0</v>
      </c>
      <c r="D546" s="149">
        <v>1.74</v>
      </c>
      <c r="E546" s="172">
        <f t="shared" ref="E546:E548" si="591">+C546*D546</f>
        <v>0</v>
      </c>
      <c r="F546" s="173"/>
    </row>
    <row r="547" spans="1:9" ht="18" x14ac:dyDescent="0.35">
      <c r="B547" s="147" t="s">
        <v>308</v>
      </c>
      <c r="C547" s="194">
        <v>0</v>
      </c>
      <c r="D547" s="149">
        <f>50*28300*15*0.921/10000000</f>
        <v>1.9548224999999999</v>
      </c>
      <c r="E547" s="172">
        <f t="shared" si="591"/>
        <v>0</v>
      </c>
      <c r="F547" s="173"/>
    </row>
    <row r="548" spans="1:9" ht="18" x14ac:dyDescent="0.35">
      <c r="B548" s="147" t="s">
        <v>309</v>
      </c>
      <c r="C548" s="194">
        <v>0</v>
      </c>
      <c r="D548" s="149">
        <f>50*29000*15*0.921/10000000</f>
        <v>2.0031750000000001</v>
      </c>
      <c r="E548" s="172">
        <f t="shared" si="591"/>
        <v>0</v>
      </c>
      <c r="F548" s="173"/>
    </row>
    <row r="549" spans="1:9" ht="18.75" thickBot="1" x14ac:dyDescent="0.4">
      <c r="B549" s="147" t="s">
        <v>89</v>
      </c>
      <c r="C549" s="194">
        <v>0</v>
      </c>
      <c r="D549" s="149">
        <v>2.0699999999999998</v>
      </c>
      <c r="E549" s="172">
        <f>+C549*D549</f>
        <v>0</v>
      </c>
      <c r="F549" s="174">
        <f>SUM(E536:E549)</f>
        <v>87</v>
      </c>
    </row>
    <row r="550" spans="1:9" ht="12" customHeight="1" thickTop="1" x14ac:dyDescent="0.4">
      <c r="B550" s="147"/>
      <c r="C550" s="148"/>
      <c r="D550" s="149"/>
      <c r="E550" s="23"/>
    </row>
    <row r="551" spans="1:9" ht="23.25" x14ac:dyDescent="0.3">
      <c r="A551" s="359" t="s">
        <v>112</v>
      </c>
      <c r="B551" s="359"/>
      <c r="C551" s="359"/>
      <c r="D551" s="359"/>
      <c r="E551" s="359"/>
      <c r="F551" s="359"/>
      <c r="G551" s="359"/>
    </row>
    <row r="552" spans="1:9" ht="18" customHeight="1" x14ac:dyDescent="0.3">
      <c r="A552" s="1" t="s">
        <v>2</v>
      </c>
      <c r="B552" s="2" t="s">
        <v>3</v>
      </c>
      <c r="C552" s="2" t="s">
        <v>108</v>
      </c>
      <c r="D552" s="3" t="s">
        <v>5</v>
      </c>
      <c r="E552" s="2" t="s">
        <v>6</v>
      </c>
      <c r="F552" s="2" t="s">
        <v>7</v>
      </c>
      <c r="G552" s="2" t="s">
        <v>8</v>
      </c>
    </row>
    <row r="553" spans="1:9" ht="18" customHeight="1" x14ac:dyDescent="0.4">
      <c r="A553" s="81" t="s">
        <v>259</v>
      </c>
      <c r="B553" s="171" t="s">
        <v>260</v>
      </c>
      <c r="C553" s="169">
        <v>4941.7</v>
      </c>
      <c r="D553" s="142">
        <v>74</v>
      </c>
      <c r="E553" s="60">
        <f t="shared" ref="E553" si="592">+C553*D553</f>
        <v>365685.8</v>
      </c>
      <c r="F553" s="60">
        <f t="shared" ref="F553" si="593">+E553*7%</f>
        <v>25598.006000000001</v>
      </c>
      <c r="G553" s="60">
        <f t="shared" ref="G553" si="594">+E553+F553</f>
        <v>391283.80599999998</v>
      </c>
      <c r="I553">
        <v>6901223</v>
      </c>
    </row>
    <row r="554" spans="1:9" ht="18" customHeight="1" thickBot="1" x14ac:dyDescent="0.35">
      <c r="A554" s="84"/>
      <c r="B554" s="17" t="s">
        <v>15</v>
      </c>
      <c r="C554" s="18">
        <f>SUM(C553:C553)</f>
        <v>4941.7</v>
      </c>
      <c r="D554" s="19"/>
      <c r="E554" s="62">
        <f>SUM(E553:E553)</f>
        <v>365685.8</v>
      </c>
      <c r="F554" s="62">
        <f t="shared" ref="F554:G554" si="595">SUM(F553:F553)</f>
        <v>25598.006000000001</v>
      </c>
      <c r="G554" s="62">
        <f t="shared" si="595"/>
        <v>391283.80599999998</v>
      </c>
    </row>
    <row r="555" spans="1:9" ht="18" customHeight="1" thickTop="1" x14ac:dyDescent="0.3">
      <c r="A555" s="85"/>
      <c r="B555" s="68"/>
      <c r="C555" s="69"/>
      <c r="D555" s="70"/>
      <c r="E555" s="71"/>
      <c r="F555" s="71"/>
      <c r="G555" s="71"/>
    </row>
    <row r="556" spans="1:9" ht="23.25" x14ac:dyDescent="0.3">
      <c r="A556" s="359" t="s">
        <v>113</v>
      </c>
      <c r="B556" s="359"/>
      <c r="C556" s="359"/>
      <c r="D556" s="359"/>
      <c r="E556" s="359"/>
      <c r="F556" s="359"/>
      <c r="G556" s="359"/>
    </row>
    <row r="557" spans="1:9" ht="18" customHeight="1" x14ac:dyDescent="0.3">
      <c r="A557" s="1" t="s">
        <v>2</v>
      </c>
      <c r="B557" s="2" t="s">
        <v>3</v>
      </c>
      <c r="C557" s="2" t="s">
        <v>4</v>
      </c>
      <c r="D557" s="3" t="s">
        <v>5</v>
      </c>
      <c r="E557" s="2" t="s">
        <v>6</v>
      </c>
      <c r="F557" s="2" t="s">
        <v>7</v>
      </c>
      <c r="G557" s="2" t="s">
        <v>8</v>
      </c>
    </row>
    <row r="558" spans="1:9" ht="18" customHeight="1" x14ac:dyDescent="0.4">
      <c r="A558" s="81" t="s">
        <v>229</v>
      </c>
      <c r="B558" s="171" t="s">
        <v>114</v>
      </c>
      <c r="C558" s="169">
        <v>460.75</v>
      </c>
      <c r="D558" s="142">
        <v>57.5</v>
      </c>
      <c r="E558" s="60">
        <f>+C558*D558</f>
        <v>26493.125</v>
      </c>
      <c r="F558" s="60">
        <f>+E558*7%</f>
        <v>1854.5187500000002</v>
      </c>
      <c r="G558" s="60">
        <f>+E558+F558</f>
        <v>28347.643749999999</v>
      </c>
      <c r="I558">
        <v>6901127</v>
      </c>
    </row>
    <row r="559" spans="1:9" ht="18" customHeight="1" thickBot="1" x14ac:dyDescent="0.35">
      <c r="A559" s="84"/>
      <c r="B559" s="17" t="s">
        <v>15</v>
      </c>
      <c r="C559" s="18">
        <f>SUM(C558:C558)</f>
        <v>460.75</v>
      </c>
      <c r="D559" s="19"/>
      <c r="E559" s="62">
        <f>SUM(E558)</f>
        <v>26493.125</v>
      </c>
      <c r="F559" s="62">
        <f t="shared" ref="F559:G559" si="596">SUM(F558)</f>
        <v>1854.5187500000002</v>
      </c>
      <c r="G559" s="62">
        <f t="shared" si="596"/>
        <v>28347.643749999999</v>
      </c>
    </row>
    <row r="560" spans="1:9" ht="18" customHeight="1" thickTop="1" x14ac:dyDescent="0.3">
      <c r="A560" s="85"/>
      <c r="B560" s="68"/>
      <c r="C560" s="69"/>
      <c r="D560" s="70"/>
      <c r="E560" s="71"/>
      <c r="F560" s="71"/>
      <c r="G560" s="71"/>
    </row>
    <row r="561" spans="1:9" ht="23.25" x14ac:dyDescent="0.3">
      <c r="A561" s="359" t="s">
        <v>115</v>
      </c>
      <c r="B561" s="359"/>
      <c r="C561" s="359"/>
      <c r="D561" s="359"/>
      <c r="E561" s="359"/>
      <c r="F561" s="359"/>
      <c r="G561" s="359"/>
    </row>
    <row r="562" spans="1:9" ht="18" customHeight="1" x14ac:dyDescent="0.3">
      <c r="A562" s="1" t="s">
        <v>2</v>
      </c>
      <c r="B562" s="2" t="s">
        <v>3</v>
      </c>
      <c r="C562" s="2" t="s">
        <v>4</v>
      </c>
      <c r="D562" s="3" t="s">
        <v>5</v>
      </c>
      <c r="E562" s="2" t="s">
        <v>6</v>
      </c>
      <c r="F562" s="2" t="s">
        <v>7</v>
      </c>
      <c r="G562" s="2" t="s">
        <v>8</v>
      </c>
    </row>
    <row r="563" spans="1:9" ht="18" customHeight="1" x14ac:dyDescent="0.4">
      <c r="A563" s="81" t="s">
        <v>199</v>
      </c>
      <c r="B563" s="171" t="s">
        <v>116</v>
      </c>
      <c r="C563" s="169">
        <v>595.20000000000005</v>
      </c>
      <c r="D563" s="142">
        <v>76</v>
      </c>
      <c r="E563" s="60">
        <f t="shared" ref="E563:E584" si="597">+C563*D563</f>
        <v>45235.200000000004</v>
      </c>
      <c r="F563" s="60">
        <f t="shared" ref="F563:F584" si="598">+E563*7%</f>
        <v>3166.4640000000004</v>
      </c>
      <c r="G563" s="60">
        <f t="shared" ref="G563:G584" si="599">+E563+F563</f>
        <v>48401.664000000004</v>
      </c>
      <c r="I563">
        <v>6901067</v>
      </c>
    </row>
    <row r="564" spans="1:9" ht="18" customHeight="1" x14ac:dyDescent="0.4">
      <c r="A564" s="81" t="s">
        <v>199</v>
      </c>
      <c r="B564" s="171" t="s">
        <v>116</v>
      </c>
      <c r="C564" s="169">
        <v>614.15</v>
      </c>
      <c r="D564" s="142">
        <v>76</v>
      </c>
      <c r="E564" s="60">
        <f t="shared" si="597"/>
        <v>46675.4</v>
      </c>
      <c r="F564" s="60">
        <f t="shared" si="598"/>
        <v>3267.2780000000002</v>
      </c>
      <c r="G564" s="60">
        <f t="shared" si="599"/>
        <v>49942.678</v>
      </c>
      <c r="I564">
        <v>6901066</v>
      </c>
    </row>
    <row r="565" spans="1:9" ht="18" customHeight="1" x14ac:dyDescent="0.4">
      <c r="A565" s="81" t="s">
        <v>199</v>
      </c>
      <c r="B565" s="171" t="s">
        <v>116</v>
      </c>
      <c r="C565" s="169">
        <v>590.65</v>
      </c>
      <c r="D565" s="142">
        <v>76</v>
      </c>
      <c r="E565" s="60">
        <f t="shared" si="597"/>
        <v>44889.4</v>
      </c>
      <c r="F565" s="60">
        <f>+E565*7%</f>
        <v>3142.2580000000003</v>
      </c>
      <c r="G565" s="60">
        <f t="shared" si="599"/>
        <v>48031.658000000003</v>
      </c>
      <c r="I565">
        <v>6901066</v>
      </c>
    </row>
    <row r="566" spans="1:9" ht="18" customHeight="1" x14ac:dyDescent="0.4">
      <c r="A566" s="81" t="s">
        <v>261</v>
      </c>
      <c r="B566" s="171" t="s">
        <v>116</v>
      </c>
      <c r="C566" s="169">
        <v>598.25</v>
      </c>
      <c r="D566" s="142">
        <v>76</v>
      </c>
      <c r="E566" s="60">
        <f t="shared" si="597"/>
        <v>45467</v>
      </c>
      <c r="F566" s="60">
        <f t="shared" si="598"/>
        <v>3182.6900000000005</v>
      </c>
      <c r="G566" s="60">
        <f t="shared" si="599"/>
        <v>48649.69</v>
      </c>
      <c r="I566">
        <v>6901234</v>
      </c>
    </row>
    <row r="567" spans="1:9" ht="18" customHeight="1" x14ac:dyDescent="0.4">
      <c r="A567" s="81" t="s">
        <v>261</v>
      </c>
      <c r="B567" s="171" t="s">
        <v>116</v>
      </c>
      <c r="C567" s="169">
        <v>592.79999999999995</v>
      </c>
      <c r="D567" s="142">
        <v>76</v>
      </c>
      <c r="E567" s="60">
        <f t="shared" si="597"/>
        <v>45052.799999999996</v>
      </c>
      <c r="F567" s="60">
        <f t="shared" si="598"/>
        <v>3153.6959999999999</v>
      </c>
      <c r="G567" s="60">
        <f t="shared" si="599"/>
        <v>48206.495999999999</v>
      </c>
      <c r="I567">
        <v>6901233</v>
      </c>
    </row>
    <row r="568" spans="1:9" ht="18" customHeight="1" x14ac:dyDescent="0.4">
      <c r="A568" s="81" t="s">
        <v>261</v>
      </c>
      <c r="B568" s="171" t="s">
        <v>116</v>
      </c>
      <c r="C568" s="169">
        <v>584.6</v>
      </c>
      <c r="D568" s="142">
        <v>76</v>
      </c>
      <c r="E568" s="60">
        <f t="shared" ref="E568" si="600">+C568*D568</f>
        <v>44429.599999999999</v>
      </c>
      <c r="F568" s="60">
        <f t="shared" ref="F568" si="601">+E568*7%</f>
        <v>3110.0720000000001</v>
      </c>
      <c r="G568" s="60">
        <f t="shared" ref="G568" si="602">+E568+F568</f>
        <v>47539.671999999999</v>
      </c>
      <c r="I568">
        <v>6901233</v>
      </c>
    </row>
    <row r="569" spans="1:9" ht="18" customHeight="1" x14ac:dyDescent="0.4">
      <c r="A569" s="81" t="s">
        <v>275</v>
      </c>
      <c r="B569" s="171" t="s">
        <v>116</v>
      </c>
      <c r="C569" s="169">
        <v>593.04999999999995</v>
      </c>
      <c r="D569" s="142">
        <v>76</v>
      </c>
      <c r="E569" s="60">
        <f t="shared" ref="E569" si="603">+C569*D569</f>
        <v>45071.799999999996</v>
      </c>
      <c r="F569" s="60">
        <f t="shared" ref="F569" si="604">+E569*7%</f>
        <v>3155.0259999999998</v>
      </c>
      <c r="G569" s="60">
        <f t="shared" ref="G569" si="605">+E569+F569</f>
        <v>48226.825999999994</v>
      </c>
      <c r="I569">
        <v>6901301</v>
      </c>
    </row>
    <row r="570" spans="1:9" ht="18" customHeight="1" x14ac:dyDescent="0.4">
      <c r="A570" s="81" t="s">
        <v>275</v>
      </c>
      <c r="B570" s="171" t="s">
        <v>116</v>
      </c>
      <c r="C570" s="169">
        <v>596.70000000000005</v>
      </c>
      <c r="D570" s="142">
        <v>76</v>
      </c>
      <c r="E570" s="60">
        <f t="shared" ref="E570" si="606">+C570*D570</f>
        <v>45349.200000000004</v>
      </c>
      <c r="F570" s="60">
        <f t="shared" ref="F570" si="607">+E570*7%</f>
        <v>3174.4440000000004</v>
      </c>
      <c r="G570" s="60">
        <f t="shared" ref="G570" si="608">+E570+F570</f>
        <v>48523.644000000008</v>
      </c>
      <c r="I570">
        <v>6901300</v>
      </c>
    </row>
    <row r="571" spans="1:9" ht="18" customHeight="1" x14ac:dyDescent="0.4">
      <c r="A571" s="81" t="s">
        <v>275</v>
      </c>
      <c r="B571" s="171" t="s">
        <v>116</v>
      </c>
      <c r="C571" s="169">
        <v>603.25</v>
      </c>
      <c r="D571" s="142">
        <v>76</v>
      </c>
      <c r="E571" s="60">
        <f t="shared" ref="E571" si="609">+C571*D571</f>
        <v>45847</v>
      </c>
      <c r="F571" s="60">
        <f t="shared" ref="F571" si="610">+E571*7%</f>
        <v>3209.2900000000004</v>
      </c>
      <c r="G571" s="60">
        <f t="shared" ref="G571" si="611">+E571+F571</f>
        <v>49056.29</v>
      </c>
      <c r="I571">
        <v>6901300</v>
      </c>
    </row>
    <row r="572" spans="1:9" ht="18" customHeight="1" x14ac:dyDescent="0.4">
      <c r="A572" s="81" t="s">
        <v>277</v>
      </c>
      <c r="B572" s="171" t="s">
        <v>167</v>
      </c>
      <c r="C572" s="169">
        <v>588.15</v>
      </c>
      <c r="D572" s="142">
        <v>76</v>
      </c>
      <c r="E572" s="60">
        <f t="shared" ref="E572" si="612">+C572*D572</f>
        <v>44699.4</v>
      </c>
      <c r="F572" s="60">
        <f t="shared" ref="F572" si="613">+E572*7%</f>
        <v>3128.9580000000005</v>
      </c>
      <c r="G572" s="60">
        <f t="shared" ref="G572" si="614">+E572+F572</f>
        <v>47828.358</v>
      </c>
      <c r="I572">
        <v>6901283</v>
      </c>
    </row>
    <row r="573" spans="1:9" ht="18" customHeight="1" x14ac:dyDescent="0.4">
      <c r="A573" s="81" t="s">
        <v>268</v>
      </c>
      <c r="B573" s="171" t="s">
        <v>186</v>
      </c>
      <c r="C573" s="169">
        <v>597.75</v>
      </c>
      <c r="D573" s="142">
        <v>76</v>
      </c>
      <c r="E573" s="60">
        <f t="shared" ref="E573" si="615">+C573*D573</f>
        <v>45429</v>
      </c>
      <c r="F573" s="60">
        <f t="shared" ref="F573" si="616">+E573*7%</f>
        <v>3180.03</v>
      </c>
      <c r="G573" s="60">
        <f t="shared" ref="G573" si="617">+E573+F573</f>
        <v>48609.03</v>
      </c>
      <c r="I573">
        <v>6901261</v>
      </c>
    </row>
    <row r="574" spans="1:9" ht="18" customHeight="1" x14ac:dyDescent="0.4">
      <c r="A574" s="81" t="s">
        <v>192</v>
      </c>
      <c r="B574" s="171" t="s">
        <v>117</v>
      </c>
      <c r="C574" s="169">
        <v>594.76</v>
      </c>
      <c r="D574" s="142">
        <v>76</v>
      </c>
      <c r="E574" s="60">
        <f t="shared" si="597"/>
        <v>45201.760000000002</v>
      </c>
      <c r="F574" s="60">
        <f t="shared" si="598"/>
        <v>3164.1232000000005</v>
      </c>
      <c r="G574" s="60">
        <f t="shared" si="599"/>
        <v>48365.883200000004</v>
      </c>
      <c r="I574">
        <v>6901014</v>
      </c>
    </row>
    <row r="575" spans="1:9" ht="18" customHeight="1" x14ac:dyDescent="0.4">
      <c r="A575" s="81" t="s">
        <v>192</v>
      </c>
      <c r="B575" s="171" t="s">
        <v>117</v>
      </c>
      <c r="C575" s="169">
        <v>600.61</v>
      </c>
      <c r="D575" s="142">
        <v>76</v>
      </c>
      <c r="E575" s="60">
        <f t="shared" si="597"/>
        <v>45646.36</v>
      </c>
      <c r="F575" s="60">
        <f t="shared" si="598"/>
        <v>3195.2452000000003</v>
      </c>
      <c r="G575" s="60">
        <f t="shared" si="599"/>
        <v>48841.605199999998</v>
      </c>
      <c r="I575">
        <v>6901014</v>
      </c>
    </row>
    <row r="576" spans="1:9" ht="18" customHeight="1" x14ac:dyDescent="0.4">
      <c r="A576" s="81" t="s">
        <v>242</v>
      </c>
      <c r="B576" s="171" t="s">
        <v>117</v>
      </c>
      <c r="C576" s="169">
        <v>592.76</v>
      </c>
      <c r="D576" s="142">
        <v>76</v>
      </c>
      <c r="E576" s="60">
        <f t="shared" ref="E576" si="618">+C576*D576</f>
        <v>45049.760000000002</v>
      </c>
      <c r="F576" s="60">
        <f t="shared" ref="F576" si="619">+E576*7%</f>
        <v>3153.4832000000006</v>
      </c>
      <c r="G576" s="60">
        <f t="shared" ref="G576" si="620">+E576+F576</f>
        <v>48203.243200000004</v>
      </c>
      <c r="I576">
        <v>6901161</v>
      </c>
    </row>
    <row r="577" spans="1:9" ht="18" customHeight="1" x14ac:dyDescent="0.4">
      <c r="A577" s="81" t="s">
        <v>280</v>
      </c>
      <c r="B577" s="171" t="s">
        <v>117</v>
      </c>
      <c r="C577" s="169">
        <v>599.01</v>
      </c>
      <c r="D577" s="142">
        <v>76</v>
      </c>
      <c r="E577" s="60">
        <f t="shared" ref="E577:E578" si="621">+C577*D577</f>
        <v>45524.76</v>
      </c>
      <c r="F577" s="60">
        <f t="shared" ref="F577:F578" si="622">+E577*7%</f>
        <v>3186.7332000000006</v>
      </c>
      <c r="G577" s="60">
        <f t="shared" ref="G577:G578" si="623">+E577+F577</f>
        <v>48711.493200000004</v>
      </c>
      <c r="I577">
        <v>6901325</v>
      </c>
    </row>
    <row r="578" spans="1:9" ht="18" customHeight="1" x14ac:dyDescent="0.4">
      <c r="A578" s="81" t="s">
        <v>280</v>
      </c>
      <c r="B578" s="171" t="s">
        <v>117</v>
      </c>
      <c r="C578" s="169">
        <v>578.80999999999995</v>
      </c>
      <c r="D578" s="142">
        <v>76</v>
      </c>
      <c r="E578" s="60">
        <f t="shared" si="621"/>
        <v>43989.56</v>
      </c>
      <c r="F578" s="60">
        <f t="shared" si="622"/>
        <v>3079.2692000000002</v>
      </c>
      <c r="G578" s="60">
        <f t="shared" si="623"/>
        <v>47068.8292</v>
      </c>
      <c r="I578">
        <v>6901325</v>
      </c>
    </row>
    <row r="579" spans="1:9" ht="18" customHeight="1" x14ac:dyDescent="0.4">
      <c r="A579" s="81" t="s">
        <v>192</v>
      </c>
      <c r="B579" s="171" t="s">
        <v>196</v>
      </c>
      <c r="C579" s="169">
        <v>591.80999999999995</v>
      </c>
      <c r="D579" s="142">
        <v>76</v>
      </c>
      <c r="E579" s="60">
        <f t="shared" si="597"/>
        <v>44977.56</v>
      </c>
      <c r="F579" s="60">
        <f t="shared" si="598"/>
        <v>3148.4292</v>
      </c>
      <c r="G579" s="60">
        <f t="shared" si="599"/>
        <v>48125.989199999996</v>
      </c>
      <c r="I579">
        <v>6901013</v>
      </c>
    </row>
    <row r="580" spans="1:9" ht="18" customHeight="1" x14ac:dyDescent="0.4">
      <c r="A580" s="81" t="s">
        <v>242</v>
      </c>
      <c r="B580" s="171" t="s">
        <v>196</v>
      </c>
      <c r="C580" s="169">
        <v>590.16</v>
      </c>
      <c r="D580" s="142">
        <v>76</v>
      </c>
      <c r="E580" s="60">
        <f t="shared" ref="E580:E581" si="624">+C580*D580</f>
        <v>44852.159999999996</v>
      </c>
      <c r="F580" s="60">
        <f t="shared" ref="F580:F581" si="625">+E580*7%</f>
        <v>3139.6512000000002</v>
      </c>
      <c r="G580" s="60">
        <f t="shared" ref="G580:G581" si="626">+E580+F580</f>
        <v>47991.811199999996</v>
      </c>
      <c r="I580">
        <v>6901162</v>
      </c>
    </row>
    <row r="581" spans="1:9" ht="18" customHeight="1" x14ac:dyDescent="0.4">
      <c r="A581" s="81" t="s">
        <v>242</v>
      </c>
      <c r="B581" s="171" t="s">
        <v>196</v>
      </c>
      <c r="C581" s="169">
        <v>598.91</v>
      </c>
      <c r="D581" s="142">
        <v>76</v>
      </c>
      <c r="E581" s="60">
        <f t="shared" si="624"/>
        <v>45517.159999999996</v>
      </c>
      <c r="F581" s="60">
        <f t="shared" si="625"/>
        <v>3186.2012</v>
      </c>
      <c r="G581" s="60">
        <f t="shared" si="626"/>
        <v>48703.361199999999</v>
      </c>
      <c r="I581">
        <v>6901162</v>
      </c>
    </row>
    <row r="582" spans="1:9" ht="18" customHeight="1" x14ac:dyDescent="0.4">
      <c r="A582" s="81" t="s">
        <v>242</v>
      </c>
      <c r="B582" s="171" t="s">
        <v>133</v>
      </c>
      <c r="C582" s="169">
        <v>592.30999999999995</v>
      </c>
      <c r="D582" s="142">
        <v>76</v>
      </c>
      <c r="E582" s="60">
        <f t="shared" si="597"/>
        <v>45015.56</v>
      </c>
      <c r="F582" s="60">
        <f t="shared" si="598"/>
        <v>3151.0892000000003</v>
      </c>
      <c r="G582" s="60">
        <f t="shared" si="599"/>
        <v>48166.6492</v>
      </c>
      <c r="I582">
        <v>6901163</v>
      </c>
    </row>
    <row r="583" spans="1:9" ht="18" customHeight="1" x14ac:dyDescent="0.4">
      <c r="A583" s="81" t="s">
        <v>199</v>
      </c>
      <c r="B583" s="171" t="s">
        <v>118</v>
      </c>
      <c r="C583" s="169">
        <v>589.55999999999995</v>
      </c>
      <c r="D583" s="142">
        <v>76</v>
      </c>
      <c r="E583" s="60">
        <f t="shared" si="597"/>
        <v>44806.559999999998</v>
      </c>
      <c r="F583" s="60">
        <f t="shared" si="598"/>
        <v>3136.4592000000002</v>
      </c>
      <c r="G583" s="60">
        <f t="shared" si="599"/>
        <v>47943.019199999995</v>
      </c>
      <c r="I583">
        <v>6901068</v>
      </c>
    </row>
    <row r="584" spans="1:9" ht="18" customHeight="1" x14ac:dyDescent="0.4">
      <c r="A584" s="81" t="s">
        <v>199</v>
      </c>
      <c r="B584" s="171" t="s">
        <v>118</v>
      </c>
      <c r="C584" s="169">
        <v>599</v>
      </c>
      <c r="D584" s="142">
        <v>76</v>
      </c>
      <c r="E584" s="60">
        <f t="shared" si="597"/>
        <v>45524</v>
      </c>
      <c r="F584" s="60">
        <f t="shared" si="598"/>
        <v>3186.6800000000003</v>
      </c>
      <c r="G584" s="60">
        <f t="shared" si="599"/>
        <v>48710.68</v>
      </c>
      <c r="I584">
        <v>6901068</v>
      </c>
    </row>
    <row r="585" spans="1:9" ht="18" customHeight="1" x14ac:dyDescent="0.4">
      <c r="A585" s="81" t="s">
        <v>261</v>
      </c>
      <c r="B585" s="171" t="s">
        <v>118</v>
      </c>
      <c r="C585" s="169">
        <v>612.29999999999995</v>
      </c>
      <c r="D585" s="142">
        <v>76</v>
      </c>
      <c r="E585" s="60">
        <f t="shared" ref="E585:E586" si="627">+C585*D585</f>
        <v>46534.799999999996</v>
      </c>
      <c r="F585" s="60">
        <f t="shared" ref="F585:F586" si="628">+E585*7%</f>
        <v>3257.4360000000001</v>
      </c>
      <c r="G585" s="60">
        <f t="shared" ref="G585:G586" si="629">+E585+F585</f>
        <v>49792.235999999997</v>
      </c>
      <c r="I585">
        <v>6901236</v>
      </c>
    </row>
    <row r="586" spans="1:9" ht="18" customHeight="1" x14ac:dyDescent="0.4">
      <c r="A586" s="81" t="s">
        <v>261</v>
      </c>
      <c r="B586" s="171" t="s">
        <v>118</v>
      </c>
      <c r="C586" s="169">
        <v>580.80999999999995</v>
      </c>
      <c r="D586" s="142">
        <v>76</v>
      </c>
      <c r="E586" s="60">
        <f t="shared" si="627"/>
        <v>44141.56</v>
      </c>
      <c r="F586" s="60">
        <f t="shared" si="628"/>
        <v>3089.9092000000001</v>
      </c>
      <c r="G586" s="60">
        <f t="shared" si="629"/>
        <v>47231.4692</v>
      </c>
      <c r="I586">
        <v>6901236</v>
      </c>
    </row>
    <row r="587" spans="1:9" ht="18" customHeight="1" x14ac:dyDescent="0.4">
      <c r="A587" s="81" t="s">
        <v>261</v>
      </c>
      <c r="B587" s="171" t="s">
        <v>118</v>
      </c>
      <c r="C587" s="169">
        <v>609.95000000000005</v>
      </c>
      <c r="D587" s="142">
        <v>76</v>
      </c>
      <c r="E587" s="60">
        <f t="shared" ref="E587:E588" si="630">+C587*D587</f>
        <v>46356.200000000004</v>
      </c>
      <c r="F587" s="60">
        <f t="shared" ref="F587:F588" si="631">+E587*7%</f>
        <v>3244.9340000000007</v>
      </c>
      <c r="G587" s="60">
        <f t="shared" ref="G587:G588" si="632">+E587+F587</f>
        <v>49601.134000000005</v>
      </c>
      <c r="I587">
        <v>6901235</v>
      </c>
    </row>
    <row r="588" spans="1:9" ht="18" customHeight="1" x14ac:dyDescent="0.4">
      <c r="A588" s="81" t="s">
        <v>261</v>
      </c>
      <c r="B588" s="171" t="s">
        <v>118</v>
      </c>
      <c r="C588" s="169">
        <v>583.01</v>
      </c>
      <c r="D588" s="142">
        <v>76</v>
      </c>
      <c r="E588" s="60">
        <f t="shared" si="630"/>
        <v>44308.76</v>
      </c>
      <c r="F588" s="60">
        <f t="shared" si="631"/>
        <v>3101.6132000000002</v>
      </c>
      <c r="G588" s="60">
        <f t="shared" si="632"/>
        <v>47410.373200000002</v>
      </c>
      <c r="I588">
        <v>6901235</v>
      </c>
    </row>
    <row r="589" spans="1:9" ht="18" customHeight="1" x14ac:dyDescent="0.4">
      <c r="A589" s="81" t="s">
        <v>261</v>
      </c>
      <c r="B589" s="171" t="s">
        <v>157</v>
      </c>
      <c r="C589" s="169">
        <v>589.16</v>
      </c>
      <c r="D589" s="142">
        <v>76</v>
      </c>
      <c r="E589" s="60">
        <f t="shared" ref="E589" si="633">+C589*D589</f>
        <v>44776.159999999996</v>
      </c>
      <c r="F589" s="60">
        <f t="shared" ref="F589" si="634">+E589*7%</f>
        <v>3134.3312000000001</v>
      </c>
      <c r="G589" s="60">
        <f t="shared" ref="G589" si="635">+E589+F589</f>
        <v>47910.491199999997</v>
      </c>
      <c r="I589">
        <v>6901232</v>
      </c>
    </row>
    <row r="590" spans="1:9" ht="18" customHeight="1" thickBot="1" x14ac:dyDescent="0.35">
      <c r="A590" s="84"/>
      <c r="B590" s="17" t="s">
        <v>15</v>
      </c>
      <c r="C590" s="18">
        <f>SUM(C563:C589)</f>
        <v>16057.479999999996</v>
      </c>
      <c r="D590" s="19"/>
      <c r="E590" s="62">
        <f>SUM(E563:E589)</f>
        <v>1220368.4800000002</v>
      </c>
      <c r="F590" s="62">
        <f t="shared" ref="F590:G590" si="636">SUM(F563:F589)</f>
        <v>85425.793600000005</v>
      </c>
      <c r="G590" s="62">
        <f t="shared" si="636"/>
        <v>1305794.2736000002</v>
      </c>
    </row>
    <row r="591" spans="1:9" ht="18" customHeight="1" thickTop="1" x14ac:dyDescent="0.3">
      <c r="A591" s="85"/>
      <c r="B591" s="68"/>
      <c r="C591" s="69"/>
      <c r="D591" s="70"/>
      <c r="E591" s="71"/>
      <c r="F591" s="71"/>
      <c r="G591" s="71"/>
    </row>
    <row r="592" spans="1:9" ht="23.25" x14ac:dyDescent="0.3">
      <c r="A592" s="359" t="s">
        <v>119</v>
      </c>
      <c r="B592" s="359"/>
      <c r="C592" s="359"/>
      <c r="D592" s="359"/>
      <c r="E592" s="359"/>
      <c r="F592" s="359"/>
      <c r="G592" s="359"/>
    </row>
    <row r="593" spans="1:9" ht="18" customHeight="1" x14ac:dyDescent="0.3">
      <c r="A593" s="1" t="s">
        <v>2</v>
      </c>
      <c r="B593" s="2" t="s">
        <v>3</v>
      </c>
      <c r="C593" s="2" t="s">
        <v>108</v>
      </c>
      <c r="D593" s="3" t="s">
        <v>5</v>
      </c>
      <c r="E593" s="2" t="s">
        <v>6</v>
      </c>
      <c r="F593" s="2" t="s">
        <v>7</v>
      </c>
      <c r="G593" s="2" t="s">
        <v>8</v>
      </c>
    </row>
    <row r="594" spans="1:9" ht="18" customHeight="1" x14ac:dyDescent="0.4">
      <c r="A594" s="81" t="s">
        <v>192</v>
      </c>
      <c r="B594" s="171" t="s">
        <v>135</v>
      </c>
      <c r="C594" s="169">
        <v>4828.5</v>
      </c>
      <c r="D594" s="142">
        <v>48</v>
      </c>
      <c r="E594" s="60">
        <f>+C594*D594</f>
        <v>231768</v>
      </c>
      <c r="F594" s="60">
        <f>+E594*7%</f>
        <v>16223.760000000002</v>
      </c>
      <c r="G594" s="60">
        <f>+E594+F594</f>
        <v>247991.76</v>
      </c>
      <c r="I594">
        <v>6901024</v>
      </c>
    </row>
    <row r="595" spans="1:9" ht="18" customHeight="1" x14ac:dyDescent="0.4">
      <c r="A595" s="81" t="s">
        <v>192</v>
      </c>
      <c r="B595" s="171" t="s">
        <v>135</v>
      </c>
      <c r="C595" s="169">
        <v>158.1</v>
      </c>
      <c r="D595" s="142">
        <v>48</v>
      </c>
      <c r="E595" s="60">
        <f>+C595*D595</f>
        <v>7588.7999999999993</v>
      </c>
      <c r="F595" s="60">
        <f>+E595*7%</f>
        <v>531.21600000000001</v>
      </c>
      <c r="G595" s="60">
        <f>+E595+F595</f>
        <v>8120.0159999999996</v>
      </c>
      <c r="I595">
        <v>6901023</v>
      </c>
    </row>
    <row r="596" spans="1:9" ht="18" customHeight="1" x14ac:dyDescent="0.4">
      <c r="A596" s="81" t="s">
        <v>249</v>
      </c>
      <c r="B596" s="171" t="s">
        <v>135</v>
      </c>
      <c r="C596" s="169">
        <v>5016.3500000000004</v>
      </c>
      <c r="D596" s="142">
        <v>48</v>
      </c>
      <c r="E596" s="60">
        <f>+C596*D596</f>
        <v>240784.80000000002</v>
      </c>
      <c r="F596" s="60">
        <f>+E596*7%</f>
        <v>16854.936000000002</v>
      </c>
      <c r="G596" s="60">
        <f>+E596+F596</f>
        <v>257639.73600000003</v>
      </c>
      <c r="I596">
        <v>6901185</v>
      </c>
    </row>
    <row r="597" spans="1:9" ht="18" customHeight="1" x14ac:dyDescent="0.4">
      <c r="A597" s="81" t="s">
        <v>259</v>
      </c>
      <c r="B597" s="171" t="s">
        <v>135</v>
      </c>
      <c r="C597" s="169">
        <v>4970.5</v>
      </c>
      <c r="D597" s="142">
        <v>48</v>
      </c>
      <c r="E597" s="60">
        <f>+C597*D597</f>
        <v>238584</v>
      </c>
      <c r="F597" s="60">
        <f>+E597*7%</f>
        <v>16700.88</v>
      </c>
      <c r="G597" s="60">
        <f>+E597+F597</f>
        <v>255284.88</v>
      </c>
      <c r="I597">
        <v>6901224</v>
      </c>
    </row>
    <row r="598" spans="1:9" ht="18" customHeight="1" thickBot="1" x14ac:dyDescent="0.35">
      <c r="A598" s="84"/>
      <c r="B598" s="17" t="s">
        <v>15</v>
      </c>
      <c r="C598" s="18">
        <f>SUM(C594:C597)</f>
        <v>14973.45</v>
      </c>
      <c r="D598" s="19"/>
      <c r="E598" s="62">
        <f>SUM(E594:E597)</f>
        <v>718725.6</v>
      </c>
      <c r="F598" s="62">
        <f t="shared" ref="F598:G598" si="637">SUM(F594:F597)</f>
        <v>50310.792000000001</v>
      </c>
      <c r="G598" s="62">
        <f t="shared" si="637"/>
        <v>769036.39199999999</v>
      </c>
    </row>
    <row r="599" spans="1:9" ht="18" customHeight="1" thickTop="1" x14ac:dyDescent="0.3">
      <c r="A599" s="85"/>
      <c r="B599" s="68"/>
      <c r="C599" s="69"/>
      <c r="D599" s="70"/>
      <c r="E599" s="71"/>
      <c r="F599" s="71"/>
      <c r="G599" s="71"/>
    </row>
    <row r="600" spans="1:9" ht="23.25" x14ac:dyDescent="0.3">
      <c r="A600" s="359" t="s">
        <v>120</v>
      </c>
      <c r="B600" s="359"/>
      <c r="C600" s="359"/>
      <c r="D600" s="359"/>
      <c r="E600" s="359"/>
      <c r="F600" s="359"/>
      <c r="G600" s="359"/>
    </row>
    <row r="601" spans="1:9" ht="18" customHeight="1" x14ac:dyDescent="0.3">
      <c r="A601" s="1" t="s">
        <v>2</v>
      </c>
      <c r="B601" s="2" t="s">
        <v>3</v>
      </c>
      <c r="C601" s="2" t="s">
        <v>4</v>
      </c>
      <c r="D601" s="3" t="s">
        <v>5</v>
      </c>
      <c r="E601" s="2" t="s">
        <v>6</v>
      </c>
      <c r="F601" s="2" t="s">
        <v>7</v>
      </c>
      <c r="G601" s="2" t="s">
        <v>8</v>
      </c>
    </row>
    <row r="602" spans="1:9" ht="18" customHeight="1" x14ac:dyDescent="0.4">
      <c r="A602" s="81" t="s">
        <v>216</v>
      </c>
      <c r="B602" s="171" t="s">
        <v>121</v>
      </c>
      <c r="C602" s="169">
        <v>1026.5</v>
      </c>
      <c r="D602" s="142">
        <v>76</v>
      </c>
      <c r="E602" s="60">
        <f>+C602*D602</f>
        <v>78014</v>
      </c>
      <c r="F602" s="60">
        <f>+E602*7%</f>
        <v>5460.9800000000005</v>
      </c>
      <c r="G602" s="60">
        <f>+E602+F602</f>
        <v>83474.98</v>
      </c>
      <c r="I602">
        <v>6901085</v>
      </c>
    </row>
    <row r="603" spans="1:9" ht="18" customHeight="1" thickBot="1" x14ac:dyDescent="0.35">
      <c r="A603" s="84"/>
      <c r="B603" s="17" t="s">
        <v>15</v>
      </c>
      <c r="C603" s="18">
        <f>SUM(C602:C602)</f>
        <v>1026.5</v>
      </c>
      <c r="D603" s="19"/>
      <c r="E603" s="62">
        <f>SUM(E602:E602)</f>
        <v>78014</v>
      </c>
      <c r="F603" s="62">
        <f t="shared" ref="F603:G603" si="638">SUM(F602:F602)</f>
        <v>5460.9800000000005</v>
      </c>
      <c r="G603" s="62">
        <f t="shared" si="638"/>
        <v>83474.98</v>
      </c>
    </row>
    <row r="604" spans="1:9" ht="18" customHeight="1" thickTop="1" x14ac:dyDescent="0.3">
      <c r="A604" s="85"/>
      <c r="B604" s="68"/>
      <c r="C604" s="69"/>
      <c r="D604" s="70"/>
      <c r="E604" s="71"/>
      <c r="F604" s="71"/>
      <c r="G604" s="71"/>
    </row>
    <row r="605" spans="1:9" ht="23.25" x14ac:dyDescent="0.3">
      <c r="A605" s="359" t="s">
        <v>131</v>
      </c>
      <c r="B605" s="359"/>
      <c r="C605" s="359"/>
      <c r="D605" s="359"/>
      <c r="E605" s="359"/>
      <c r="F605" s="359"/>
      <c r="G605" s="359"/>
    </row>
    <row r="606" spans="1:9" ht="18" customHeight="1" x14ac:dyDescent="0.3">
      <c r="A606" s="1" t="s">
        <v>2</v>
      </c>
      <c r="B606" s="2" t="s">
        <v>3</v>
      </c>
      <c r="C606" s="2" t="s">
        <v>4</v>
      </c>
      <c r="D606" s="3" t="s">
        <v>5</v>
      </c>
      <c r="E606" s="2" t="s">
        <v>6</v>
      </c>
      <c r="F606" s="2" t="s">
        <v>7</v>
      </c>
      <c r="G606" s="2" t="s">
        <v>8</v>
      </c>
    </row>
    <row r="607" spans="1:9" ht="18" customHeight="1" x14ac:dyDescent="0.4">
      <c r="A607" s="81" t="s">
        <v>277</v>
      </c>
      <c r="B607" s="171" t="s">
        <v>132</v>
      </c>
      <c r="C607" s="168">
        <v>1951.65</v>
      </c>
      <c r="D607" s="83">
        <v>52</v>
      </c>
      <c r="E607" s="60">
        <f>+C607*D607</f>
        <v>101485.8</v>
      </c>
      <c r="F607" s="60">
        <f>+E607*7%</f>
        <v>7104.0060000000012</v>
      </c>
      <c r="G607" s="60">
        <f>+E607+F607</f>
        <v>108589.80600000001</v>
      </c>
      <c r="I607">
        <v>6901289</v>
      </c>
    </row>
    <row r="608" spans="1:9" ht="18" customHeight="1" thickBot="1" x14ac:dyDescent="0.35">
      <c r="A608" s="84"/>
      <c r="B608" s="17" t="s">
        <v>15</v>
      </c>
      <c r="C608" s="18">
        <f>SUM(C607:C607)</f>
        <v>1951.65</v>
      </c>
      <c r="D608" s="19"/>
      <c r="E608" s="62">
        <f>SUM(E607:E607)</f>
        <v>101485.8</v>
      </c>
      <c r="F608" s="62">
        <f t="shared" ref="F608:G608" si="639">SUM(F607:F607)</f>
        <v>7104.0060000000012</v>
      </c>
      <c r="G608" s="62">
        <f t="shared" si="639"/>
        <v>108589.80600000001</v>
      </c>
    </row>
    <row r="609" spans="1:9" ht="18" customHeight="1" thickTop="1" x14ac:dyDescent="0.3">
      <c r="A609" s="85"/>
      <c r="B609" s="68"/>
      <c r="C609" s="69"/>
      <c r="D609" s="70"/>
      <c r="E609" s="71"/>
      <c r="F609" s="71"/>
      <c r="G609" s="71"/>
    </row>
    <row r="610" spans="1:9" ht="23.25" x14ac:dyDescent="0.3">
      <c r="A610" s="359" t="s">
        <v>138</v>
      </c>
      <c r="B610" s="359"/>
      <c r="C610" s="359"/>
      <c r="D610" s="359"/>
      <c r="E610" s="359"/>
      <c r="F610" s="359"/>
      <c r="G610" s="359"/>
    </row>
    <row r="611" spans="1:9" ht="18" customHeight="1" x14ac:dyDescent="0.3">
      <c r="A611" s="1" t="s">
        <v>2</v>
      </c>
      <c r="B611" s="2" t="s">
        <v>3</v>
      </c>
      <c r="C611" s="2" t="s">
        <v>76</v>
      </c>
      <c r="D611" s="3" t="s">
        <v>5</v>
      </c>
      <c r="E611" s="2" t="s">
        <v>6</v>
      </c>
      <c r="F611" s="2" t="s">
        <v>7</v>
      </c>
      <c r="G611" s="2" t="s">
        <v>8</v>
      </c>
    </row>
    <row r="612" spans="1:9" ht="18" customHeight="1" x14ac:dyDescent="0.4">
      <c r="A612" s="81" t="s">
        <v>286</v>
      </c>
      <c r="B612" s="171" t="s">
        <v>134</v>
      </c>
      <c r="C612" s="169">
        <v>120</v>
      </c>
      <c r="D612" s="142">
        <v>115</v>
      </c>
      <c r="E612" s="60">
        <f>+C612*D612</f>
        <v>13800</v>
      </c>
      <c r="F612" s="60">
        <f>+E612*7%</f>
        <v>966.00000000000011</v>
      </c>
      <c r="G612" s="60">
        <f>+E612+F612</f>
        <v>14766</v>
      </c>
      <c r="I612">
        <v>6901346</v>
      </c>
    </row>
    <row r="613" spans="1:9" ht="18" customHeight="1" thickBot="1" x14ac:dyDescent="0.35">
      <c r="A613" s="84"/>
      <c r="B613" s="17" t="s">
        <v>15</v>
      </c>
      <c r="C613" s="18">
        <f>SUM(C612:C612)</f>
        <v>120</v>
      </c>
      <c r="D613" s="19"/>
      <c r="E613" s="62">
        <f>SUM(E612:E612)</f>
        <v>13800</v>
      </c>
      <c r="F613" s="62">
        <f t="shared" ref="F613:G613" si="640">SUM(F612:F612)</f>
        <v>966.00000000000011</v>
      </c>
      <c r="G613" s="62">
        <f t="shared" si="640"/>
        <v>14766</v>
      </c>
    </row>
    <row r="614" spans="1:9" ht="18" customHeight="1" thickTop="1" x14ac:dyDescent="0.3">
      <c r="A614" s="85"/>
      <c r="B614" s="68"/>
      <c r="C614" s="69"/>
      <c r="D614" s="70"/>
      <c r="E614" s="71"/>
      <c r="F614" s="71"/>
      <c r="G614" s="71"/>
    </row>
    <row r="615" spans="1:9" s="30" customFormat="1" ht="12" customHeight="1" thickBot="1" x14ac:dyDescent="0.55000000000000004">
      <c r="A615" s="21"/>
      <c r="B615" s="147" t="s">
        <v>89</v>
      </c>
      <c r="C615" s="148">
        <f>+C613</f>
        <v>120</v>
      </c>
      <c r="D615" s="149">
        <v>2.0699999999999998</v>
      </c>
      <c r="E615" s="188">
        <f>+C615*D615</f>
        <v>248.39999999999998</v>
      </c>
      <c r="F615" s="23"/>
      <c r="G615" s="23"/>
    </row>
    <row r="616" spans="1:9" s="30" customFormat="1" ht="12.75" customHeight="1" thickTop="1" x14ac:dyDescent="0.5">
      <c r="A616" s="85"/>
      <c r="B616" s="68"/>
      <c r="C616" s="69"/>
      <c r="D616" s="70"/>
      <c r="E616" s="71"/>
      <c r="F616" s="71"/>
      <c r="G616" s="71"/>
    </row>
    <row r="617" spans="1:9" ht="26.25" x14ac:dyDescent="0.3">
      <c r="A617" s="357" t="s">
        <v>145</v>
      </c>
      <c r="B617" s="357"/>
      <c r="C617" s="357"/>
      <c r="D617" s="357"/>
      <c r="E617" s="357"/>
      <c r="F617" s="357"/>
      <c r="G617" s="357"/>
    </row>
    <row r="618" spans="1:9" ht="18" customHeight="1" x14ac:dyDescent="0.3">
      <c r="A618" s="1" t="s">
        <v>2</v>
      </c>
      <c r="B618" s="2" t="s">
        <v>3</v>
      </c>
      <c r="C618" s="2" t="s">
        <v>4</v>
      </c>
      <c r="D618" s="3" t="s">
        <v>5</v>
      </c>
      <c r="E618" s="2" t="s">
        <v>6</v>
      </c>
      <c r="F618" s="2" t="s">
        <v>7</v>
      </c>
      <c r="G618" s="2" t="s">
        <v>8</v>
      </c>
    </row>
    <row r="619" spans="1:9" ht="18" customHeight="1" x14ac:dyDescent="0.4">
      <c r="A619" s="81" t="s">
        <v>264</v>
      </c>
      <c r="B619" s="171" t="s">
        <v>144</v>
      </c>
      <c r="C619" s="169">
        <v>286.14999999999998</v>
      </c>
      <c r="D619" s="142">
        <v>68</v>
      </c>
      <c r="E619" s="60">
        <f>+C619*D619</f>
        <v>19458.199999999997</v>
      </c>
      <c r="F619" s="60">
        <f>+E619*7%</f>
        <v>1362.0739999999998</v>
      </c>
      <c r="G619" s="60">
        <f>+E619+F619</f>
        <v>20820.273999999998</v>
      </c>
      <c r="I619">
        <v>6901252</v>
      </c>
    </row>
    <row r="620" spans="1:9" ht="18" customHeight="1" thickBot="1" x14ac:dyDescent="0.35">
      <c r="A620" s="84"/>
      <c r="B620" s="17" t="s">
        <v>15</v>
      </c>
      <c r="C620" s="18">
        <f>SUM(C619:C619)</f>
        <v>286.14999999999998</v>
      </c>
      <c r="D620" s="19"/>
      <c r="E620" s="62">
        <f>SUM(E619:E619)</f>
        <v>19458.199999999997</v>
      </c>
      <c r="F620" s="62">
        <f t="shared" ref="F620:G620" si="641">SUM(F619:F619)</f>
        <v>1362.0739999999998</v>
      </c>
      <c r="G620" s="62">
        <f t="shared" si="641"/>
        <v>20820.273999999998</v>
      </c>
    </row>
    <row r="621" spans="1:9" ht="18" customHeight="1" thickTop="1" x14ac:dyDescent="0.3">
      <c r="A621" s="69"/>
      <c r="B621" s="69"/>
      <c r="C621" s="69"/>
      <c r="D621" s="70"/>
      <c r="E621" s="71"/>
      <c r="F621" s="71"/>
      <c r="G621" s="71"/>
    </row>
    <row r="622" spans="1:9" ht="26.25" x14ac:dyDescent="0.3">
      <c r="A622" s="357" t="s">
        <v>150</v>
      </c>
      <c r="B622" s="357"/>
      <c r="C622" s="357"/>
      <c r="D622" s="357"/>
      <c r="E622" s="357"/>
      <c r="F622" s="357"/>
      <c r="G622" s="357"/>
    </row>
    <row r="623" spans="1:9" ht="18" customHeight="1" x14ac:dyDescent="0.3">
      <c r="A623" s="1" t="s">
        <v>2</v>
      </c>
      <c r="B623" s="2" t="s">
        <v>3</v>
      </c>
      <c r="C623" s="2" t="s">
        <v>4</v>
      </c>
      <c r="D623" s="3" t="s">
        <v>5</v>
      </c>
      <c r="E623" s="2" t="s">
        <v>6</v>
      </c>
      <c r="F623" s="2" t="s">
        <v>7</v>
      </c>
      <c r="G623" s="2" t="s">
        <v>8</v>
      </c>
    </row>
    <row r="624" spans="1:9" ht="18" customHeight="1" x14ac:dyDescent="0.4">
      <c r="A624" s="81" t="s">
        <v>192</v>
      </c>
      <c r="B624" s="171" t="s">
        <v>151</v>
      </c>
      <c r="C624" s="169">
        <v>410.69</v>
      </c>
      <c r="D624" s="142">
        <v>75</v>
      </c>
      <c r="E624" s="60">
        <f>+C624*D624</f>
        <v>30801.75</v>
      </c>
      <c r="F624" s="60">
        <f>+E624*7%</f>
        <v>2156.1225000000004</v>
      </c>
      <c r="G624" s="60">
        <f>+E624+F624</f>
        <v>32957.872499999998</v>
      </c>
      <c r="I624">
        <v>6901012</v>
      </c>
    </row>
    <row r="625" spans="1:9" ht="18" customHeight="1" x14ac:dyDescent="0.4">
      <c r="A625" s="81" t="s">
        <v>229</v>
      </c>
      <c r="B625" s="171" t="s">
        <v>151</v>
      </c>
      <c r="C625" s="169">
        <v>820.45</v>
      </c>
      <c r="D625" s="142">
        <v>75</v>
      </c>
      <c r="E625" s="60">
        <f>+C625*D625</f>
        <v>61533.75</v>
      </c>
      <c r="F625" s="60">
        <f>+E625*7%</f>
        <v>4307.3625000000002</v>
      </c>
      <c r="G625" s="60">
        <f>+E625+F625</f>
        <v>65841.112500000003</v>
      </c>
      <c r="I625">
        <v>6901115</v>
      </c>
    </row>
    <row r="626" spans="1:9" ht="18" customHeight="1" x14ac:dyDescent="0.4">
      <c r="A626" s="81" t="s">
        <v>249</v>
      </c>
      <c r="B626" s="171" t="s">
        <v>151</v>
      </c>
      <c r="C626" s="169">
        <v>177.2</v>
      </c>
      <c r="D626" s="142">
        <v>75</v>
      </c>
      <c r="E626" s="6">
        <f>+C626*D626</f>
        <v>13290</v>
      </c>
      <c r="F626" s="6">
        <f>+E626*7%</f>
        <v>930.30000000000007</v>
      </c>
      <c r="G626" s="60">
        <f>+E626+F626</f>
        <v>14220.3</v>
      </c>
      <c r="I626">
        <v>6901190</v>
      </c>
    </row>
    <row r="627" spans="1:9" ht="18" customHeight="1" thickBot="1" x14ac:dyDescent="0.35">
      <c r="A627" s="84"/>
      <c r="B627" s="17" t="s">
        <v>15</v>
      </c>
      <c r="C627" s="18">
        <f>SUM(C624:C626)</f>
        <v>1408.3400000000001</v>
      </c>
      <c r="D627" s="19"/>
      <c r="E627" s="20">
        <f>SUM(E624:E626)</f>
        <v>105625.5</v>
      </c>
      <c r="F627" s="20">
        <f t="shared" ref="F627:G627" si="642">SUM(F624:F626)</f>
        <v>7393.7850000000008</v>
      </c>
      <c r="G627" s="62">
        <f t="shared" si="642"/>
        <v>113019.285</v>
      </c>
    </row>
    <row r="628" spans="1:9" ht="18" customHeight="1" thickTop="1" x14ac:dyDescent="0.3">
      <c r="A628" s="85"/>
      <c r="B628" s="68"/>
      <c r="C628" s="69"/>
      <c r="D628" s="70"/>
      <c r="E628" s="187"/>
      <c r="F628" s="187"/>
      <c r="G628" s="71"/>
    </row>
    <row r="629" spans="1:9" ht="26.25" x14ac:dyDescent="0.3">
      <c r="A629" s="357" t="s">
        <v>160</v>
      </c>
      <c r="B629" s="357"/>
      <c r="C629" s="357"/>
      <c r="D629" s="357"/>
      <c r="E629" s="357"/>
      <c r="F629" s="357"/>
      <c r="G629" s="357"/>
    </row>
    <row r="630" spans="1:9" ht="18" customHeight="1" x14ac:dyDescent="0.3">
      <c r="A630" s="1" t="s">
        <v>2</v>
      </c>
      <c r="B630" s="2" t="s">
        <v>3</v>
      </c>
      <c r="C630" s="2" t="s">
        <v>86</v>
      </c>
      <c r="D630" s="3" t="s">
        <v>5</v>
      </c>
      <c r="E630" s="2" t="s">
        <v>6</v>
      </c>
      <c r="F630" s="2" t="s">
        <v>7</v>
      </c>
      <c r="G630" s="2" t="s">
        <v>8</v>
      </c>
    </row>
    <row r="631" spans="1:9" ht="18" customHeight="1" x14ac:dyDescent="0.4">
      <c r="A631" s="81" t="s">
        <v>257</v>
      </c>
      <c r="B631" s="171" t="s">
        <v>161</v>
      </c>
      <c r="C631" s="169">
        <v>500</v>
      </c>
      <c r="D631" s="142">
        <v>39</v>
      </c>
      <c r="E631" s="60">
        <f>+C631*D631</f>
        <v>19500</v>
      </c>
      <c r="F631" s="60">
        <f>+E631*7%</f>
        <v>1365.0000000000002</v>
      </c>
      <c r="G631" s="60">
        <f>+E631+F631</f>
        <v>20865</v>
      </c>
      <c r="I631">
        <v>6901214</v>
      </c>
    </row>
    <row r="632" spans="1:9" ht="18" customHeight="1" thickBot="1" x14ac:dyDescent="0.35">
      <c r="A632" s="84"/>
      <c r="B632" s="17" t="s">
        <v>15</v>
      </c>
      <c r="C632" s="18">
        <f>SUM(C631:C631)</f>
        <v>500</v>
      </c>
      <c r="D632" s="19"/>
      <c r="E632" s="62">
        <f>SUM(E631:E631)</f>
        <v>19500</v>
      </c>
      <c r="F632" s="62">
        <f>SUM(F631:F631)</f>
        <v>1365.0000000000002</v>
      </c>
      <c r="G632" s="62">
        <f>SUM(G631:G631)</f>
        <v>20865</v>
      </c>
    </row>
    <row r="633" spans="1:9" ht="18" customHeight="1" thickTop="1" x14ac:dyDescent="0.3">
      <c r="A633" s="69"/>
      <c r="B633" s="69"/>
      <c r="C633" s="69"/>
      <c r="D633" s="70"/>
      <c r="E633" s="71"/>
      <c r="F633" s="71"/>
      <c r="G633" s="71"/>
    </row>
    <row r="634" spans="1:9" s="202" customFormat="1" ht="18" customHeight="1" thickBot="1" x14ac:dyDescent="0.45">
      <c r="A634" s="196"/>
      <c r="B634" s="22" t="s">
        <v>313</v>
      </c>
      <c r="C634" s="197">
        <v>0</v>
      </c>
      <c r="D634" s="198">
        <v>0.76</v>
      </c>
      <c r="E634" s="199">
        <f>C634*D634</f>
        <v>0</v>
      </c>
      <c r="F634" s="200">
        <f>SUM(E634:E635)</f>
        <v>251.14999999999998</v>
      </c>
      <c r="G634" s="201"/>
    </row>
    <row r="635" spans="1:9" s="202" customFormat="1" ht="18" customHeight="1" thickTop="1" x14ac:dyDescent="0.4">
      <c r="A635" s="196"/>
      <c r="B635" s="22" t="s">
        <v>314</v>
      </c>
      <c r="C635" s="197">
        <f>C632</f>
        <v>500</v>
      </c>
      <c r="D635" s="198">
        <v>0.50229999999999997</v>
      </c>
      <c r="E635" s="199">
        <f>C635*D635</f>
        <v>251.14999999999998</v>
      </c>
      <c r="F635" s="201"/>
      <c r="G635" s="201"/>
    </row>
    <row r="636" spans="1:9" s="30" customFormat="1" ht="12.75" customHeight="1" x14ac:dyDescent="0.5">
      <c r="A636" s="78"/>
      <c r="B636" s="22"/>
      <c r="C636" s="22"/>
      <c r="D636" s="198"/>
      <c r="E636" s="74"/>
      <c r="F636" s="22"/>
      <c r="G636" s="22"/>
    </row>
    <row r="637" spans="1:9" ht="26.25" x14ac:dyDescent="0.3">
      <c r="A637" s="357" t="s">
        <v>170</v>
      </c>
      <c r="B637" s="357"/>
      <c r="C637" s="357"/>
      <c r="D637" s="357"/>
      <c r="E637" s="357"/>
      <c r="F637" s="357"/>
      <c r="G637" s="357"/>
    </row>
    <row r="638" spans="1:9" ht="18" customHeight="1" x14ac:dyDescent="0.3">
      <c r="A638" s="1" t="s">
        <v>2</v>
      </c>
      <c r="B638" s="2" t="s">
        <v>3</v>
      </c>
      <c r="C638" s="2" t="s">
        <v>4</v>
      </c>
      <c r="D638" s="3" t="s">
        <v>5</v>
      </c>
      <c r="E638" s="2" t="s">
        <v>6</v>
      </c>
      <c r="F638" s="2" t="s">
        <v>7</v>
      </c>
      <c r="G638" s="2" t="s">
        <v>8</v>
      </c>
    </row>
    <row r="639" spans="1:9" ht="18" customHeight="1" x14ac:dyDescent="0.4">
      <c r="A639" s="81" t="s">
        <v>280</v>
      </c>
      <c r="B639" s="171" t="s">
        <v>172</v>
      </c>
      <c r="C639" s="169">
        <v>190.2</v>
      </c>
      <c r="D639" s="142">
        <v>74</v>
      </c>
      <c r="E639" s="60">
        <f>+C639*D639</f>
        <v>14074.8</v>
      </c>
      <c r="F639" s="60">
        <f>+E639*7%</f>
        <v>985.23599999999999</v>
      </c>
      <c r="G639" s="60">
        <f>+E639+F639</f>
        <v>15060.036</v>
      </c>
      <c r="I639">
        <v>6901335</v>
      </c>
    </row>
    <row r="640" spans="1:9" ht="18" customHeight="1" x14ac:dyDescent="0.4">
      <c r="A640" s="81" t="s">
        <v>280</v>
      </c>
      <c r="B640" s="171" t="s">
        <v>171</v>
      </c>
      <c r="C640" s="169">
        <v>196.4</v>
      </c>
      <c r="D640" s="142">
        <v>74</v>
      </c>
      <c r="E640" s="60">
        <f>+C640*D640</f>
        <v>14533.6</v>
      </c>
      <c r="F640" s="60">
        <f>+E640*7%</f>
        <v>1017.3520000000001</v>
      </c>
      <c r="G640" s="60">
        <f>+E640+F640</f>
        <v>15550.952000000001</v>
      </c>
      <c r="I640">
        <v>6901334</v>
      </c>
    </row>
    <row r="641" spans="1:9" ht="18" customHeight="1" thickBot="1" x14ac:dyDescent="0.35">
      <c r="A641" s="84"/>
      <c r="B641" s="17" t="s">
        <v>15</v>
      </c>
      <c r="C641" s="18">
        <f>SUM(C639:C640)</f>
        <v>386.6</v>
      </c>
      <c r="D641" s="19"/>
      <c r="E641" s="62">
        <f>SUM(E639:E640)</f>
        <v>28608.400000000001</v>
      </c>
      <c r="F641" s="62">
        <f t="shared" ref="F641:G641" si="643">SUM(F639:F640)</f>
        <v>2002.5880000000002</v>
      </c>
      <c r="G641" s="62">
        <f t="shared" si="643"/>
        <v>30610.988000000001</v>
      </c>
    </row>
    <row r="642" spans="1:9" ht="18" customHeight="1" thickTop="1" x14ac:dyDescent="0.3">
      <c r="A642" s="69"/>
      <c r="B642" s="69"/>
      <c r="C642" s="69"/>
      <c r="D642" s="70"/>
      <c r="E642" s="71"/>
      <c r="F642" s="71"/>
      <c r="G642" s="71"/>
    </row>
    <row r="643" spans="1:9" ht="26.25" x14ac:dyDescent="0.3">
      <c r="A643" s="357" t="s">
        <v>177</v>
      </c>
      <c r="B643" s="357"/>
      <c r="C643" s="357"/>
      <c r="D643" s="357"/>
      <c r="E643" s="357"/>
      <c r="F643" s="357"/>
      <c r="G643" s="357"/>
    </row>
    <row r="644" spans="1:9" ht="18" customHeight="1" x14ac:dyDescent="0.3">
      <c r="A644" s="1" t="s">
        <v>2</v>
      </c>
      <c r="B644" s="2" t="s">
        <v>3</v>
      </c>
      <c r="C644" s="2" t="s">
        <v>4</v>
      </c>
      <c r="D644" s="3" t="s">
        <v>5</v>
      </c>
      <c r="E644" s="2" t="s">
        <v>6</v>
      </c>
      <c r="F644" s="2" t="s">
        <v>7</v>
      </c>
      <c r="G644" s="2" t="s">
        <v>8</v>
      </c>
    </row>
    <row r="645" spans="1:9" ht="18" customHeight="1" x14ac:dyDescent="0.4">
      <c r="A645" s="81" t="s">
        <v>286</v>
      </c>
      <c r="B645" s="171" t="s">
        <v>178</v>
      </c>
      <c r="C645" s="169">
        <v>1781.25</v>
      </c>
      <c r="D645" s="142">
        <v>63</v>
      </c>
      <c r="E645" s="60">
        <f>+C645*D645</f>
        <v>112218.75</v>
      </c>
      <c r="F645" s="60">
        <f>+E645*7%</f>
        <v>7855.3125000000009</v>
      </c>
      <c r="G645" s="60">
        <f>+E645+F645</f>
        <v>120074.0625</v>
      </c>
      <c r="I645">
        <v>6901345</v>
      </c>
    </row>
    <row r="646" spans="1:9" ht="18" customHeight="1" x14ac:dyDescent="0.4">
      <c r="A646" s="81" t="s">
        <v>216</v>
      </c>
      <c r="B646" s="171" t="s">
        <v>219</v>
      </c>
      <c r="C646" s="169">
        <v>1804.95</v>
      </c>
      <c r="D646" s="142">
        <v>63</v>
      </c>
      <c r="E646" s="60">
        <f>+C646*D646</f>
        <v>113711.85</v>
      </c>
      <c r="F646" s="60">
        <f>+E646*7%</f>
        <v>7959.8295000000007</v>
      </c>
      <c r="G646" s="60">
        <f>+E646+F646</f>
        <v>121671.67950000001</v>
      </c>
      <c r="I646">
        <v>6901097</v>
      </c>
    </row>
    <row r="647" spans="1:9" ht="18" customHeight="1" thickBot="1" x14ac:dyDescent="0.35">
      <c r="A647" s="84"/>
      <c r="B647" s="17" t="s">
        <v>15</v>
      </c>
      <c r="C647" s="18">
        <f>SUM(C645:C646)</f>
        <v>3586.2</v>
      </c>
      <c r="D647" s="19"/>
      <c r="E647" s="62">
        <f>SUM(E645:E646)</f>
        <v>225930.6</v>
      </c>
      <c r="F647" s="62">
        <f t="shared" ref="F647:G647" si="644">SUM(F645:F646)</f>
        <v>15815.142000000002</v>
      </c>
      <c r="G647" s="62">
        <f t="shared" si="644"/>
        <v>241745.74200000003</v>
      </c>
    </row>
    <row r="648" spans="1:9" ht="18" customHeight="1" thickTop="1" x14ac:dyDescent="0.3">
      <c r="A648" s="69"/>
      <c r="B648" s="69"/>
      <c r="C648" s="69"/>
      <c r="D648" s="70"/>
      <c r="E648" s="71"/>
      <c r="F648" s="71"/>
      <c r="G648" s="71"/>
    </row>
    <row r="649" spans="1:9" ht="26.25" x14ac:dyDescent="0.3">
      <c r="A649" s="357" t="s">
        <v>179</v>
      </c>
      <c r="B649" s="357"/>
      <c r="C649" s="357"/>
      <c r="D649" s="357"/>
      <c r="E649" s="357"/>
      <c r="F649" s="357"/>
      <c r="G649" s="357"/>
    </row>
    <row r="650" spans="1:9" ht="18" customHeight="1" x14ac:dyDescent="0.3">
      <c r="A650" s="1" t="s">
        <v>2</v>
      </c>
      <c r="B650" s="2" t="s">
        <v>3</v>
      </c>
      <c r="C650" s="2" t="s">
        <v>76</v>
      </c>
      <c r="D650" s="3" t="s">
        <v>5</v>
      </c>
      <c r="E650" s="2" t="s">
        <v>6</v>
      </c>
      <c r="F650" s="2" t="s">
        <v>7</v>
      </c>
      <c r="G650" s="2" t="s">
        <v>8</v>
      </c>
    </row>
    <row r="651" spans="1:9" ht="18" customHeight="1" x14ac:dyDescent="0.4">
      <c r="A651" s="81" t="s">
        <v>216</v>
      </c>
      <c r="B651" s="171" t="s">
        <v>215</v>
      </c>
      <c r="C651" s="169">
        <v>12</v>
      </c>
      <c r="D651" s="142">
        <v>95</v>
      </c>
      <c r="E651" s="60">
        <f>+C651*D651</f>
        <v>1140</v>
      </c>
      <c r="F651" s="60">
        <f>+E651*7%</f>
        <v>79.800000000000011</v>
      </c>
      <c r="G651" s="60">
        <f>+E651+F651</f>
        <v>1219.8</v>
      </c>
      <c r="I651">
        <v>6901100</v>
      </c>
    </row>
    <row r="652" spans="1:9" ht="18" customHeight="1" x14ac:dyDescent="0.4">
      <c r="A652" s="81" t="s">
        <v>315</v>
      </c>
      <c r="B652" s="171" t="s">
        <v>89</v>
      </c>
      <c r="C652" s="169">
        <v>24</v>
      </c>
      <c r="D652" s="142">
        <v>110</v>
      </c>
      <c r="E652" s="60">
        <f>+C652*D652</f>
        <v>2640</v>
      </c>
      <c r="F652" s="60">
        <f>+E652*7%</f>
        <v>184.8</v>
      </c>
      <c r="G652" s="60">
        <f>+E652+F652</f>
        <v>2824.8</v>
      </c>
      <c r="I652">
        <v>6901045</v>
      </c>
    </row>
    <row r="653" spans="1:9" ht="18" customHeight="1" x14ac:dyDescent="0.4">
      <c r="A653" s="81" t="s">
        <v>216</v>
      </c>
      <c r="B653" s="171" t="s">
        <v>89</v>
      </c>
      <c r="C653" s="169">
        <v>24</v>
      </c>
      <c r="D653" s="142">
        <v>110</v>
      </c>
      <c r="E653" s="60">
        <f>+C653*D653</f>
        <v>2640</v>
      </c>
      <c r="F653" s="60">
        <f>+E653*7%</f>
        <v>184.8</v>
      </c>
      <c r="G653" s="60">
        <f>+E653+F653</f>
        <v>2824.8</v>
      </c>
      <c r="I653">
        <v>6901100</v>
      </c>
    </row>
    <row r="654" spans="1:9" ht="18" customHeight="1" x14ac:dyDescent="0.4">
      <c r="A654" s="81" t="s">
        <v>249</v>
      </c>
      <c r="B654" s="171" t="s">
        <v>89</v>
      </c>
      <c r="C654" s="169">
        <v>30</v>
      </c>
      <c r="D654" s="142">
        <v>110</v>
      </c>
      <c r="E654" s="60">
        <f>+C654*D654</f>
        <v>3300</v>
      </c>
      <c r="F654" s="60">
        <f>+E654*7%</f>
        <v>231.00000000000003</v>
      </c>
      <c r="G654" s="60">
        <f>+E654+F654</f>
        <v>3531</v>
      </c>
      <c r="I654">
        <v>6901192</v>
      </c>
    </row>
    <row r="655" spans="1:9" ht="18" customHeight="1" x14ac:dyDescent="0.4">
      <c r="A655" s="81" t="s">
        <v>268</v>
      </c>
      <c r="B655" s="171" t="s">
        <v>89</v>
      </c>
      <c r="C655" s="169">
        <v>30</v>
      </c>
      <c r="D655" s="142">
        <v>110</v>
      </c>
      <c r="E655" s="6">
        <f>+C655*D655</f>
        <v>3300</v>
      </c>
      <c r="F655" s="6">
        <f>+E655*7%</f>
        <v>231.00000000000003</v>
      </c>
      <c r="G655" s="60">
        <f>+E655+F655</f>
        <v>3531</v>
      </c>
      <c r="I655">
        <v>6901279</v>
      </c>
    </row>
    <row r="656" spans="1:9" ht="18" customHeight="1" thickBot="1" x14ac:dyDescent="0.35">
      <c r="A656" s="84"/>
      <c r="B656" s="17" t="s">
        <v>15</v>
      </c>
      <c r="C656" s="18">
        <f>SUM(C651:C655)</f>
        <v>120</v>
      </c>
      <c r="D656" s="19"/>
      <c r="E656" s="20">
        <f>SUM(E651:E655)</f>
        <v>13020</v>
      </c>
      <c r="F656" s="20">
        <f t="shared" ref="F656:G656" si="645">SUM(F651:F655)</f>
        <v>911.40000000000009</v>
      </c>
      <c r="G656" s="62">
        <f t="shared" si="645"/>
        <v>13931.400000000001</v>
      </c>
    </row>
    <row r="657" spans="1:9" ht="18" customHeight="1" thickTop="1" x14ac:dyDescent="0.3">
      <c r="A657" s="69"/>
      <c r="B657" s="69"/>
      <c r="C657" s="69"/>
      <c r="D657" s="70"/>
      <c r="E657" s="187"/>
      <c r="F657" s="187"/>
      <c r="G657" s="71"/>
    </row>
    <row r="658" spans="1:9" ht="18" customHeight="1" thickBot="1" x14ac:dyDescent="0.45">
      <c r="A658" s="69"/>
      <c r="B658" s="203" t="s">
        <v>215</v>
      </c>
      <c r="C658" s="148">
        <f>C651</f>
        <v>12</v>
      </c>
      <c r="D658" s="149">
        <v>1.73</v>
      </c>
      <c r="E658" s="204">
        <f>+C658*D658</f>
        <v>20.759999999999998</v>
      </c>
      <c r="F658" s="200">
        <f>SUM(E658:E659)</f>
        <v>194.64</v>
      </c>
      <c r="G658" s="71"/>
    </row>
    <row r="659" spans="1:9" s="30" customFormat="1" ht="16.5" customHeight="1" thickTop="1" x14ac:dyDescent="0.5">
      <c r="A659" s="21"/>
      <c r="B659" s="147" t="s">
        <v>89</v>
      </c>
      <c r="C659" s="148">
        <f>C653+C654+C655</f>
        <v>84</v>
      </c>
      <c r="D659" s="149">
        <v>2.0699999999999998</v>
      </c>
      <c r="E659" s="204">
        <f>+C659*D659</f>
        <v>173.88</v>
      </c>
      <c r="F659" s="71"/>
      <c r="G659" s="23"/>
    </row>
    <row r="660" spans="1:9" s="30" customFormat="1" ht="12.75" customHeight="1" x14ac:dyDescent="0.5">
      <c r="A660" s="85"/>
      <c r="B660" s="68"/>
      <c r="C660" s="69"/>
      <c r="D660" s="70"/>
      <c r="E660" s="71"/>
      <c r="F660" s="71"/>
      <c r="G660" s="71"/>
    </row>
    <row r="661" spans="1:9" ht="26.25" x14ac:dyDescent="0.3">
      <c r="A661" s="357" t="s">
        <v>217</v>
      </c>
      <c r="B661" s="357"/>
      <c r="C661" s="357"/>
      <c r="D661" s="357"/>
      <c r="E661" s="357"/>
      <c r="F661" s="357"/>
      <c r="G661" s="357"/>
    </row>
    <row r="662" spans="1:9" ht="18" customHeight="1" x14ac:dyDescent="0.3">
      <c r="A662" s="1" t="s">
        <v>2</v>
      </c>
      <c r="B662" s="2" t="s">
        <v>3</v>
      </c>
      <c r="C662" s="2" t="s">
        <v>4</v>
      </c>
      <c r="D662" s="3" t="s">
        <v>5</v>
      </c>
      <c r="E662" s="2" t="s">
        <v>6</v>
      </c>
      <c r="F662" s="2" t="s">
        <v>7</v>
      </c>
      <c r="G662" s="2" t="s">
        <v>8</v>
      </c>
    </row>
    <row r="663" spans="1:9" ht="18" customHeight="1" x14ac:dyDescent="0.4">
      <c r="A663" s="81" t="s">
        <v>216</v>
      </c>
      <c r="B663" s="171" t="s">
        <v>148</v>
      </c>
      <c r="C663" s="169">
        <v>252.45</v>
      </c>
      <c r="D663" s="142">
        <v>56</v>
      </c>
      <c r="E663" s="60">
        <f>+C663*D663</f>
        <v>14137.199999999999</v>
      </c>
      <c r="F663" s="60">
        <f>+E663*7%</f>
        <v>989.60400000000004</v>
      </c>
      <c r="G663" s="60">
        <f>+E663+F663</f>
        <v>15126.803999999998</v>
      </c>
      <c r="I663">
        <v>6901099</v>
      </c>
    </row>
    <row r="664" spans="1:9" ht="18" customHeight="1" thickBot="1" x14ac:dyDescent="0.35">
      <c r="A664" s="84"/>
      <c r="B664" s="17" t="s">
        <v>15</v>
      </c>
      <c r="C664" s="18">
        <f>SUM(C663:C663)</f>
        <v>252.45</v>
      </c>
      <c r="D664" s="19"/>
      <c r="E664" s="62">
        <f>SUM(E663:E663)</f>
        <v>14137.199999999999</v>
      </c>
      <c r="F664" s="62">
        <f t="shared" ref="F664:G664" si="646">SUM(F663:F663)</f>
        <v>989.60400000000004</v>
      </c>
      <c r="G664" s="62">
        <f t="shared" si="646"/>
        <v>15126.803999999998</v>
      </c>
    </row>
    <row r="665" spans="1:9" ht="70.5" customHeight="1" thickTop="1" x14ac:dyDescent="0.3">
      <c r="A665" s="69"/>
      <c r="B665" s="69"/>
      <c r="C665" s="69"/>
      <c r="D665" s="70"/>
      <c r="E665" s="71"/>
      <c r="F665" s="71"/>
      <c r="G665" s="71"/>
    </row>
    <row r="666" spans="1:9" ht="26.25" x14ac:dyDescent="0.3">
      <c r="A666" s="357" t="s">
        <v>234</v>
      </c>
      <c r="B666" s="357"/>
      <c r="C666" s="357"/>
      <c r="D666" s="357"/>
      <c r="E666" s="357"/>
      <c r="F666" s="357"/>
      <c r="G666" s="357"/>
    </row>
    <row r="667" spans="1:9" ht="18" customHeight="1" x14ac:dyDescent="0.3">
      <c r="A667" s="1" t="s">
        <v>2</v>
      </c>
      <c r="B667" s="2" t="s">
        <v>3</v>
      </c>
      <c r="C667" s="2" t="s">
        <v>76</v>
      </c>
      <c r="D667" s="3" t="s">
        <v>5</v>
      </c>
      <c r="E667" s="2" t="s">
        <v>6</v>
      </c>
      <c r="F667" s="2" t="s">
        <v>7</v>
      </c>
      <c r="G667" s="2" t="s">
        <v>8</v>
      </c>
    </row>
    <row r="668" spans="1:9" ht="18" customHeight="1" x14ac:dyDescent="0.4">
      <c r="A668" s="81" t="s">
        <v>235</v>
      </c>
      <c r="B668" s="171" t="s">
        <v>89</v>
      </c>
      <c r="C668" s="169">
        <v>30</v>
      </c>
      <c r="D668" s="142">
        <v>115</v>
      </c>
      <c r="E668" s="60">
        <f>+C668*D668</f>
        <v>3450</v>
      </c>
      <c r="F668" s="60">
        <f>+E668*7%</f>
        <v>241.50000000000003</v>
      </c>
      <c r="G668" s="60">
        <f>+E668+F668</f>
        <v>3691.5</v>
      </c>
      <c r="I668">
        <v>6901141</v>
      </c>
    </row>
    <row r="669" spans="1:9" ht="18" customHeight="1" thickBot="1" x14ac:dyDescent="0.35">
      <c r="A669" s="84"/>
      <c r="B669" s="17" t="s">
        <v>15</v>
      </c>
      <c r="C669" s="18">
        <f>SUM(C668:C668)</f>
        <v>30</v>
      </c>
      <c r="D669" s="19"/>
      <c r="E669" s="62">
        <f>SUM(E668:E668)</f>
        <v>3450</v>
      </c>
      <c r="F669" s="62">
        <f t="shared" ref="F669:G669" si="647">SUM(F668:F668)</f>
        <v>241.50000000000003</v>
      </c>
      <c r="G669" s="62">
        <f t="shared" si="647"/>
        <v>3691.5</v>
      </c>
    </row>
    <row r="670" spans="1:9" ht="18" customHeight="1" thickTop="1" x14ac:dyDescent="0.3">
      <c r="A670" s="69"/>
      <c r="B670" s="69"/>
      <c r="C670" s="69"/>
      <c r="D670" s="70"/>
      <c r="E670" s="71"/>
      <c r="F670" s="71"/>
      <c r="G670" s="71"/>
    </row>
    <row r="671" spans="1:9" s="30" customFormat="1" ht="12" customHeight="1" thickBot="1" x14ac:dyDescent="0.55000000000000004">
      <c r="A671" s="21"/>
      <c r="B671" s="147" t="s">
        <v>89</v>
      </c>
      <c r="C671" s="148">
        <f>+C669</f>
        <v>30</v>
      </c>
      <c r="D671" s="149">
        <v>2.0699999999999998</v>
      </c>
      <c r="E671" s="188">
        <f>+C671*D671</f>
        <v>62.099999999999994</v>
      </c>
      <c r="F671" s="23"/>
      <c r="G671" s="23"/>
    </row>
    <row r="672" spans="1:9" s="30" customFormat="1" ht="12.75" customHeight="1" thickTop="1" x14ac:dyDescent="0.5">
      <c r="A672" s="85"/>
      <c r="B672" s="68"/>
      <c r="C672" s="69"/>
      <c r="D672" s="70"/>
      <c r="E672" s="71"/>
      <c r="F672" s="71"/>
      <c r="G672" s="71"/>
    </row>
    <row r="673" spans="1:9" ht="26.25" x14ac:dyDescent="0.3">
      <c r="A673" s="357" t="s">
        <v>239</v>
      </c>
      <c r="B673" s="357"/>
      <c r="C673" s="357"/>
      <c r="D673" s="357"/>
      <c r="E673" s="357"/>
      <c r="F673" s="357"/>
      <c r="G673" s="357"/>
    </row>
    <row r="674" spans="1:9" ht="18" customHeight="1" x14ac:dyDescent="0.3">
      <c r="A674" s="1" t="s">
        <v>2</v>
      </c>
      <c r="B674" s="2" t="s">
        <v>3</v>
      </c>
      <c r="C674" s="2" t="s">
        <v>4</v>
      </c>
      <c r="D674" s="3" t="s">
        <v>5</v>
      </c>
      <c r="E674" s="2" t="s">
        <v>6</v>
      </c>
      <c r="F674" s="2" t="s">
        <v>7</v>
      </c>
      <c r="G674" s="2" t="s">
        <v>8</v>
      </c>
    </row>
    <row r="675" spans="1:9" ht="18" customHeight="1" x14ac:dyDescent="0.4">
      <c r="A675" s="81" t="s">
        <v>237</v>
      </c>
      <c r="B675" s="171" t="s">
        <v>240</v>
      </c>
      <c r="C675" s="169">
        <v>190.7</v>
      </c>
      <c r="D675" s="142">
        <v>60</v>
      </c>
      <c r="E675" s="60">
        <f>+C675*D675</f>
        <v>11442</v>
      </c>
      <c r="F675" s="60">
        <f>+E675*7%</f>
        <v>800.94</v>
      </c>
      <c r="G675" s="60">
        <f>+E675+F675</f>
        <v>12242.94</v>
      </c>
      <c r="I675">
        <v>6901147</v>
      </c>
    </row>
    <row r="676" spans="1:9" ht="18" customHeight="1" thickBot="1" x14ac:dyDescent="0.35">
      <c r="A676" s="84"/>
      <c r="B676" s="17" t="s">
        <v>15</v>
      </c>
      <c r="C676" s="18">
        <f>SUM(C675:C675)</f>
        <v>190.7</v>
      </c>
      <c r="D676" s="19"/>
      <c r="E676" s="62">
        <f>SUM(E675:E675)</f>
        <v>11442</v>
      </c>
      <c r="F676" s="62">
        <f t="shared" ref="F676:G676" si="648">SUM(F675:F675)</f>
        <v>800.94</v>
      </c>
      <c r="G676" s="62">
        <f t="shared" si="648"/>
        <v>12242.94</v>
      </c>
    </row>
    <row r="677" spans="1:9" ht="18" customHeight="1" thickTop="1" x14ac:dyDescent="0.3">
      <c r="A677" s="69"/>
      <c r="B677" s="69"/>
      <c r="C677" s="69"/>
      <c r="D677" s="70"/>
      <c r="E677" s="71"/>
      <c r="F677" s="71"/>
      <c r="G677" s="71"/>
    </row>
    <row r="678" spans="1:9" ht="26.25" x14ac:dyDescent="0.3">
      <c r="A678" s="357" t="s">
        <v>243</v>
      </c>
      <c r="B678" s="357"/>
      <c r="C678" s="357"/>
      <c r="D678" s="357"/>
      <c r="E678" s="357"/>
      <c r="F678" s="357"/>
      <c r="G678" s="357"/>
    </row>
    <row r="679" spans="1:9" ht="18" customHeight="1" x14ac:dyDescent="0.3">
      <c r="A679" s="1" t="s">
        <v>2</v>
      </c>
      <c r="B679" s="2" t="s">
        <v>3</v>
      </c>
      <c r="C679" s="2" t="s">
        <v>76</v>
      </c>
      <c r="D679" s="3" t="s">
        <v>5</v>
      </c>
      <c r="E679" s="2" t="s">
        <v>6</v>
      </c>
      <c r="F679" s="2" t="s">
        <v>7</v>
      </c>
      <c r="G679" s="2" t="s">
        <v>8</v>
      </c>
    </row>
    <row r="680" spans="1:9" ht="18" customHeight="1" x14ac:dyDescent="0.4">
      <c r="A680" s="81" t="s">
        <v>242</v>
      </c>
      <c r="B680" s="171" t="s">
        <v>244</v>
      </c>
      <c r="C680" s="169">
        <v>10</v>
      </c>
      <c r="D680" s="142">
        <v>979</v>
      </c>
      <c r="E680" s="60">
        <f>+C680*D680</f>
        <v>9790</v>
      </c>
      <c r="F680" s="60">
        <f>+E680*7%</f>
        <v>685.30000000000007</v>
      </c>
      <c r="G680" s="60">
        <f>+E680+F680</f>
        <v>10475.299999999999</v>
      </c>
      <c r="I680">
        <v>6901178</v>
      </c>
    </row>
    <row r="681" spans="1:9" ht="18" customHeight="1" thickBot="1" x14ac:dyDescent="0.35">
      <c r="A681" s="84"/>
      <c r="B681" s="17" t="s">
        <v>15</v>
      </c>
      <c r="C681" s="18">
        <f>SUM(C680:C680)</f>
        <v>10</v>
      </c>
      <c r="D681" s="19"/>
      <c r="E681" s="62">
        <f>SUM(E680:E680)</f>
        <v>9790</v>
      </c>
      <c r="F681" s="62">
        <f t="shared" ref="F681:G681" si="649">SUM(F680:F680)</f>
        <v>685.30000000000007</v>
      </c>
      <c r="G681" s="62">
        <f t="shared" si="649"/>
        <v>10475.299999999999</v>
      </c>
    </row>
    <row r="682" spans="1:9" ht="18" customHeight="1" thickTop="1" x14ac:dyDescent="0.3">
      <c r="A682" s="69"/>
      <c r="B682" s="69"/>
      <c r="C682" s="69"/>
      <c r="D682" s="70"/>
      <c r="E682" s="71"/>
      <c r="F682" s="71"/>
      <c r="G682" s="71"/>
    </row>
    <row r="683" spans="1:9" s="30" customFormat="1" ht="12" customHeight="1" thickBot="1" x14ac:dyDescent="0.55000000000000004">
      <c r="A683" s="21"/>
      <c r="B683" s="147" t="s">
        <v>244</v>
      </c>
      <c r="C683" s="148">
        <f>+C681</f>
        <v>10</v>
      </c>
      <c r="D683" s="149">
        <v>16.579999999999998</v>
      </c>
      <c r="E683" s="188">
        <f>+C683*D683</f>
        <v>165.79999999999998</v>
      </c>
      <c r="F683" s="23"/>
      <c r="G683" s="23"/>
    </row>
    <row r="684" spans="1:9" s="30" customFormat="1" ht="12.75" customHeight="1" thickTop="1" x14ac:dyDescent="0.5">
      <c r="A684" s="85"/>
      <c r="B684" s="68"/>
      <c r="C684" s="69"/>
      <c r="D684" s="70"/>
      <c r="E684" s="71"/>
      <c r="F684" s="71"/>
      <c r="G684" s="71"/>
    </row>
    <row r="685" spans="1:9" ht="26.25" x14ac:dyDescent="0.3">
      <c r="A685" s="357" t="s">
        <v>262</v>
      </c>
      <c r="B685" s="357"/>
      <c r="C685" s="357"/>
      <c r="D685" s="357"/>
      <c r="E685" s="357"/>
      <c r="F685" s="357"/>
      <c r="G685" s="357"/>
    </row>
    <row r="686" spans="1:9" ht="18" customHeight="1" x14ac:dyDescent="0.3">
      <c r="A686" s="1" t="s">
        <v>2</v>
      </c>
      <c r="B686" s="2" t="s">
        <v>3</v>
      </c>
      <c r="C686" s="2" t="s">
        <v>76</v>
      </c>
      <c r="D686" s="3" t="s">
        <v>5</v>
      </c>
      <c r="E686" s="2" t="s">
        <v>6</v>
      </c>
      <c r="F686" s="2" t="s">
        <v>7</v>
      </c>
      <c r="G686" s="2" t="s">
        <v>8</v>
      </c>
    </row>
    <row r="687" spans="1:9" ht="18" customHeight="1" x14ac:dyDescent="0.4">
      <c r="A687" s="81" t="s">
        <v>261</v>
      </c>
      <c r="B687" s="171" t="s">
        <v>89</v>
      </c>
      <c r="C687" s="169">
        <v>120</v>
      </c>
      <c r="D687" s="142">
        <v>112</v>
      </c>
      <c r="E687" s="60">
        <f>+C687*D687</f>
        <v>13440</v>
      </c>
      <c r="F687" s="60">
        <f>+E687*7%</f>
        <v>940.80000000000007</v>
      </c>
      <c r="G687" s="60">
        <f>+E687+F687</f>
        <v>14380.8</v>
      </c>
      <c r="I687">
        <v>6901245</v>
      </c>
    </row>
    <row r="688" spans="1:9" ht="18" customHeight="1" thickBot="1" x14ac:dyDescent="0.35">
      <c r="A688" s="84"/>
      <c r="B688" s="17" t="s">
        <v>15</v>
      </c>
      <c r="C688" s="18">
        <f>SUM(C687:C687)</f>
        <v>120</v>
      </c>
      <c r="D688" s="19"/>
      <c r="E688" s="62">
        <f>SUM(E687:E687)</f>
        <v>13440</v>
      </c>
      <c r="F688" s="62">
        <f t="shared" ref="F688:G688" si="650">SUM(F687:F687)</f>
        <v>940.80000000000007</v>
      </c>
      <c r="G688" s="62">
        <f t="shared" si="650"/>
        <v>14380.8</v>
      </c>
    </row>
    <row r="689" spans="1:9" ht="18" customHeight="1" thickTop="1" x14ac:dyDescent="0.3">
      <c r="A689" s="69"/>
      <c r="B689" s="69"/>
      <c r="C689" s="69"/>
      <c r="D689" s="70"/>
      <c r="E689" s="71"/>
      <c r="F689" s="71"/>
      <c r="G689" s="71"/>
    </row>
    <row r="690" spans="1:9" s="30" customFormat="1" ht="12" customHeight="1" thickBot="1" x14ac:dyDescent="0.55000000000000004">
      <c r="A690" s="21"/>
      <c r="B690" s="147" t="s">
        <v>89</v>
      </c>
      <c r="C690" s="148">
        <f>+C688</f>
        <v>120</v>
      </c>
      <c r="D690" s="149">
        <v>2.0699999999999998</v>
      </c>
      <c r="E690" s="188">
        <f>+C690*D690</f>
        <v>248.39999999999998</v>
      </c>
      <c r="F690" s="23"/>
      <c r="G690" s="23"/>
    </row>
    <row r="691" spans="1:9" s="30" customFormat="1" ht="12.75" customHeight="1" thickTop="1" x14ac:dyDescent="0.5">
      <c r="A691" s="85"/>
      <c r="B691" s="68"/>
      <c r="C691" s="69"/>
      <c r="D691" s="70"/>
      <c r="E691" s="71"/>
      <c r="F691" s="71"/>
      <c r="G691" s="71"/>
    </row>
    <row r="692" spans="1:9" ht="18" customHeight="1" x14ac:dyDescent="0.3">
      <c r="A692" s="69"/>
      <c r="B692" s="69"/>
      <c r="C692" s="69"/>
      <c r="D692" s="70"/>
      <c r="E692" s="71"/>
      <c r="F692" s="71"/>
      <c r="G692" s="71"/>
    </row>
    <row r="693" spans="1:9" ht="26.25" x14ac:dyDescent="0.3">
      <c r="A693" s="357" t="s">
        <v>279</v>
      </c>
      <c r="B693" s="357"/>
      <c r="C693" s="357"/>
      <c r="D693" s="357"/>
      <c r="E693" s="357"/>
      <c r="F693" s="357"/>
      <c r="G693" s="357"/>
    </row>
    <row r="694" spans="1:9" ht="18" customHeight="1" x14ac:dyDescent="0.3">
      <c r="A694" s="1" t="s">
        <v>2</v>
      </c>
      <c r="B694" s="2" t="s">
        <v>3</v>
      </c>
      <c r="C694" s="2" t="s">
        <v>4</v>
      </c>
      <c r="D694" s="3" t="s">
        <v>5</v>
      </c>
      <c r="E694" s="2" t="s">
        <v>6</v>
      </c>
      <c r="F694" s="2" t="s">
        <v>7</v>
      </c>
      <c r="G694" s="2" t="s">
        <v>8</v>
      </c>
    </row>
    <row r="695" spans="1:9" ht="18" customHeight="1" x14ac:dyDescent="0.4">
      <c r="A695" s="81" t="s">
        <v>277</v>
      </c>
      <c r="B695" s="171" t="s">
        <v>144</v>
      </c>
      <c r="C695" s="169">
        <v>85.7</v>
      </c>
      <c r="D695" s="142">
        <v>78</v>
      </c>
      <c r="E695" s="60">
        <f>+C695*D695</f>
        <v>6684.6</v>
      </c>
      <c r="F695" s="60">
        <f>+E695*7%</f>
        <v>467.92200000000008</v>
      </c>
      <c r="G695" s="60">
        <f>+E695+F695</f>
        <v>7152.5220000000008</v>
      </c>
      <c r="I695">
        <v>6901287</v>
      </c>
    </row>
    <row r="696" spans="1:9" ht="18" customHeight="1" thickBot="1" x14ac:dyDescent="0.35">
      <c r="A696" s="84"/>
      <c r="B696" s="17" t="s">
        <v>15</v>
      </c>
      <c r="C696" s="18">
        <f>SUM(C695:C695)</f>
        <v>85.7</v>
      </c>
      <c r="D696" s="19"/>
      <c r="E696" s="62">
        <f>SUM(E695:E695)</f>
        <v>6684.6</v>
      </c>
      <c r="F696" s="62">
        <f t="shared" ref="F696:G696" si="651">SUM(F695:F695)</f>
        <v>467.92200000000008</v>
      </c>
      <c r="G696" s="62">
        <f t="shared" si="651"/>
        <v>7152.5220000000008</v>
      </c>
    </row>
    <row r="697" spans="1:9" ht="18" customHeight="1" thickTop="1" x14ac:dyDescent="0.3">
      <c r="A697" s="69"/>
      <c r="B697" s="69"/>
      <c r="C697" s="69"/>
      <c r="D697" s="70"/>
      <c r="E697" s="71"/>
      <c r="F697" s="71"/>
      <c r="G697" s="71"/>
    </row>
    <row r="698" spans="1:9" ht="26.25" x14ac:dyDescent="0.3">
      <c r="A698" s="357" t="s">
        <v>283</v>
      </c>
      <c r="B698" s="357"/>
      <c r="C698" s="357"/>
      <c r="D698" s="357"/>
      <c r="E698" s="357"/>
      <c r="F698" s="357"/>
      <c r="G698" s="357"/>
    </row>
    <row r="699" spans="1:9" ht="18" customHeight="1" x14ac:dyDescent="0.3">
      <c r="A699" s="1" t="s">
        <v>2</v>
      </c>
      <c r="B699" s="2" t="s">
        <v>3</v>
      </c>
      <c r="C699" s="2" t="s">
        <v>4</v>
      </c>
      <c r="D699" s="3" t="s">
        <v>5</v>
      </c>
      <c r="E699" s="2" t="s">
        <v>6</v>
      </c>
      <c r="F699" s="2" t="s">
        <v>7</v>
      </c>
      <c r="G699" s="2" t="s">
        <v>8</v>
      </c>
    </row>
    <row r="700" spans="1:9" ht="18" customHeight="1" x14ac:dyDescent="0.4">
      <c r="A700" s="81" t="s">
        <v>284</v>
      </c>
      <c r="B700" s="171" t="s">
        <v>89</v>
      </c>
      <c r="C700" s="169">
        <v>12</v>
      </c>
      <c r="D700" s="142">
        <v>115</v>
      </c>
      <c r="E700" s="60">
        <f>+C700*D700</f>
        <v>1380</v>
      </c>
      <c r="F700" s="60">
        <f>+E700*7%</f>
        <v>96.600000000000009</v>
      </c>
      <c r="G700" s="60">
        <f>+E700+F700</f>
        <v>1476.6</v>
      </c>
      <c r="I700">
        <v>6901355</v>
      </c>
    </row>
    <row r="701" spans="1:9" ht="18" customHeight="1" thickBot="1" x14ac:dyDescent="0.35">
      <c r="A701" s="84"/>
      <c r="B701" s="17" t="s">
        <v>15</v>
      </c>
      <c r="C701" s="18">
        <f>SUM(C700:C700)</f>
        <v>12</v>
      </c>
      <c r="D701" s="19"/>
      <c r="E701" s="62">
        <f>SUM(E700:E700)</f>
        <v>1380</v>
      </c>
      <c r="F701" s="62">
        <f t="shared" ref="F701:G701" si="652">SUM(F700:F700)</f>
        <v>96.600000000000009</v>
      </c>
      <c r="G701" s="62">
        <f t="shared" si="652"/>
        <v>1476.6</v>
      </c>
    </row>
    <row r="702" spans="1:9" ht="18" customHeight="1" thickTop="1" x14ac:dyDescent="0.3">
      <c r="A702" s="85"/>
      <c r="B702" s="68"/>
      <c r="C702" s="69"/>
      <c r="D702" s="70"/>
      <c r="E702" s="71"/>
      <c r="F702" s="71"/>
      <c r="G702" s="71"/>
    </row>
    <row r="703" spans="1:9" s="30" customFormat="1" ht="12" customHeight="1" thickBot="1" x14ac:dyDescent="0.55000000000000004">
      <c r="A703" s="21"/>
      <c r="B703" s="147" t="s">
        <v>89</v>
      </c>
      <c r="C703" s="148">
        <f>+C701</f>
        <v>12</v>
      </c>
      <c r="D703" s="149">
        <v>2.0699999999999998</v>
      </c>
      <c r="E703" s="188">
        <f>+C703*D703</f>
        <v>24.839999999999996</v>
      </c>
      <c r="F703" s="23"/>
      <c r="G703" s="23"/>
    </row>
    <row r="704" spans="1:9" s="30" customFormat="1" ht="12.75" customHeight="1" thickTop="1" x14ac:dyDescent="0.5">
      <c r="A704" s="85"/>
      <c r="B704" s="68"/>
      <c r="C704" s="69"/>
      <c r="D704" s="70"/>
      <c r="E704" s="71"/>
      <c r="F704" s="71"/>
      <c r="G704" s="71"/>
    </row>
    <row r="705" spans="1:9" ht="26.25" x14ac:dyDescent="0.3">
      <c r="A705" s="357" t="s">
        <v>310</v>
      </c>
      <c r="B705" s="357"/>
      <c r="C705" s="357"/>
      <c r="D705" s="357"/>
      <c r="E705" s="357"/>
      <c r="F705" s="357"/>
      <c r="G705" s="357"/>
    </row>
    <row r="706" spans="1:9" ht="18" customHeight="1" x14ac:dyDescent="0.3">
      <c r="A706" s="1" t="s">
        <v>2</v>
      </c>
      <c r="B706" s="2" t="s">
        <v>3</v>
      </c>
      <c r="C706" s="2" t="s">
        <v>4</v>
      </c>
      <c r="D706" s="3" t="s">
        <v>5</v>
      </c>
      <c r="E706" s="2" t="s">
        <v>6</v>
      </c>
      <c r="F706" s="2" t="s">
        <v>7</v>
      </c>
      <c r="G706" s="2" t="s">
        <v>8</v>
      </c>
    </row>
    <row r="707" spans="1:9" ht="18" customHeight="1" x14ac:dyDescent="0.4">
      <c r="A707" s="81" t="s">
        <v>312</v>
      </c>
      <c r="B707" s="171" t="s">
        <v>311</v>
      </c>
      <c r="C707" s="169">
        <v>492.2</v>
      </c>
      <c r="D707" s="142">
        <v>57</v>
      </c>
      <c r="E707" s="60">
        <f>+C707*D707</f>
        <v>28055.399999999998</v>
      </c>
      <c r="F707" s="60">
        <f>+E707*7%</f>
        <v>1963.8779999999999</v>
      </c>
      <c r="G707" s="60">
        <f>+E707+F707</f>
        <v>30019.277999999998</v>
      </c>
      <c r="I707">
        <v>6901209</v>
      </c>
    </row>
    <row r="708" spans="1:9" ht="18" customHeight="1" thickBot="1" x14ac:dyDescent="0.35">
      <c r="A708" s="84"/>
      <c r="B708" s="17" t="s">
        <v>15</v>
      </c>
      <c r="C708" s="18">
        <f>SUM(C707:C707)</f>
        <v>492.2</v>
      </c>
      <c r="D708" s="19"/>
      <c r="E708" s="62">
        <f>SUM(E707:E707)</f>
        <v>28055.399999999998</v>
      </c>
      <c r="F708" s="62">
        <f t="shared" ref="F708:G708" si="653">SUM(F707:F707)</f>
        <v>1963.8779999999999</v>
      </c>
      <c r="G708" s="62">
        <f t="shared" si="653"/>
        <v>30019.277999999998</v>
      </c>
    </row>
    <row r="709" spans="1:9" ht="18" customHeight="1" thickTop="1" x14ac:dyDescent="0.3">
      <c r="A709" s="85"/>
      <c r="B709" s="68"/>
      <c r="C709" s="69"/>
      <c r="D709" s="70"/>
      <c r="E709" s="71"/>
      <c r="F709" s="71"/>
      <c r="G709" s="71"/>
    </row>
    <row r="710" spans="1:9" s="30" customFormat="1" ht="12.75" customHeight="1" x14ac:dyDescent="0.5">
      <c r="A710" s="85"/>
      <c r="B710" s="68"/>
      <c r="C710" s="69"/>
      <c r="D710" s="70"/>
      <c r="E710" s="71"/>
      <c r="F710" s="71"/>
      <c r="G710" s="71"/>
    </row>
    <row r="711" spans="1:9" s="181" customFormat="1" ht="18" customHeight="1" x14ac:dyDescent="0.4">
      <c r="A711" s="175"/>
      <c r="B711" s="176"/>
      <c r="C711" s="177" t="s">
        <v>122</v>
      </c>
      <c r="D711" s="178"/>
      <c r="E711" s="179" t="s">
        <v>123</v>
      </c>
      <c r="F711" s="180"/>
      <c r="G711" s="71"/>
    </row>
    <row r="712" spans="1:9" s="181" customFormat="1" ht="18" customHeight="1" x14ac:dyDescent="0.4">
      <c r="A712" s="175"/>
      <c r="B712" s="182"/>
      <c r="C712" s="183">
        <f>C55+C76+C95+C110+C115+C154+C226+E234+C283+C292+C297+C302+C307+C319+C324+E334+C339+C374+C410+C427+C439+C448+C456+F472+C488+C495+F503+C516+C522+C529+F549+C554+C559+C590+C598+C603+C608+E615+C620+C627+F634+C641+C647+F658+C664+E671+C676+E683+E690+C696+E703+C708</f>
        <v>558941.06199999969</v>
      </c>
      <c r="D712" s="184"/>
      <c r="E712" s="185">
        <f>E55+E76+E95+E110+E115+E154+E226+E232+E259+E292+E297+E302+E307+E319+E324+E332+E339+E357+E410+E419+E439+E448+E456+E467+E488+E495+E500+E516+E522+E529+E534+E554+E559+E590+E598+E603+E608+E613+E620+E627+E632+E641+E647+E656+E664+E669+E676+E681+E688+E696+E701+E708</f>
        <v>32494837.4617</v>
      </c>
      <c r="F712" s="180"/>
      <c r="G712" s="71"/>
    </row>
    <row r="713" spans="1:9" ht="18" x14ac:dyDescent="0.3">
      <c r="E713" s="186"/>
      <c r="G713" s="71"/>
    </row>
  </sheetData>
  <autoFilter ref="I1:I713" xr:uid="{BA45B471-1CBE-438D-BE8B-509CF418CBE2}"/>
  <mergeCells count="53">
    <mergeCell ref="A622:G622"/>
    <mergeCell ref="A629:G629"/>
    <mergeCell ref="A605:G605"/>
    <mergeCell ref="A304:G304"/>
    <mergeCell ref="A236:G236"/>
    <mergeCell ref="A294:G294"/>
    <mergeCell ref="A561:G561"/>
    <mergeCell ref="A531:G531"/>
    <mergeCell ref="A551:G551"/>
    <mergeCell ref="A556:G556"/>
    <mergeCell ref="A285:G285"/>
    <mergeCell ref="A309:G309"/>
    <mergeCell ref="A321:G321"/>
    <mergeCell ref="A326:G326"/>
    <mergeCell ref="A336:G336"/>
    <mergeCell ref="A458:G458"/>
    <mergeCell ref="A1:G1"/>
    <mergeCell ref="A2:G2"/>
    <mergeCell ref="A57:G57"/>
    <mergeCell ref="A78:G78"/>
    <mergeCell ref="A97:G97"/>
    <mergeCell ref="A112:G112"/>
    <mergeCell ref="A450:G450"/>
    <mergeCell ref="A228:G228"/>
    <mergeCell ref="A698:G698"/>
    <mergeCell ref="A610:G610"/>
    <mergeCell ref="A617:G617"/>
    <mergeCell ref="A649:G649"/>
    <mergeCell ref="A497:G497"/>
    <mergeCell ref="A509:G509"/>
    <mergeCell ref="A518:G518"/>
    <mergeCell ref="A524:G524"/>
    <mergeCell ref="A117:G117"/>
    <mergeCell ref="A156:G156"/>
    <mergeCell ref="A490:G490"/>
    <mergeCell ref="A693:G693"/>
    <mergeCell ref="A637:G637"/>
    <mergeCell ref="A705:G705"/>
    <mergeCell ref="A685:G685"/>
    <mergeCell ref="A299:G299"/>
    <mergeCell ref="A592:G592"/>
    <mergeCell ref="A600:G600"/>
    <mergeCell ref="A341:G341"/>
    <mergeCell ref="A376:G376"/>
    <mergeCell ref="A412:G412"/>
    <mergeCell ref="A429:G429"/>
    <mergeCell ref="A441:G441"/>
    <mergeCell ref="A678:G678"/>
    <mergeCell ref="A666:G666"/>
    <mergeCell ref="A643:G643"/>
    <mergeCell ref="A480:G480"/>
    <mergeCell ref="A673:G673"/>
    <mergeCell ref="A661:G661"/>
  </mergeCells>
  <phoneticPr fontId="19" type="noConversion"/>
  <pageMargins left="0.38" right="0.37" top="0.75" bottom="0.75" header="0.3" footer="0.3"/>
  <pageSetup paperSize="9" scale="65" fitToHeight="0" orientation="portrait" horizontalDpi="0" verticalDpi="0" r:id="rId1"/>
  <headerFooter>
    <oddHeader>&amp;C&amp;"Angsana New,Regular"&amp;P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3C13-B1F1-4694-9251-A702BFB3A6BD}">
  <sheetPr>
    <pageSetUpPr fitToPage="1"/>
  </sheetPr>
  <dimension ref="A1:AH90"/>
  <sheetViews>
    <sheetView topLeftCell="A22" zoomScale="80" zoomScaleNormal="80" workbookViewId="0">
      <selection activeCell="N45" sqref="N45"/>
    </sheetView>
  </sheetViews>
  <sheetFormatPr defaultColWidth="7.875" defaultRowHeight="23.25" x14ac:dyDescent="0.5"/>
  <cols>
    <col min="1" max="1" width="5.625" style="263" customWidth="1"/>
    <col min="2" max="2" width="23.25" style="225" customWidth="1"/>
    <col min="3" max="4" width="12.125" style="225" customWidth="1"/>
    <col min="5" max="5" width="10.75" style="225" customWidth="1"/>
    <col min="6" max="6" width="12" style="223" customWidth="1"/>
    <col min="7" max="7" width="9" style="264" customWidth="1"/>
    <col min="8" max="8" width="12.375" style="225" customWidth="1"/>
    <col min="9" max="9" width="14.25" style="225" customWidth="1"/>
    <col min="10" max="10" width="10.5" style="223" customWidth="1"/>
    <col min="11" max="11" width="10" style="224" customWidth="1"/>
    <col min="12" max="12" width="7.5" style="225" customWidth="1"/>
    <col min="13" max="13" width="24.5" style="225" customWidth="1"/>
    <col min="14" max="14" width="9.75" style="225" customWidth="1"/>
    <col min="15" max="18" width="11" style="225" customWidth="1"/>
    <col min="19" max="19" width="12.25" style="225" customWidth="1"/>
    <col min="20" max="20" width="7.875" style="225" customWidth="1"/>
    <col min="21" max="21" width="7.5" style="225" customWidth="1"/>
    <col min="22" max="22" width="24.5" style="225" customWidth="1"/>
    <col min="23" max="23" width="12.875" style="225" customWidth="1"/>
    <col min="24" max="24" width="11" style="225" customWidth="1"/>
    <col min="25" max="25" width="12.125" style="225" customWidth="1"/>
    <col min="26" max="26" width="7.375" style="225" customWidth="1"/>
    <col min="27" max="27" width="7.75" style="225" customWidth="1"/>
    <col min="28" max="28" width="22.75" style="225" customWidth="1"/>
    <col min="29" max="29" width="10.625" style="225" customWidth="1"/>
    <col min="30" max="30" width="11.125" style="252" customWidth="1"/>
    <col min="31" max="31" width="10.375" style="225" customWidth="1"/>
    <col min="32" max="32" width="10.875" style="225" customWidth="1"/>
    <col min="33" max="33" width="9.125" style="225" customWidth="1"/>
    <col min="34" max="34" width="8.875" style="225" customWidth="1"/>
    <col min="35" max="16384" width="7.875" style="225"/>
  </cols>
  <sheetData>
    <row r="1" spans="1:33" ht="42" customHeight="1" x14ac:dyDescent="0.6">
      <c r="A1" s="368" t="s">
        <v>409</v>
      </c>
      <c r="B1" s="368"/>
      <c r="C1" s="368"/>
      <c r="D1" s="368"/>
      <c r="E1" s="368"/>
      <c r="F1" s="368"/>
      <c r="G1" s="368"/>
      <c r="H1" s="368"/>
      <c r="I1" s="368"/>
      <c r="L1" s="369" t="s">
        <v>410</v>
      </c>
      <c r="M1" s="369"/>
      <c r="N1" s="369"/>
      <c r="O1" s="369"/>
      <c r="P1" s="369"/>
      <c r="Q1" s="369"/>
      <c r="R1" s="369"/>
      <c r="S1" s="369"/>
      <c r="U1" s="369" t="s">
        <v>411</v>
      </c>
      <c r="V1" s="369"/>
      <c r="W1" s="369"/>
      <c r="X1" s="369"/>
      <c r="Y1" s="369"/>
      <c r="AA1" s="370" t="s">
        <v>412</v>
      </c>
      <c r="AB1" s="370"/>
      <c r="AC1" s="370"/>
      <c r="AD1" s="370"/>
      <c r="AE1" s="370"/>
      <c r="AF1" s="370"/>
      <c r="AG1" s="226"/>
    </row>
    <row r="2" spans="1:33" s="233" customFormat="1" ht="46.5" x14ac:dyDescent="0.5">
      <c r="A2" s="227" t="s">
        <v>377</v>
      </c>
      <c r="B2" s="227" t="s">
        <v>378</v>
      </c>
      <c r="C2" s="228" t="s">
        <v>379</v>
      </c>
      <c r="D2" s="228" t="s">
        <v>380</v>
      </c>
      <c r="E2" s="228" t="s">
        <v>381</v>
      </c>
      <c r="F2" s="229" t="s">
        <v>382</v>
      </c>
      <c r="G2" s="230" t="s">
        <v>383</v>
      </c>
      <c r="H2" s="228" t="s">
        <v>384</v>
      </c>
      <c r="I2" s="227" t="s">
        <v>385</v>
      </c>
      <c r="J2" s="231"/>
      <c r="K2" s="232"/>
      <c r="L2" s="227" t="s">
        <v>377</v>
      </c>
      <c r="M2" s="227" t="s">
        <v>378</v>
      </c>
      <c r="N2" s="227" t="s">
        <v>386</v>
      </c>
      <c r="O2" s="227" t="s">
        <v>387</v>
      </c>
      <c r="P2" s="227" t="s">
        <v>388</v>
      </c>
      <c r="Q2" s="227" t="s">
        <v>389</v>
      </c>
      <c r="R2" s="227" t="s">
        <v>390</v>
      </c>
      <c r="S2" s="227" t="s">
        <v>391</v>
      </c>
      <c r="U2" s="227" t="s">
        <v>377</v>
      </c>
      <c r="V2" s="227" t="s">
        <v>378</v>
      </c>
      <c r="W2" s="227" t="s">
        <v>392</v>
      </c>
      <c r="X2" s="227" t="s">
        <v>393</v>
      </c>
      <c r="Y2" s="227" t="s">
        <v>391</v>
      </c>
      <c r="Z2" s="234"/>
      <c r="AA2" s="227" t="s">
        <v>377</v>
      </c>
      <c r="AB2" s="227" t="s">
        <v>378</v>
      </c>
      <c r="AC2" s="227" t="s">
        <v>394</v>
      </c>
      <c r="AD2" s="235" t="s">
        <v>395</v>
      </c>
      <c r="AE2" s="228" t="s">
        <v>396</v>
      </c>
      <c r="AF2" s="227" t="s">
        <v>391</v>
      </c>
      <c r="AG2" s="225"/>
    </row>
    <row r="3" spans="1:33" x14ac:dyDescent="0.5">
      <c r="A3" s="236">
        <v>1</v>
      </c>
      <c r="B3" s="219" t="s">
        <v>332</v>
      </c>
      <c r="C3" s="220">
        <v>151633.46000000002</v>
      </c>
      <c r="D3" s="237">
        <v>0</v>
      </c>
      <c r="E3" s="237">
        <v>0</v>
      </c>
      <c r="F3" s="238">
        <v>0</v>
      </c>
      <c r="G3" s="239">
        <v>0</v>
      </c>
      <c r="H3" s="240">
        <f>+C3+D3+E3+F3+G3</f>
        <v>151633.46000000002</v>
      </c>
      <c r="I3" s="220"/>
      <c r="J3" s="241">
        <f>+H3*100/H48</f>
        <v>27.12870297988129</v>
      </c>
      <c r="L3" s="236">
        <v>1</v>
      </c>
      <c r="M3" s="219" t="s">
        <v>333</v>
      </c>
      <c r="N3" s="242">
        <v>0</v>
      </c>
      <c r="O3" s="237">
        <v>37324.89</v>
      </c>
      <c r="P3" s="242">
        <v>0</v>
      </c>
      <c r="Q3" s="242">
        <v>0</v>
      </c>
      <c r="R3" s="242">
        <v>0</v>
      </c>
      <c r="S3" s="242">
        <f>+N3+O3+P3+Q3+R3</f>
        <v>37324.89</v>
      </c>
      <c r="T3" s="241">
        <f>+S3*100/S12</f>
        <v>34.483513967735163</v>
      </c>
      <c r="U3" s="236">
        <v>1</v>
      </c>
      <c r="V3" s="219" t="s">
        <v>333</v>
      </c>
      <c r="W3" s="237">
        <v>37324.89</v>
      </c>
      <c r="X3" s="242">
        <v>0</v>
      </c>
      <c r="Y3" s="242">
        <f>+W3+X3</f>
        <v>37324.89</v>
      </c>
      <c r="Z3" s="243"/>
      <c r="AA3" s="236">
        <v>1</v>
      </c>
      <c r="AB3" s="219" t="s">
        <v>339</v>
      </c>
      <c r="AC3" s="237">
        <v>5361.9919999999993</v>
      </c>
      <c r="AD3" s="244">
        <v>17300</v>
      </c>
      <c r="AE3" s="245">
        <v>0</v>
      </c>
      <c r="AF3" s="242">
        <f>+AC3+AE3</f>
        <v>5361.9919999999993</v>
      </c>
    </row>
    <row r="4" spans="1:33" x14ac:dyDescent="0.5">
      <c r="A4" s="236">
        <v>2</v>
      </c>
      <c r="B4" s="219" t="s">
        <v>333</v>
      </c>
      <c r="C4" s="237">
        <v>69431.7</v>
      </c>
      <c r="D4" s="237">
        <v>37324.89</v>
      </c>
      <c r="E4" s="237">
        <v>0</v>
      </c>
      <c r="F4" s="238">
        <v>0</v>
      </c>
      <c r="G4" s="239">
        <v>0</v>
      </c>
      <c r="H4" s="240">
        <f>+C4+D4+E4+F4+G4</f>
        <v>106756.59</v>
      </c>
      <c r="I4" s="220"/>
      <c r="J4" s="246">
        <f>+H4*100/H48</f>
        <v>19.099793813680467</v>
      </c>
      <c r="L4" s="236">
        <v>2</v>
      </c>
      <c r="M4" s="219" t="s">
        <v>336</v>
      </c>
      <c r="N4" s="242">
        <v>395.45</v>
      </c>
      <c r="O4" s="242">
        <v>29456.06</v>
      </c>
      <c r="P4" s="242">
        <v>0</v>
      </c>
      <c r="Q4" s="242">
        <v>0</v>
      </c>
      <c r="R4" s="242">
        <v>0</v>
      </c>
      <c r="S4" s="242">
        <f t="shared" ref="S4:S11" si="0">+N4+O4+P4+Q4+R4</f>
        <v>29851.510000000002</v>
      </c>
      <c r="T4" s="241">
        <f>+S4*100/S12</f>
        <v>27.579048780665826</v>
      </c>
      <c r="U4" s="236">
        <v>2</v>
      </c>
      <c r="V4" s="219" t="s">
        <v>336</v>
      </c>
      <c r="W4" s="242">
        <v>24096.25</v>
      </c>
      <c r="X4" s="242">
        <v>5755.26</v>
      </c>
      <c r="Y4" s="242">
        <f t="shared" ref="Y4:Y11" si="1">+W4+X4</f>
        <v>29851.510000000002</v>
      </c>
      <c r="Z4" s="243"/>
      <c r="AA4" s="236">
        <v>2</v>
      </c>
      <c r="AB4" s="219" t="s">
        <v>349</v>
      </c>
      <c r="AC4" s="237">
        <v>4432</v>
      </c>
      <c r="AD4" s="244">
        <v>4000</v>
      </c>
      <c r="AE4" s="245">
        <v>0</v>
      </c>
      <c r="AF4" s="242">
        <f>+AC4+AE4</f>
        <v>4432</v>
      </c>
    </row>
    <row r="5" spans="1:33" x14ac:dyDescent="0.5">
      <c r="A5" s="236">
        <v>3</v>
      </c>
      <c r="B5" s="219" t="s">
        <v>334</v>
      </c>
      <c r="C5" s="220">
        <v>93627.689999999973</v>
      </c>
      <c r="D5" s="237">
        <v>0</v>
      </c>
      <c r="E5" s="237">
        <v>0</v>
      </c>
      <c r="F5" s="238">
        <v>0</v>
      </c>
      <c r="G5" s="239">
        <v>0</v>
      </c>
      <c r="H5" s="240">
        <f t="shared" ref="H5:H47" si="2">+C5+D5+E5+F5+G5</f>
        <v>93627.689999999973</v>
      </c>
      <c r="I5" s="220"/>
      <c r="J5" s="246">
        <f>+H5*100/H48</f>
        <v>16.750905721615801</v>
      </c>
      <c r="L5" s="236">
        <v>3</v>
      </c>
      <c r="M5" s="219" t="s">
        <v>340</v>
      </c>
      <c r="N5" s="242">
        <v>0</v>
      </c>
      <c r="O5" s="237">
        <v>16057.48</v>
      </c>
      <c r="P5" s="242">
        <v>0</v>
      </c>
      <c r="Q5" s="242">
        <v>0</v>
      </c>
      <c r="R5" s="242">
        <v>0</v>
      </c>
      <c r="S5" s="242">
        <f t="shared" si="0"/>
        <v>16057.48</v>
      </c>
      <c r="T5" s="241">
        <f>+S5*100/S12</f>
        <v>14.835096255250265</v>
      </c>
      <c r="U5" s="236">
        <v>3</v>
      </c>
      <c r="V5" s="219" t="s">
        <v>340</v>
      </c>
      <c r="W5" s="237">
        <v>16057.48</v>
      </c>
      <c r="X5" s="242">
        <v>0</v>
      </c>
      <c r="Y5" s="242">
        <f t="shared" si="1"/>
        <v>16057.48</v>
      </c>
      <c r="Z5" s="243"/>
      <c r="AA5" s="236">
        <v>3</v>
      </c>
      <c r="AB5" s="219" t="s">
        <v>363</v>
      </c>
      <c r="AC5" s="237">
        <v>364.8</v>
      </c>
      <c r="AD5" s="244">
        <v>1000</v>
      </c>
      <c r="AE5" s="245">
        <v>0</v>
      </c>
      <c r="AF5" s="242">
        <f>+AC5+AE5</f>
        <v>364.8</v>
      </c>
    </row>
    <row r="6" spans="1:33" x14ac:dyDescent="0.5">
      <c r="A6" s="236">
        <v>4</v>
      </c>
      <c r="B6" s="219" t="s">
        <v>335</v>
      </c>
      <c r="C6" s="220">
        <v>42651.8</v>
      </c>
      <c r="D6" s="237">
        <v>0</v>
      </c>
      <c r="E6" s="237">
        <v>0</v>
      </c>
      <c r="F6" s="238">
        <v>0</v>
      </c>
      <c r="G6" s="239">
        <v>0</v>
      </c>
      <c r="H6" s="240">
        <f t="shared" si="2"/>
        <v>42651.8</v>
      </c>
      <c r="I6" s="220"/>
      <c r="J6" s="246">
        <f>+H6*100/H48</f>
        <v>7.6308224699040741</v>
      </c>
      <c r="L6" s="236">
        <v>4</v>
      </c>
      <c r="M6" s="219" t="s">
        <v>337</v>
      </c>
      <c r="N6" s="242">
        <v>0</v>
      </c>
      <c r="O6" s="242">
        <v>14250.43</v>
      </c>
      <c r="P6" s="242">
        <v>0</v>
      </c>
      <c r="Q6" s="242">
        <v>0</v>
      </c>
      <c r="R6" s="242">
        <v>36.4</v>
      </c>
      <c r="S6" s="242">
        <f t="shared" si="0"/>
        <v>14286.83</v>
      </c>
      <c r="T6" s="241">
        <f>+S6*100/S12</f>
        <v>13.199237877450082</v>
      </c>
      <c r="U6" s="236">
        <v>4</v>
      </c>
      <c r="V6" s="219" t="s">
        <v>337</v>
      </c>
      <c r="W6" s="242">
        <v>14286.83</v>
      </c>
      <c r="X6" s="242">
        <v>0</v>
      </c>
      <c r="Y6" s="242">
        <f t="shared" si="1"/>
        <v>14286.83</v>
      </c>
      <c r="Z6" s="243"/>
      <c r="AA6" s="236">
        <v>4</v>
      </c>
      <c r="AB6" s="219" t="s">
        <v>360</v>
      </c>
      <c r="AC6" s="237">
        <v>251.14999999999998</v>
      </c>
      <c r="AD6" s="244">
        <v>500</v>
      </c>
      <c r="AE6" s="245">
        <v>0</v>
      </c>
      <c r="AF6" s="242">
        <f>+AC6+AE6</f>
        <v>251.14999999999998</v>
      </c>
    </row>
    <row r="7" spans="1:33" ht="24" thickBot="1" x14ac:dyDescent="0.55000000000000004">
      <c r="A7" s="236">
        <v>5</v>
      </c>
      <c r="B7" s="219" t="s">
        <v>336</v>
      </c>
      <c r="C7" s="237">
        <v>5456.24</v>
      </c>
      <c r="D7" s="237">
        <v>29851.51</v>
      </c>
      <c r="E7" s="237">
        <v>0</v>
      </c>
      <c r="F7" s="238">
        <v>795.6</v>
      </c>
      <c r="G7" s="239">
        <v>0</v>
      </c>
      <c r="H7" s="240">
        <f t="shared" si="2"/>
        <v>36103.35</v>
      </c>
      <c r="I7" s="220"/>
      <c r="J7" s="246">
        <f>+H7*100/H48</f>
        <v>6.4592409797197599</v>
      </c>
      <c r="L7" s="236">
        <v>5</v>
      </c>
      <c r="M7" s="219" t="s">
        <v>344</v>
      </c>
      <c r="N7" s="242">
        <v>0</v>
      </c>
      <c r="O7" s="237">
        <v>966.5</v>
      </c>
      <c r="P7" s="242">
        <v>0</v>
      </c>
      <c r="Q7" s="242">
        <v>0</v>
      </c>
      <c r="R7" s="242">
        <v>0</v>
      </c>
      <c r="S7" s="242">
        <f t="shared" si="0"/>
        <v>966.5</v>
      </c>
      <c r="T7" s="241">
        <f>+S7*100/S12</f>
        <v>0.89292470117972322</v>
      </c>
      <c r="U7" s="236">
        <v>5</v>
      </c>
      <c r="V7" s="219" t="s">
        <v>344</v>
      </c>
      <c r="W7" s="237">
        <v>966.5</v>
      </c>
      <c r="X7" s="242">
        <v>0</v>
      </c>
      <c r="Y7" s="242">
        <f t="shared" si="1"/>
        <v>966.5</v>
      </c>
      <c r="Z7" s="243"/>
      <c r="AA7" s="247"/>
      <c r="AB7" s="248" t="s">
        <v>397</v>
      </c>
      <c r="AC7" s="249">
        <f>SUM(AC3:AC6)</f>
        <v>10409.941999999997</v>
      </c>
      <c r="AD7" s="250">
        <f>SUM(AD3:AD6)</f>
        <v>22800</v>
      </c>
      <c r="AE7" s="251">
        <f>SUM(AE3:AE6)</f>
        <v>0</v>
      </c>
      <c r="AF7" s="251">
        <f>SUM(AF3:AF6)</f>
        <v>10409.941999999997</v>
      </c>
    </row>
    <row r="8" spans="1:33" ht="24" thickTop="1" x14ac:dyDescent="0.5">
      <c r="A8" s="236">
        <v>6</v>
      </c>
      <c r="B8" s="219" t="s">
        <v>340</v>
      </c>
      <c r="C8" s="237">
        <v>0</v>
      </c>
      <c r="D8" s="237">
        <v>16057.48</v>
      </c>
      <c r="E8" s="237">
        <v>0</v>
      </c>
      <c r="F8" s="238">
        <v>0</v>
      </c>
      <c r="G8" s="239">
        <v>0</v>
      </c>
      <c r="H8" s="240">
        <f t="shared" si="2"/>
        <v>16057.48</v>
      </c>
      <c r="I8" s="220"/>
      <c r="J8" s="246">
        <f>+H8*100/H48</f>
        <v>2.8728395799013238</v>
      </c>
      <c r="L8" s="236">
        <v>6</v>
      </c>
      <c r="M8" s="219" t="s">
        <v>345</v>
      </c>
      <c r="N8" s="242">
        <v>0</v>
      </c>
      <c r="O8" s="220">
        <v>4941.7</v>
      </c>
      <c r="P8" s="242">
        <v>0</v>
      </c>
      <c r="Q8" s="242">
        <v>0</v>
      </c>
      <c r="R8" s="242">
        <v>0</v>
      </c>
      <c r="S8" s="242">
        <f t="shared" si="0"/>
        <v>4941.7</v>
      </c>
      <c r="T8" s="241">
        <f>+S8*100/S12</f>
        <v>4.565510600951721</v>
      </c>
      <c r="U8" s="236">
        <v>6</v>
      </c>
      <c r="V8" s="219" t="s">
        <v>345</v>
      </c>
      <c r="W8" s="220">
        <v>4941.7</v>
      </c>
      <c r="X8" s="242">
        <v>0</v>
      </c>
      <c r="Y8" s="242">
        <f t="shared" si="1"/>
        <v>4941.7</v>
      </c>
      <c r="Z8" s="243"/>
    </row>
    <row r="9" spans="1:33" x14ac:dyDescent="0.5">
      <c r="A9" s="236">
        <v>7</v>
      </c>
      <c r="B9" s="219" t="s">
        <v>342</v>
      </c>
      <c r="C9" s="220">
        <v>14973.45</v>
      </c>
      <c r="D9" s="237">
        <v>0</v>
      </c>
      <c r="E9" s="237">
        <v>0</v>
      </c>
      <c r="F9" s="238">
        <v>0</v>
      </c>
      <c r="G9" s="239">
        <v>0</v>
      </c>
      <c r="H9" s="240">
        <f t="shared" si="2"/>
        <v>14973.45</v>
      </c>
      <c r="I9" s="220"/>
      <c r="J9" s="246">
        <f>+H9*100/H48</f>
        <v>2.6788960539059352</v>
      </c>
      <c r="L9" s="236">
        <v>7</v>
      </c>
      <c r="M9" s="219" t="s">
        <v>354</v>
      </c>
      <c r="N9" s="242">
        <v>0</v>
      </c>
      <c r="O9" s="237">
        <v>3586.2</v>
      </c>
      <c r="P9" s="242">
        <v>0</v>
      </c>
      <c r="Q9" s="242">
        <v>0</v>
      </c>
      <c r="R9" s="242">
        <v>0</v>
      </c>
      <c r="S9" s="242">
        <f t="shared" si="0"/>
        <v>3586.2</v>
      </c>
      <c r="T9" s="241">
        <f>+S9*100/S12</f>
        <v>3.3131987205077325</v>
      </c>
      <c r="U9" s="236">
        <v>7</v>
      </c>
      <c r="V9" s="219" t="s">
        <v>354</v>
      </c>
      <c r="W9" s="237">
        <v>3586.2</v>
      </c>
      <c r="X9" s="242">
        <v>0</v>
      </c>
      <c r="Y9" s="242">
        <f t="shared" si="1"/>
        <v>3586.2</v>
      </c>
      <c r="Z9" s="243"/>
    </row>
    <row r="10" spans="1:33" x14ac:dyDescent="0.5">
      <c r="A10" s="236">
        <v>8</v>
      </c>
      <c r="B10" s="219" t="s">
        <v>337</v>
      </c>
      <c r="C10" s="237">
        <v>72.25</v>
      </c>
      <c r="D10" s="237">
        <v>14286.83</v>
      </c>
      <c r="E10" s="237">
        <v>0</v>
      </c>
      <c r="F10" s="238">
        <v>0</v>
      </c>
      <c r="G10" s="239">
        <v>0</v>
      </c>
      <c r="H10" s="240">
        <f t="shared" si="2"/>
        <v>14359.08</v>
      </c>
      <c r="I10" s="220"/>
      <c r="J10" s="246">
        <f>+H10*100/H48</f>
        <v>2.5689792766342849</v>
      </c>
      <c r="L10" s="236">
        <v>8</v>
      </c>
      <c r="M10" s="219" t="s">
        <v>351</v>
      </c>
      <c r="N10" s="237">
        <v>198.2</v>
      </c>
      <c r="O10" s="242">
        <v>0</v>
      </c>
      <c r="P10" s="242">
        <v>0</v>
      </c>
      <c r="Q10" s="242">
        <v>0</v>
      </c>
      <c r="R10" s="242">
        <v>0</v>
      </c>
      <c r="S10" s="242">
        <f t="shared" si="0"/>
        <v>198.2</v>
      </c>
      <c r="T10" s="241">
        <f>+S10*100/S12</f>
        <v>0.18311192527037884</v>
      </c>
      <c r="U10" s="236">
        <v>8</v>
      </c>
      <c r="V10" s="219" t="s">
        <v>351</v>
      </c>
      <c r="W10" s="237">
        <v>198.2</v>
      </c>
      <c r="X10" s="242">
        <v>0</v>
      </c>
      <c r="Y10" s="242">
        <f t="shared" si="1"/>
        <v>198.2</v>
      </c>
      <c r="Z10" s="243"/>
    </row>
    <row r="11" spans="1:33" x14ac:dyDescent="0.5">
      <c r="A11" s="236">
        <v>9</v>
      </c>
      <c r="B11" s="221" t="s">
        <v>338</v>
      </c>
      <c r="C11" s="237">
        <v>12205.4</v>
      </c>
      <c r="D11" s="237">
        <v>0</v>
      </c>
      <c r="E11" s="237">
        <v>0</v>
      </c>
      <c r="F11" s="238">
        <v>0</v>
      </c>
      <c r="G11" s="239">
        <v>0</v>
      </c>
      <c r="H11" s="240">
        <f t="shared" si="2"/>
        <v>12205.4</v>
      </c>
      <c r="I11" s="220"/>
      <c r="J11" s="246">
        <f>+H11*100/H48</f>
        <v>2.1836649467119136</v>
      </c>
      <c r="L11" s="236">
        <v>10</v>
      </c>
      <c r="M11" s="219" t="s">
        <v>353</v>
      </c>
      <c r="N11" s="242">
        <v>0</v>
      </c>
      <c r="O11" s="220">
        <v>1026.5</v>
      </c>
      <c r="P11" s="242">
        <v>0</v>
      </c>
      <c r="Q11" s="242">
        <v>0</v>
      </c>
      <c r="R11" s="242">
        <v>0</v>
      </c>
      <c r="S11" s="242">
        <f t="shared" si="0"/>
        <v>1026.5</v>
      </c>
      <c r="T11" s="241">
        <f>+S11*100/S12</f>
        <v>0.94835717098912142</v>
      </c>
      <c r="U11" s="236">
        <v>10</v>
      </c>
      <c r="V11" s="219" t="s">
        <v>353</v>
      </c>
      <c r="W11" s="220">
        <v>1026.5</v>
      </c>
      <c r="X11" s="242">
        <v>0</v>
      </c>
      <c r="Y11" s="242">
        <f t="shared" si="1"/>
        <v>1026.5</v>
      </c>
      <c r="Z11" s="253"/>
    </row>
    <row r="12" spans="1:33" ht="24" thickBot="1" x14ac:dyDescent="0.55000000000000004">
      <c r="A12" s="236">
        <v>10</v>
      </c>
      <c r="B12" s="219" t="s">
        <v>344</v>
      </c>
      <c r="C12" s="237">
        <v>6994.6</v>
      </c>
      <c r="D12" s="237">
        <v>966.5</v>
      </c>
      <c r="E12" s="237">
        <v>0</v>
      </c>
      <c r="F12" s="238">
        <v>0</v>
      </c>
      <c r="G12" s="239">
        <v>0</v>
      </c>
      <c r="H12" s="240">
        <f t="shared" si="2"/>
        <v>7961.1</v>
      </c>
      <c r="I12" s="220"/>
      <c r="J12" s="246">
        <f>+H12*100/H48</f>
        <v>1.4243183351031685</v>
      </c>
      <c r="L12" s="254"/>
      <c r="M12" s="255" t="s">
        <v>397</v>
      </c>
      <c r="N12" s="256">
        <f t="shared" ref="N12:S12" si="3">SUM(N3:N11)</f>
        <v>593.65</v>
      </c>
      <c r="O12" s="256">
        <f t="shared" si="3"/>
        <v>107609.75999999998</v>
      </c>
      <c r="P12" s="256">
        <f t="shared" si="3"/>
        <v>0</v>
      </c>
      <c r="Q12" s="256">
        <f t="shared" si="3"/>
        <v>0</v>
      </c>
      <c r="R12" s="256">
        <f t="shared" si="3"/>
        <v>36.4</v>
      </c>
      <c r="S12" s="256">
        <f t="shared" si="3"/>
        <v>108239.80999999998</v>
      </c>
      <c r="U12" s="254"/>
      <c r="V12" s="255" t="s">
        <v>397</v>
      </c>
      <c r="W12" s="256">
        <f>SUM(W3:W11)</f>
        <v>102484.54999999999</v>
      </c>
      <c r="X12" s="256">
        <f t="shared" ref="X12" si="4">SUM(X3:X11)</f>
        <v>5755.26</v>
      </c>
      <c r="Y12" s="256">
        <f>SUM(Y3:Y11)</f>
        <v>108239.80999999998</v>
      </c>
    </row>
    <row r="13" spans="1:33" ht="24" thickTop="1" x14ac:dyDescent="0.5">
      <c r="A13" s="236">
        <v>11</v>
      </c>
      <c r="B13" s="219" t="s">
        <v>343</v>
      </c>
      <c r="C13" s="237">
        <v>7209.95</v>
      </c>
      <c r="D13" s="237">
        <v>0</v>
      </c>
      <c r="E13" s="237">
        <v>0</v>
      </c>
      <c r="F13" s="238">
        <v>0</v>
      </c>
      <c r="G13" s="239">
        <v>0</v>
      </c>
      <c r="H13" s="240">
        <f t="shared" si="2"/>
        <v>7209.95</v>
      </c>
      <c r="I13" s="220"/>
      <c r="J13" s="257"/>
    </row>
    <row r="14" spans="1:33" x14ac:dyDescent="0.5">
      <c r="A14" s="236">
        <v>12</v>
      </c>
      <c r="B14" s="219" t="s">
        <v>341</v>
      </c>
      <c r="C14" s="220">
        <v>6263.0999999999995</v>
      </c>
      <c r="D14" s="237">
        <v>0</v>
      </c>
      <c r="E14" s="237">
        <v>0</v>
      </c>
      <c r="F14" s="238">
        <v>0</v>
      </c>
      <c r="G14" s="239">
        <v>0</v>
      </c>
      <c r="H14" s="240">
        <f t="shared" si="2"/>
        <v>6263.0999999999995</v>
      </c>
      <c r="I14" s="220"/>
      <c r="J14" s="257"/>
      <c r="K14" s="258"/>
      <c r="N14" s="259">
        <f>+N12*100/S12</f>
        <v>0.54845809503915433</v>
      </c>
      <c r="O14" s="259">
        <f>+O12*100/S12</f>
        <v>99.417912873276478</v>
      </c>
      <c r="P14" s="259">
        <f>+P12*100/S12</f>
        <v>0</v>
      </c>
      <c r="Q14" s="259">
        <f>+Q12*100/S12</f>
        <v>0</v>
      </c>
      <c r="R14" s="259">
        <f>+R12*100/S12</f>
        <v>3.362903168436826E-2</v>
      </c>
      <c r="W14" s="259">
        <f>+W12*100/Y12</f>
        <v>94.682862063412713</v>
      </c>
      <c r="X14" s="259">
        <f>+X12*100/Y12</f>
        <v>5.3171379365872875</v>
      </c>
      <c r="Y14" s="259"/>
    </row>
    <row r="15" spans="1:33" ht="23.25" customHeight="1" x14ac:dyDescent="0.5">
      <c r="A15" s="236">
        <v>13</v>
      </c>
      <c r="B15" s="219" t="s">
        <v>339</v>
      </c>
      <c r="C15" s="237">
        <v>0</v>
      </c>
      <c r="D15" s="237">
        <v>0</v>
      </c>
      <c r="E15" s="237">
        <v>5361.99</v>
      </c>
      <c r="F15" s="238">
        <v>0</v>
      </c>
      <c r="G15" s="239">
        <v>0</v>
      </c>
      <c r="H15" s="240">
        <f t="shared" si="2"/>
        <v>5361.99</v>
      </c>
      <c r="I15" s="220"/>
      <c r="J15" s="257"/>
      <c r="K15" s="258"/>
    </row>
    <row r="16" spans="1:33" ht="23.25" customHeight="1" x14ac:dyDescent="0.6">
      <c r="A16" s="236">
        <v>14</v>
      </c>
      <c r="B16" s="219" t="s">
        <v>345</v>
      </c>
      <c r="C16" s="237">
        <v>0</v>
      </c>
      <c r="D16" s="220">
        <v>4941.7</v>
      </c>
      <c r="E16" s="237">
        <v>0</v>
      </c>
      <c r="F16" s="238">
        <v>0</v>
      </c>
      <c r="G16" s="239">
        <v>0</v>
      </c>
      <c r="H16" s="240">
        <f t="shared" si="2"/>
        <v>4941.7</v>
      </c>
      <c r="I16" s="220"/>
      <c r="J16" s="257"/>
      <c r="K16" s="258"/>
      <c r="AG16" s="226"/>
    </row>
    <row r="17" spans="1:11" ht="23.25" customHeight="1" x14ac:dyDescent="0.5">
      <c r="A17" s="236">
        <v>15</v>
      </c>
      <c r="B17" s="219" t="s">
        <v>349</v>
      </c>
      <c r="C17" s="237">
        <v>0</v>
      </c>
      <c r="D17" s="237">
        <v>0</v>
      </c>
      <c r="E17" s="237">
        <v>4432</v>
      </c>
      <c r="F17" s="238">
        <v>0</v>
      </c>
      <c r="G17" s="239">
        <v>0</v>
      </c>
      <c r="H17" s="240">
        <f t="shared" si="2"/>
        <v>4432</v>
      </c>
      <c r="I17" s="220"/>
      <c r="J17" s="257"/>
      <c r="K17" s="258"/>
    </row>
    <row r="18" spans="1:11" ht="23.25" customHeight="1" x14ac:dyDescent="0.5">
      <c r="A18" s="236">
        <v>16</v>
      </c>
      <c r="B18" s="219" t="s">
        <v>348</v>
      </c>
      <c r="C18" s="237">
        <v>3929.8499999999995</v>
      </c>
      <c r="D18" s="237">
        <v>0</v>
      </c>
      <c r="E18" s="237">
        <v>0</v>
      </c>
      <c r="F18" s="238">
        <v>0</v>
      </c>
      <c r="G18" s="239">
        <v>0</v>
      </c>
      <c r="H18" s="240">
        <f t="shared" si="2"/>
        <v>3929.8499999999995</v>
      </c>
      <c r="I18" s="220"/>
      <c r="J18" s="257"/>
      <c r="K18" s="258"/>
    </row>
    <row r="19" spans="1:11" ht="23.25" customHeight="1" x14ac:dyDescent="0.5">
      <c r="A19" s="236">
        <v>17</v>
      </c>
      <c r="B19" s="219" t="s">
        <v>354</v>
      </c>
      <c r="C19" s="237">
        <v>0</v>
      </c>
      <c r="D19" s="237">
        <v>3586.2</v>
      </c>
      <c r="E19" s="237">
        <v>0</v>
      </c>
      <c r="F19" s="238">
        <v>0</v>
      </c>
      <c r="G19" s="239">
        <v>0</v>
      </c>
      <c r="H19" s="240">
        <f t="shared" si="2"/>
        <v>3586.2</v>
      </c>
      <c r="I19" s="220"/>
      <c r="J19" s="257"/>
      <c r="K19" s="258"/>
    </row>
    <row r="20" spans="1:11" ht="23.25" customHeight="1" x14ac:dyDescent="0.5">
      <c r="A20" s="236">
        <v>18</v>
      </c>
      <c r="B20" s="219" t="s">
        <v>347</v>
      </c>
      <c r="C20" s="237">
        <v>3459.2999999999997</v>
      </c>
      <c r="D20" s="237">
        <v>0</v>
      </c>
      <c r="E20" s="237">
        <v>0</v>
      </c>
      <c r="F20" s="238">
        <v>0</v>
      </c>
      <c r="G20" s="239">
        <v>0</v>
      </c>
      <c r="H20" s="240">
        <f t="shared" si="2"/>
        <v>3459.2999999999997</v>
      </c>
      <c r="I20" s="220"/>
      <c r="J20" s="257"/>
      <c r="K20" s="258"/>
    </row>
    <row r="21" spans="1:11" x14ac:dyDescent="0.5">
      <c r="A21" s="236">
        <v>19</v>
      </c>
      <c r="B21" s="219" t="s">
        <v>346</v>
      </c>
      <c r="C21" s="220">
        <v>2747.6000000000004</v>
      </c>
      <c r="D21" s="237">
        <v>0</v>
      </c>
      <c r="E21" s="237">
        <v>0</v>
      </c>
      <c r="F21" s="238">
        <v>0</v>
      </c>
      <c r="G21" s="239">
        <v>0</v>
      </c>
      <c r="H21" s="240">
        <f t="shared" si="2"/>
        <v>2747.6000000000004</v>
      </c>
      <c r="I21" s="220"/>
      <c r="J21" s="257"/>
      <c r="K21" s="258"/>
    </row>
    <row r="22" spans="1:11" x14ac:dyDescent="0.5">
      <c r="A22" s="236">
        <v>20</v>
      </c>
      <c r="B22" s="219" t="s">
        <v>364</v>
      </c>
      <c r="C22" s="220">
        <v>2566.65</v>
      </c>
      <c r="D22" s="237">
        <v>0</v>
      </c>
      <c r="E22" s="237">
        <v>0</v>
      </c>
      <c r="F22" s="238">
        <v>0</v>
      </c>
      <c r="G22" s="239">
        <v>0</v>
      </c>
      <c r="H22" s="240">
        <f t="shared" si="2"/>
        <v>2566.65</v>
      </c>
      <c r="I22" s="220"/>
      <c r="J22" s="257"/>
      <c r="K22" s="258"/>
    </row>
    <row r="23" spans="1:11" x14ac:dyDescent="0.5">
      <c r="A23" s="236">
        <v>21</v>
      </c>
      <c r="B23" s="219" t="s">
        <v>359</v>
      </c>
      <c r="C23" s="220">
        <v>2560.5500000000002</v>
      </c>
      <c r="D23" s="237">
        <v>0</v>
      </c>
      <c r="E23" s="237">
        <v>0</v>
      </c>
      <c r="F23" s="238">
        <v>0</v>
      </c>
      <c r="G23" s="239">
        <v>0</v>
      </c>
      <c r="H23" s="240">
        <f t="shared" si="2"/>
        <v>2560.5500000000002</v>
      </c>
      <c r="I23" s="220"/>
      <c r="J23" s="257"/>
      <c r="K23" s="258"/>
    </row>
    <row r="24" spans="1:11" x14ac:dyDescent="0.5">
      <c r="A24" s="236">
        <v>22</v>
      </c>
      <c r="B24" s="219" t="s">
        <v>352</v>
      </c>
      <c r="C24" s="220">
        <v>2378.5</v>
      </c>
      <c r="D24" s="237">
        <v>0</v>
      </c>
      <c r="E24" s="237">
        <v>0</v>
      </c>
      <c r="F24" s="238">
        <v>0</v>
      </c>
      <c r="G24" s="239">
        <v>0</v>
      </c>
      <c r="H24" s="240">
        <f t="shared" si="2"/>
        <v>2378.5</v>
      </c>
      <c r="I24" s="220"/>
      <c r="J24" s="257"/>
      <c r="K24" s="258"/>
    </row>
    <row r="25" spans="1:11" x14ac:dyDescent="0.5">
      <c r="A25" s="236">
        <v>23</v>
      </c>
      <c r="B25" s="219" t="s">
        <v>350</v>
      </c>
      <c r="C25" s="220">
        <v>1972</v>
      </c>
      <c r="D25" s="237">
        <v>0</v>
      </c>
      <c r="E25" s="237">
        <v>0</v>
      </c>
      <c r="F25" s="238">
        <v>0</v>
      </c>
      <c r="G25" s="239">
        <v>0</v>
      </c>
      <c r="H25" s="240">
        <f t="shared" si="2"/>
        <v>1972</v>
      </c>
      <c r="I25" s="220"/>
      <c r="J25" s="257"/>
      <c r="K25" s="258"/>
    </row>
    <row r="26" spans="1:11" x14ac:dyDescent="0.5">
      <c r="A26" s="236">
        <v>24</v>
      </c>
      <c r="B26" s="219" t="s">
        <v>356</v>
      </c>
      <c r="C26" s="220">
        <v>1951.65</v>
      </c>
      <c r="D26" s="237">
        <v>0</v>
      </c>
      <c r="E26" s="237">
        <v>0</v>
      </c>
      <c r="F26" s="238">
        <v>0</v>
      </c>
      <c r="G26" s="239">
        <v>0</v>
      </c>
      <c r="H26" s="240">
        <f t="shared" si="2"/>
        <v>1951.65</v>
      </c>
      <c r="I26" s="220"/>
      <c r="J26" s="257"/>
      <c r="K26" s="258"/>
    </row>
    <row r="27" spans="1:11" x14ac:dyDescent="0.5">
      <c r="A27" s="236">
        <v>25</v>
      </c>
      <c r="B27" s="219" t="s">
        <v>351</v>
      </c>
      <c r="C27" s="237">
        <v>1391.4</v>
      </c>
      <c r="D27" s="237">
        <v>198.2</v>
      </c>
      <c r="E27" s="237">
        <v>0</v>
      </c>
      <c r="F27" s="238">
        <v>0</v>
      </c>
      <c r="G27" s="239">
        <v>0</v>
      </c>
      <c r="H27" s="240">
        <f t="shared" si="2"/>
        <v>1589.6000000000001</v>
      </c>
      <c r="I27" s="220"/>
      <c r="J27" s="257"/>
      <c r="K27" s="258"/>
    </row>
    <row r="28" spans="1:11" x14ac:dyDescent="0.5">
      <c r="A28" s="236">
        <v>26</v>
      </c>
      <c r="B28" s="219" t="s">
        <v>355</v>
      </c>
      <c r="C28" s="220">
        <v>1408.3400000000001</v>
      </c>
      <c r="D28" s="237">
        <v>0</v>
      </c>
      <c r="E28" s="237">
        <v>0</v>
      </c>
      <c r="F28" s="238">
        <v>0</v>
      </c>
      <c r="G28" s="239">
        <v>0</v>
      </c>
      <c r="H28" s="240">
        <f t="shared" si="2"/>
        <v>1408.3400000000001</v>
      </c>
      <c r="I28" s="220"/>
      <c r="J28" s="257"/>
      <c r="K28" s="258"/>
    </row>
    <row r="29" spans="1:11" x14ac:dyDescent="0.5">
      <c r="A29" s="236">
        <v>27</v>
      </c>
      <c r="B29" s="219" t="s">
        <v>361</v>
      </c>
      <c r="C29" s="220">
        <v>1034.1500000000001</v>
      </c>
      <c r="D29" s="237">
        <v>0</v>
      </c>
      <c r="E29" s="237">
        <v>0</v>
      </c>
      <c r="F29" s="238">
        <v>0</v>
      </c>
      <c r="G29" s="239">
        <v>0</v>
      </c>
      <c r="H29" s="240">
        <f t="shared" si="2"/>
        <v>1034.1500000000001</v>
      </c>
      <c r="I29" s="220"/>
      <c r="J29" s="257"/>
      <c r="K29" s="258"/>
    </row>
    <row r="30" spans="1:11" x14ac:dyDescent="0.5">
      <c r="A30" s="236">
        <v>28</v>
      </c>
      <c r="B30" s="219" t="s">
        <v>353</v>
      </c>
      <c r="C30" s="237">
        <v>0</v>
      </c>
      <c r="D30" s="220">
        <v>1026.5</v>
      </c>
      <c r="E30" s="237">
        <v>0</v>
      </c>
      <c r="F30" s="238">
        <v>0</v>
      </c>
      <c r="G30" s="239">
        <v>0</v>
      </c>
      <c r="H30" s="240">
        <f t="shared" si="2"/>
        <v>1026.5</v>
      </c>
      <c r="I30" s="220"/>
      <c r="J30" s="257"/>
      <c r="K30" s="258"/>
    </row>
    <row r="31" spans="1:11" x14ac:dyDescent="0.5">
      <c r="A31" s="236">
        <v>29</v>
      </c>
      <c r="B31" s="219" t="s">
        <v>367</v>
      </c>
      <c r="C31" s="220">
        <v>492.2</v>
      </c>
      <c r="D31" s="237">
        <v>0</v>
      </c>
      <c r="E31" s="237">
        <v>0</v>
      </c>
      <c r="F31" s="238">
        <v>0</v>
      </c>
      <c r="G31" s="239">
        <v>0</v>
      </c>
      <c r="H31" s="240">
        <f t="shared" si="2"/>
        <v>492.2</v>
      </c>
      <c r="I31" s="220"/>
      <c r="J31" s="257"/>
      <c r="K31" s="258"/>
    </row>
    <row r="32" spans="1:11" x14ac:dyDescent="0.5">
      <c r="A32" s="236">
        <v>30</v>
      </c>
      <c r="B32" s="219" t="s">
        <v>362</v>
      </c>
      <c r="C32" s="220">
        <v>460.75</v>
      </c>
      <c r="D32" s="237">
        <v>0</v>
      </c>
      <c r="E32" s="237">
        <v>0</v>
      </c>
      <c r="F32" s="238">
        <v>0</v>
      </c>
      <c r="G32" s="239">
        <v>0</v>
      </c>
      <c r="H32" s="240">
        <f t="shared" si="2"/>
        <v>460.75</v>
      </c>
      <c r="I32" s="220"/>
      <c r="J32" s="257"/>
      <c r="K32" s="258"/>
    </row>
    <row r="33" spans="1:11" x14ac:dyDescent="0.5">
      <c r="A33" s="236">
        <v>31</v>
      </c>
      <c r="B33" s="219" t="s">
        <v>366</v>
      </c>
      <c r="C33" s="220">
        <v>390.35</v>
      </c>
      <c r="D33" s="237">
        <v>0</v>
      </c>
      <c r="E33" s="237">
        <v>0</v>
      </c>
      <c r="F33" s="238">
        <v>0</v>
      </c>
      <c r="G33" s="239">
        <v>0</v>
      </c>
      <c r="H33" s="240">
        <f t="shared" si="2"/>
        <v>390.35</v>
      </c>
      <c r="I33" s="220"/>
      <c r="J33" s="257"/>
      <c r="K33" s="258"/>
    </row>
    <row r="34" spans="1:11" x14ac:dyDescent="0.5">
      <c r="A34" s="236">
        <v>32</v>
      </c>
      <c r="B34" s="219" t="s">
        <v>368</v>
      </c>
      <c r="C34" s="220">
        <v>386.6</v>
      </c>
      <c r="D34" s="237">
        <v>0</v>
      </c>
      <c r="E34" s="237">
        <v>0</v>
      </c>
      <c r="F34" s="238">
        <v>0</v>
      </c>
      <c r="G34" s="239">
        <v>0</v>
      </c>
      <c r="H34" s="240">
        <f t="shared" si="2"/>
        <v>386.6</v>
      </c>
      <c r="I34" s="220"/>
      <c r="J34" s="257"/>
      <c r="K34" s="258"/>
    </row>
    <row r="35" spans="1:11" x14ac:dyDescent="0.5">
      <c r="A35" s="236">
        <v>33</v>
      </c>
      <c r="B35" s="219" t="s">
        <v>363</v>
      </c>
      <c r="C35" s="237">
        <v>0</v>
      </c>
      <c r="D35" s="237">
        <v>0</v>
      </c>
      <c r="E35" s="220">
        <v>364.8</v>
      </c>
      <c r="F35" s="238">
        <v>0</v>
      </c>
      <c r="G35" s="239">
        <v>0</v>
      </c>
      <c r="H35" s="240">
        <f t="shared" si="2"/>
        <v>364.8</v>
      </c>
      <c r="I35" s="220"/>
      <c r="J35" s="257"/>
      <c r="K35" s="258"/>
    </row>
    <row r="36" spans="1:11" x14ac:dyDescent="0.5">
      <c r="A36" s="236">
        <v>34</v>
      </c>
      <c r="B36" s="219" t="s">
        <v>365</v>
      </c>
      <c r="C36" s="220">
        <v>286.14999999999998</v>
      </c>
      <c r="D36" s="237">
        <v>0</v>
      </c>
      <c r="E36" s="237">
        <v>0</v>
      </c>
      <c r="F36" s="238">
        <v>0</v>
      </c>
      <c r="G36" s="239">
        <v>0</v>
      </c>
      <c r="H36" s="240">
        <f t="shared" si="2"/>
        <v>286.14999999999998</v>
      </c>
      <c r="I36" s="220"/>
      <c r="J36" s="257"/>
      <c r="K36" s="258"/>
    </row>
    <row r="37" spans="1:11" x14ac:dyDescent="0.5">
      <c r="A37" s="236">
        <v>35</v>
      </c>
      <c r="B37" s="219" t="s">
        <v>372</v>
      </c>
      <c r="C37" s="220">
        <v>252.45</v>
      </c>
      <c r="D37" s="237">
        <v>0</v>
      </c>
      <c r="E37" s="237">
        <v>0</v>
      </c>
      <c r="F37" s="238">
        <v>0</v>
      </c>
      <c r="G37" s="239">
        <v>0</v>
      </c>
      <c r="H37" s="240">
        <f t="shared" si="2"/>
        <v>252.45</v>
      </c>
      <c r="I37" s="220"/>
      <c r="J37" s="257"/>
      <c r="K37" s="258"/>
    </row>
    <row r="38" spans="1:11" x14ac:dyDescent="0.5">
      <c r="A38" s="236">
        <v>36</v>
      </c>
      <c r="B38" s="219" t="s">
        <v>360</v>
      </c>
      <c r="C38" s="237">
        <v>0</v>
      </c>
      <c r="D38" s="237">
        <v>0</v>
      </c>
      <c r="E38" s="220">
        <v>251.14999999999998</v>
      </c>
      <c r="F38" s="238">
        <v>0</v>
      </c>
      <c r="G38" s="239">
        <v>0</v>
      </c>
      <c r="H38" s="240">
        <f t="shared" si="2"/>
        <v>251.14999999999998</v>
      </c>
      <c r="I38" s="220"/>
      <c r="J38" s="257"/>
      <c r="K38" s="258"/>
    </row>
    <row r="39" spans="1:11" x14ac:dyDescent="0.5">
      <c r="A39" s="236">
        <v>37</v>
      </c>
      <c r="B39" s="219" t="s">
        <v>369</v>
      </c>
      <c r="C39" s="237">
        <v>0</v>
      </c>
      <c r="D39" s="237">
        <v>0</v>
      </c>
      <c r="E39" s="237">
        <v>0</v>
      </c>
      <c r="F39" s="238">
        <v>248.39999999999998</v>
      </c>
      <c r="G39" s="239">
        <v>0</v>
      </c>
      <c r="H39" s="240">
        <f t="shared" si="2"/>
        <v>248.39999999999998</v>
      </c>
      <c r="I39" s="220"/>
      <c r="J39" s="257"/>
      <c r="K39" s="258"/>
    </row>
    <row r="40" spans="1:11" x14ac:dyDescent="0.5">
      <c r="A40" s="236">
        <v>38</v>
      </c>
      <c r="B40" s="219" t="s">
        <v>357</v>
      </c>
      <c r="C40" s="237">
        <v>0</v>
      </c>
      <c r="D40" s="237">
        <v>0</v>
      </c>
      <c r="E40" s="237">
        <v>0</v>
      </c>
      <c r="F40" s="238">
        <v>248.39999999999998</v>
      </c>
      <c r="G40" s="239">
        <v>0</v>
      </c>
      <c r="H40" s="240">
        <f t="shared" si="2"/>
        <v>248.39999999999998</v>
      </c>
      <c r="I40" s="220"/>
      <c r="J40" s="257"/>
      <c r="K40" s="258"/>
    </row>
    <row r="41" spans="1:11" x14ac:dyDescent="0.5">
      <c r="A41" s="236">
        <v>39</v>
      </c>
      <c r="B41" s="219" t="s">
        <v>370</v>
      </c>
      <c r="C41" s="237">
        <v>0</v>
      </c>
      <c r="D41" s="237">
        <v>0</v>
      </c>
      <c r="E41" s="237">
        <v>0</v>
      </c>
      <c r="F41" s="238">
        <v>194.64</v>
      </c>
      <c r="G41" s="239">
        <v>0</v>
      </c>
      <c r="H41" s="240">
        <f t="shared" si="2"/>
        <v>194.64</v>
      </c>
      <c r="I41" s="220"/>
      <c r="J41" s="257"/>
      <c r="K41" s="258"/>
    </row>
    <row r="42" spans="1:11" x14ac:dyDescent="0.5">
      <c r="A42" s="236">
        <v>40</v>
      </c>
      <c r="B42" s="219" t="s">
        <v>373</v>
      </c>
      <c r="C42" s="237">
        <v>190.7</v>
      </c>
      <c r="D42" s="237">
        <v>0</v>
      </c>
      <c r="E42" s="237">
        <v>0</v>
      </c>
      <c r="F42" s="238">
        <v>0</v>
      </c>
      <c r="G42" s="239">
        <v>0</v>
      </c>
      <c r="H42" s="240">
        <f t="shared" si="2"/>
        <v>190.7</v>
      </c>
      <c r="I42" s="220"/>
      <c r="J42" s="257"/>
      <c r="K42" s="258"/>
    </row>
    <row r="43" spans="1:11" x14ac:dyDescent="0.5">
      <c r="A43" s="236">
        <v>41</v>
      </c>
      <c r="B43" s="219" t="s">
        <v>374</v>
      </c>
      <c r="C43" s="237">
        <v>0</v>
      </c>
      <c r="D43" s="237">
        <v>0</v>
      </c>
      <c r="E43" s="237">
        <v>0</v>
      </c>
      <c r="F43" s="238">
        <v>165.79999999999998</v>
      </c>
      <c r="G43" s="239">
        <v>0</v>
      </c>
      <c r="H43" s="240">
        <f t="shared" si="2"/>
        <v>165.79999999999998</v>
      </c>
      <c r="I43" s="220"/>
      <c r="J43" s="257"/>
      <c r="K43" s="258"/>
    </row>
    <row r="44" spans="1:11" x14ac:dyDescent="0.5">
      <c r="A44" s="236">
        <v>42</v>
      </c>
      <c r="B44" s="219" t="s">
        <v>358</v>
      </c>
      <c r="C44" s="237">
        <v>0</v>
      </c>
      <c r="D44" s="237">
        <v>0</v>
      </c>
      <c r="E44" s="237">
        <v>0</v>
      </c>
      <c r="F44" s="238">
        <v>87</v>
      </c>
      <c r="G44" s="239">
        <v>0</v>
      </c>
      <c r="H44" s="240">
        <f t="shared" si="2"/>
        <v>87</v>
      </c>
      <c r="I44" s="220"/>
      <c r="J44" s="257"/>
      <c r="K44" s="258"/>
    </row>
    <row r="45" spans="1:11" x14ac:dyDescent="0.5">
      <c r="A45" s="236">
        <v>43</v>
      </c>
      <c r="B45" s="219" t="s">
        <v>375</v>
      </c>
      <c r="C45" s="237">
        <v>85.7</v>
      </c>
      <c r="D45" s="237">
        <v>0</v>
      </c>
      <c r="E45" s="237">
        <v>0</v>
      </c>
      <c r="F45" s="238">
        <v>0</v>
      </c>
      <c r="G45" s="239">
        <v>0</v>
      </c>
      <c r="H45" s="240">
        <f t="shared" si="2"/>
        <v>85.7</v>
      </c>
      <c r="I45" s="220"/>
      <c r="J45" s="257"/>
      <c r="K45" s="258"/>
    </row>
    <row r="46" spans="1:11" x14ac:dyDescent="0.5">
      <c r="A46" s="236">
        <v>44</v>
      </c>
      <c r="B46" s="219" t="s">
        <v>371</v>
      </c>
      <c r="C46" s="237">
        <v>0</v>
      </c>
      <c r="D46" s="237">
        <v>0</v>
      </c>
      <c r="E46" s="237">
        <v>0</v>
      </c>
      <c r="F46" s="238">
        <v>62.099999999999994</v>
      </c>
      <c r="G46" s="239">
        <v>0</v>
      </c>
      <c r="H46" s="240">
        <f t="shared" si="2"/>
        <v>62.099999999999994</v>
      </c>
      <c r="I46" s="220"/>
      <c r="J46" s="257"/>
      <c r="K46" s="258"/>
    </row>
    <row r="47" spans="1:11" x14ac:dyDescent="0.5">
      <c r="A47" s="236">
        <v>45</v>
      </c>
      <c r="B47" s="219" t="s">
        <v>376</v>
      </c>
      <c r="C47" s="237">
        <v>0</v>
      </c>
      <c r="D47" s="237">
        <v>0</v>
      </c>
      <c r="E47" s="237">
        <v>0</v>
      </c>
      <c r="F47" s="238">
        <v>24.839999999999996</v>
      </c>
      <c r="G47" s="239">
        <v>0</v>
      </c>
      <c r="H47" s="240">
        <f t="shared" si="2"/>
        <v>24.839999999999996</v>
      </c>
      <c r="I47" s="220"/>
      <c r="J47" s="257"/>
      <c r="K47" s="258"/>
    </row>
    <row r="48" spans="1:11" ht="24" thickBot="1" x14ac:dyDescent="0.55000000000000004">
      <c r="A48" s="366" t="s">
        <v>397</v>
      </c>
      <c r="B48" s="367"/>
      <c r="C48" s="260">
        <f t="shared" ref="C48:H48" si="5">SUM(C3:C47)</f>
        <v>438464.53</v>
      </c>
      <c r="D48" s="260">
        <f t="shared" si="5"/>
        <v>108239.80999999998</v>
      </c>
      <c r="E48" s="260">
        <f t="shared" si="5"/>
        <v>10409.939999999999</v>
      </c>
      <c r="F48" s="261">
        <f t="shared" si="5"/>
        <v>1826.7799999999997</v>
      </c>
      <c r="G48" s="262">
        <f t="shared" si="5"/>
        <v>0</v>
      </c>
      <c r="H48" s="260">
        <f t="shared" si="5"/>
        <v>558941.05999999982</v>
      </c>
      <c r="I48" s="222"/>
      <c r="J48" s="257"/>
      <c r="K48" s="258"/>
    </row>
    <row r="49" spans="1:34" ht="24" thickTop="1" x14ac:dyDescent="0.5">
      <c r="I49" s="265"/>
      <c r="J49" s="266"/>
    </row>
    <row r="50" spans="1:34" x14ac:dyDescent="0.5">
      <c r="C50" s="259">
        <f>+C48*100/H48</f>
        <v>78.445575281229139</v>
      </c>
      <c r="D50" s="259">
        <f>+D48*100/H48</f>
        <v>19.365156318986479</v>
      </c>
      <c r="E50" s="259">
        <f>+E48*100/H48</f>
        <v>1.8624396640318395</v>
      </c>
      <c r="F50" s="259">
        <f>+F48*100/H48</f>
        <v>0.3268287357525676</v>
      </c>
      <c r="G50" s="259">
        <f>+G48*100/H48</f>
        <v>0</v>
      </c>
    </row>
    <row r="56" spans="1:34" ht="29.25" x14ac:dyDescent="0.6">
      <c r="A56" s="368" t="s">
        <v>399</v>
      </c>
      <c r="B56" s="368"/>
      <c r="C56" s="368"/>
      <c r="D56" s="368"/>
      <c r="E56" s="368"/>
      <c r="F56" s="368"/>
      <c r="G56" s="368"/>
      <c r="H56" s="368"/>
      <c r="I56" s="368"/>
      <c r="L56" s="370" t="s">
        <v>400</v>
      </c>
      <c r="M56" s="370"/>
      <c r="N56" s="370"/>
      <c r="O56" s="370"/>
      <c r="P56" s="370"/>
      <c r="Q56" s="370"/>
      <c r="R56" s="370"/>
      <c r="S56" s="370"/>
      <c r="U56" s="370" t="s">
        <v>401</v>
      </c>
      <c r="V56" s="370"/>
      <c r="W56" s="370"/>
      <c r="X56" s="370"/>
      <c r="Y56" s="370"/>
      <c r="AA56" s="370" t="s">
        <v>402</v>
      </c>
      <c r="AB56" s="370"/>
      <c r="AC56" s="370"/>
      <c r="AD56" s="370"/>
      <c r="AE56" s="370"/>
      <c r="AF56" s="370"/>
    </row>
    <row r="57" spans="1:34" ht="46.5" x14ac:dyDescent="0.5">
      <c r="A57" s="227" t="s">
        <v>377</v>
      </c>
      <c r="B57" s="227" t="s">
        <v>403</v>
      </c>
      <c r="C57" s="228" t="s">
        <v>379</v>
      </c>
      <c r="D57" s="228" t="s">
        <v>380</v>
      </c>
      <c r="E57" s="228" t="s">
        <v>381</v>
      </c>
      <c r="F57" s="229" t="s">
        <v>404</v>
      </c>
      <c r="G57" s="230" t="s">
        <v>383</v>
      </c>
      <c r="H57" s="228" t="s">
        <v>384</v>
      </c>
      <c r="I57" s="227" t="s">
        <v>385</v>
      </c>
      <c r="J57" s="231"/>
      <c r="L57" s="227" t="s">
        <v>377</v>
      </c>
      <c r="M57" s="227" t="s">
        <v>403</v>
      </c>
      <c r="N57" s="227" t="s">
        <v>386</v>
      </c>
      <c r="O57" s="227" t="s">
        <v>387</v>
      </c>
      <c r="P57" s="227" t="s">
        <v>388</v>
      </c>
      <c r="Q57" s="227" t="s">
        <v>389</v>
      </c>
      <c r="R57" s="227" t="s">
        <v>390</v>
      </c>
      <c r="S57" s="227" t="s">
        <v>391</v>
      </c>
      <c r="U57" s="227" t="s">
        <v>377</v>
      </c>
      <c r="V57" s="227" t="s">
        <v>403</v>
      </c>
      <c r="W57" s="227" t="s">
        <v>392</v>
      </c>
      <c r="X57" s="227" t="s">
        <v>393</v>
      </c>
      <c r="Y57" s="227" t="s">
        <v>391</v>
      </c>
      <c r="AA57" s="227" t="s">
        <v>377</v>
      </c>
      <c r="AB57" s="227" t="s">
        <v>378</v>
      </c>
      <c r="AC57" s="227" t="s">
        <v>394</v>
      </c>
      <c r="AD57" s="235" t="s">
        <v>395</v>
      </c>
      <c r="AE57" s="228" t="s">
        <v>396</v>
      </c>
      <c r="AF57" s="227" t="s">
        <v>391</v>
      </c>
    </row>
    <row r="58" spans="1:34" x14ac:dyDescent="0.5">
      <c r="A58" s="236">
        <v>1</v>
      </c>
      <c r="B58" s="267" t="s">
        <v>319</v>
      </c>
      <c r="C58" s="267">
        <v>438464.53</v>
      </c>
      <c r="D58" s="267">
        <v>108239.80999999998</v>
      </c>
      <c r="E58" s="267">
        <v>10409.939999999999</v>
      </c>
      <c r="F58" s="267">
        <v>1826.7799999999997</v>
      </c>
      <c r="G58" s="267">
        <v>0</v>
      </c>
      <c r="H58" s="268">
        <f>+C58+D58+E58+F58+G58</f>
        <v>558941.05999999994</v>
      </c>
      <c r="I58" s="237"/>
      <c r="J58" s="266"/>
      <c r="L58" s="236">
        <v>1</v>
      </c>
      <c r="M58" s="267" t="s">
        <v>319</v>
      </c>
      <c r="N58" s="242">
        <v>593.65</v>
      </c>
      <c r="O58" s="242">
        <v>107609.75999999998</v>
      </c>
      <c r="P58" s="242">
        <v>0</v>
      </c>
      <c r="Q58" s="242">
        <v>0</v>
      </c>
      <c r="R58" s="242">
        <v>36.4</v>
      </c>
      <c r="S58" s="269">
        <f>+N58+O58</f>
        <v>108203.40999999997</v>
      </c>
      <c r="U58" s="236">
        <v>1</v>
      </c>
      <c r="V58" s="267" t="s">
        <v>319</v>
      </c>
      <c r="W58" s="242">
        <v>102484.54999999999</v>
      </c>
      <c r="X58" s="242">
        <v>5755.26</v>
      </c>
      <c r="Y58" s="269">
        <f>+W58+X58</f>
        <v>108239.80999999998</v>
      </c>
      <c r="AA58" s="236">
        <v>1</v>
      </c>
      <c r="AB58" s="267" t="s">
        <v>319</v>
      </c>
      <c r="AC58" s="242">
        <v>10409.941999999997</v>
      </c>
      <c r="AD58" s="242">
        <v>22800</v>
      </c>
      <c r="AE58" s="242">
        <v>0</v>
      </c>
      <c r="AF58" s="269">
        <f t="shared" ref="AF58:AF69" si="6">+AC58+AE58</f>
        <v>10409.941999999997</v>
      </c>
    </row>
    <row r="59" spans="1:34" x14ac:dyDescent="0.5">
      <c r="A59" s="236">
        <v>2</v>
      </c>
      <c r="B59" s="267" t="s">
        <v>320</v>
      </c>
      <c r="C59" s="267"/>
      <c r="D59" s="267"/>
      <c r="E59" s="267"/>
      <c r="F59" s="267"/>
      <c r="G59" s="267"/>
      <c r="H59" s="268">
        <f t="shared" ref="H59:H69" si="7">+C59+D59+E59+F59+G59</f>
        <v>0</v>
      </c>
      <c r="I59" s="237"/>
      <c r="J59" s="266"/>
      <c r="L59" s="236">
        <v>2</v>
      </c>
      <c r="M59" s="267" t="s">
        <v>320</v>
      </c>
      <c r="N59" s="242"/>
      <c r="O59" s="242"/>
      <c r="P59" s="242"/>
      <c r="Q59" s="242"/>
      <c r="R59" s="242"/>
      <c r="S59" s="269">
        <f t="shared" ref="S59:S69" si="8">+N59+O59</f>
        <v>0</v>
      </c>
      <c r="U59" s="236">
        <v>2</v>
      </c>
      <c r="V59" s="267" t="s">
        <v>320</v>
      </c>
      <c r="W59" s="242"/>
      <c r="X59" s="242"/>
      <c r="Y59" s="269">
        <f t="shared" ref="Y59:Y69" si="9">+W59+X59</f>
        <v>0</v>
      </c>
      <c r="AA59" s="236">
        <v>2</v>
      </c>
      <c r="AB59" s="267" t="s">
        <v>320</v>
      </c>
      <c r="AC59" s="242">
        <v>0</v>
      </c>
      <c r="AD59" s="242">
        <v>0</v>
      </c>
      <c r="AE59" s="242">
        <f t="shared" ref="AE59:AE69" si="10">AE9</f>
        <v>0</v>
      </c>
      <c r="AF59" s="269">
        <f t="shared" si="6"/>
        <v>0</v>
      </c>
    </row>
    <row r="60" spans="1:34" x14ac:dyDescent="0.5">
      <c r="A60" s="236">
        <v>3</v>
      </c>
      <c r="B60" s="267" t="s">
        <v>321</v>
      </c>
      <c r="C60" s="267"/>
      <c r="D60" s="267"/>
      <c r="E60" s="267"/>
      <c r="F60" s="267"/>
      <c r="G60" s="267"/>
      <c r="H60" s="268">
        <f t="shared" si="7"/>
        <v>0</v>
      </c>
      <c r="I60" s="237"/>
      <c r="J60" s="266"/>
      <c r="L60" s="236">
        <v>3</v>
      </c>
      <c r="M60" s="267" t="s">
        <v>321</v>
      </c>
      <c r="N60" s="242"/>
      <c r="O60" s="242"/>
      <c r="P60" s="242"/>
      <c r="Q60" s="242"/>
      <c r="R60" s="242"/>
      <c r="S60" s="269">
        <f t="shared" si="8"/>
        <v>0</v>
      </c>
      <c r="U60" s="236">
        <v>3</v>
      </c>
      <c r="V60" s="267" t="s">
        <v>321</v>
      </c>
      <c r="W60" s="242"/>
      <c r="X60" s="242"/>
      <c r="Y60" s="269">
        <f t="shared" si="9"/>
        <v>0</v>
      </c>
      <c r="AA60" s="236">
        <v>3</v>
      </c>
      <c r="AB60" s="267" t="s">
        <v>321</v>
      </c>
      <c r="AC60" s="242">
        <v>0</v>
      </c>
      <c r="AD60" s="242">
        <v>0</v>
      </c>
      <c r="AE60" s="242">
        <f t="shared" si="10"/>
        <v>0</v>
      </c>
      <c r="AF60" s="269">
        <f t="shared" si="6"/>
        <v>0</v>
      </c>
    </row>
    <row r="61" spans="1:34" x14ac:dyDescent="0.5">
      <c r="A61" s="236">
        <v>4</v>
      </c>
      <c r="B61" s="267" t="s">
        <v>322</v>
      </c>
      <c r="C61" s="267"/>
      <c r="D61" s="267"/>
      <c r="E61" s="267"/>
      <c r="F61" s="267"/>
      <c r="G61" s="267"/>
      <c r="H61" s="268">
        <f t="shared" si="7"/>
        <v>0</v>
      </c>
      <c r="I61" s="237"/>
      <c r="J61" s="266"/>
      <c r="L61" s="236">
        <v>4</v>
      </c>
      <c r="M61" s="267" t="s">
        <v>322</v>
      </c>
      <c r="N61" s="242"/>
      <c r="O61" s="242"/>
      <c r="P61" s="242"/>
      <c r="Q61" s="242"/>
      <c r="R61" s="242"/>
      <c r="S61" s="269">
        <f t="shared" si="8"/>
        <v>0</v>
      </c>
      <c r="U61" s="236">
        <v>4</v>
      </c>
      <c r="V61" s="267" t="s">
        <v>322</v>
      </c>
      <c r="W61" s="242"/>
      <c r="X61" s="242"/>
      <c r="Y61" s="269">
        <f t="shared" si="9"/>
        <v>0</v>
      </c>
      <c r="AA61" s="236">
        <v>4</v>
      </c>
      <c r="AB61" s="267" t="s">
        <v>322</v>
      </c>
      <c r="AC61" s="242">
        <v>0</v>
      </c>
      <c r="AD61" s="242">
        <v>0</v>
      </c>
      <c r="AE61" s="242">
        <f t="shared" si="10"/>
        <v>0</v>
      </c>
      <c r="AF61" s="269">
        <f t="shared" si="6"/>
        <v>0</v>
      </c>
    </row>
    <row r="62" spans="1:34" x14ac:dyDescent="0.5">
      <c r="A62" s="236">
        <v>5</v>
      </c>
      <c r="B62" s="267" t="s">
        <v>323</v>
      </c>
      <c r="C62" s="267"/>
      <c r="D62" s="267"/>
      <c r="E62" s="267"/>
      <c r="F62" s="267"/>
      <c r="G62" s="267"/>
      <c r="H62" s="268">
        <f t="shared" si="7"/>
        <v>0</v>
      </c>
      <c r="I62" s="237"/>
      <c r="J62" s="266"/>
      <c r="L62" s="236">
        <v>5</v>
      </c>
      <c r="M62" s="267" t="s">
        <v>323</v>
      </c>
      <c r="N62" s="242"/>
      <c r="O62" s="242"/>
      <c r="P62" s="242"/>
      <c r="Q62" s="242"/>
      <c r="R62" s="242"/>
      <c r="S62" s="269">
        <f t="shared" si="8"/>
        <v>0</v>
      </c>
      <c r="U62" s="236">
        <v>5</v>
      </c>
      <c r="V62" s="267" t="s">
        <v>323</v>
      </c>
      <c r="W62" s="242"/>
      <c r="X62" s="242"/>
      <c r="Y62" s="269">
        <f t="shared" si="9"/>
        <v>0</v>
      </c>
      <c r="Z62" s="270"/>
      <c r="AA62" s="236">
        <v>5</v>
      </c>
      <c r="AB62" s="267" t="s">
        <v>323</v>
      </c>
      <c r="AC62" s="242">
        <v>0</v>
      </c>
      <c r="AD62" s="242">
        <v>0</v>
      </c>
      <c r="AE62" s="242">
        <f t="shared" si="10"/>
        <v>0</v>
      </c>
      <c r="AF62" s="269">
        <f>+AC62+AE62</f>
        <v>0</v>
      </c>
    </row>
    <row r="63" spans="1:34" ht="23.25" customHeight="1" x14ac:dyDescent="0.5">
      <c r="A63" s="236">
        <v>6</v>
      </c>
      <c r="B63" s="267" t="s">
        <v>324</v>
      </c>
      <c r="C63" s="267"/>
      <c r="D63" s="267"/>
      <c r="E63" s="267"/>
      <c r="F63" s="267"/>
      <c r="G63" s="267"/>
      <c r="H63" s="268">
        <f>+C63+D63+E63+F63+G63</f>
        <v>0</v>
      </c>
      <c r="I63" s="237"/>
      <c r="J63" s="266"/>
      <c r="L63" s="236">
        <v>6</v>
      </c>
      <c r="M63" s="267" t="s">
        <v>324</v>
      </c>
      <c r="N63" s="242"/>
      <c r="O63" s="242"/>
      <c r="P63" s="242"/>
      <c r="Q63" s="242"/>
      <c r="R63" s="242"/>
      <c r="S63" s="269">
        <f t="shared" si="8"/>
        <v>0</v>
      </c>
      <c r="T63" s="233"/>
      <c r="U63" s="236">
        <v>6</v>
      </c>
      <c r="V63" s="267" t="s">
        <v>324</v>
      </c>
      <c r="W63" s="242"/>
      <c r="X63" s="242"/>
      <c r="Y63" s="269">
        <f t="shared" si="9"/>
        <v>0</v>
      </c>
      <c r="AA63" s="236">
        <v>6</v>
      </c>
      <c r="AB63" s="267" t="s">
        <v>324</v>
      </c>
      <c r="AC63" s="242">
        <v>0</v>
      </c>
      <c r="AD63" s="242">
        <v>0</v>
      </c>
      <c r="AE63" s="242">
        <f t="shared" si="10"/>
        <v>0</v>
      </c>
      <c r="AF63" s="269">
        <f t="shared" si="6"/>
        <v>0</v>
      </c>
    </row>
    <row r="64" spans="1:34" ht="23.25" customHeight="1" x14ac:dyDescent="0.6">
      <c r="A64" s="236">
        <v>7</v>
      </c>
      <c r="B64" s="267" t="s">
        <v>325</v>
      </c>
      <c r="C64" s="267"/>
      <c r="D64" s="267"/>
      <c r="E64" s="267"/>
      <c r="F64" s="267"/>
      <c r="G64" s="267"/>
      <c r="H64" s="268">
        <f t="shared" si="7"/>
        <v>0</v>
      </c>
      <c r="I64" s="237"/>
      <c r="J64" s="266"/>
      <c r="L64" s="236">
        <v>7</v>
      </c>
      <c r="M64" s="267" t="s">
        <v>325</v>
      </c>
      <c r="N64" s="242"/>
      <c r="O64" s="242"/>
      <c r="P64" s="242"/>
      <c r="Q64" s="242"/>
      <c r="R64" s="242"/>
      <c r="S64" s="269">
        <f t="shared" si="8"/>
        <v>0</v>
      </c>
      <c r="U64" s="236">
        <v>7</v>
      </c>
      <c r="V64" s="267" t="s">
        <v>325</v>
      </c>
      <c r="W64" s="242"/>
      <c r="X64" s="242"/>
      <c r="Y64" s="269">
        <f t="shared" si="9"/>
        <v>0</v>
      </c>
      <c r="AA64" s="236">
        <v>7</v>
      </c>
      <c r="AB64" s="267" t="s">
        <v>325</v>
      </c>
      <c r="AC64" s="242">
        <v>0</v>
      </c>
      <c r="AD64" s="242">
        <v>0</v>
      </c>
      <c r="AE64" s="242">
        <f t="shared" si="10"/>
        <v>0</v>
      </c>
      <c r="AF64" s="269">
        <f>+AC64+AE64</f>
        <v>0</v>
      </c>
      <c r="AG64" s="226"/>
      <c r="AH64" s="233"/>
    </row>
    <row r="65" spans="1:34" s="233" customFormat="1" x14ac:dyDescent="0.5">
      <c r="A65" s="236">
        <v>8</v>
      </c>
      <c r="B65" s="267" t="s">
        <v>326</v>
      </c>
      <c r="C65" s="267"/>
      <c r="D65" s="267"/>
      <c r="E65" s="267"/>
      <c r="F65" s="267"/>
      <c r="G65" s="267"/>
      <c r="H65" s="268">
        <f t="shared" si="7"/>
        <v>0</v>
      </c>
      <c r="I65" s="237"/>
      <c r="J65" s="266"/>
      <c r="K65" s="232"/>
      <c r="L65" s="236">
        <v>8</v>
      </c>
      <c r="M65" s="267" t="s">
        <v>326</v>
      </c>
      <c r="N65" s="242"/>
      <c r="O65" s="242"/>
      <c r="P65" s="242"/>
      <c r="Q65" s="242"/>
      <c r="R65" s="242"/>
      <c r="S65" s="269">
        <f t="shared" si="8"/>
        <v>0</v>
      </c>
      <c r="T65" s="225"/>
      <c r="U65" s="236">
        <v>8</v>
      </c>
      <c r="V65" s="267" t="s">
        <v>326</v>
      </c>
      <c r="W65" s="242"/>
      <c r="X65" s="242"/>
      <c r="Y65" s="269">
        <f t="shared" si="9"/>
        <v>0</v>
      </c>
      <c r="Z65" s="225"/>
      <c r="AA65" s="236">
        <v>8</v>
      </c>
      <c r="AB65" s="267" t="s">
        <v>326</v>
      </c>
      <c r="AC65" s="242">
        <v>0</v>
      </c>
      <c r="AD65" s="242">
        <v>0</v>
      </c>
      <c r="AE65" s="242">
        <f t="shared" si="10"/>
        <v>0</v>
      </c>
      <c r="AF65" s="269">
        <f t="shared" si="6"/>
        <v>0</v>
      </c>
      <c r="AG65" s="225"/>
      <c r="AH65" s="225"/>
    </row>
    <row r="66" spans="1:34" x14ac:dyDescent="0.5">
      <c r="A66" s="236">
        <v>9</v>
      </c>
      <c r="B66" s="267" t="s">
        <v>327</v>
      </c>
      <c r="C66" s="267"/>
      <c r="D66" s="267"/>
      <c r="E66" s="267"/>
      <c r="F66" s="267"/>
      <c r="G66" s="267"/>
      <c r="H66" s="268">
        <f>+C66+D66+E66+F66+G66</f>
        <v>0</v>
      </c>
      <c r="I66" s="237"/>
      <c r="J66" s="266"/>
      <c r="L66" s="236">
        <v>9</v>
      </c>
      <c r="M66" s="267" t="s">
        <v>327</v>
      </c>
      <c r="N66" s="242"/>
      <c r="O66" s="242"/>
      <c r="P66" s="242"/>
      <c r="Q66" s="242"/>
      <c r="R66" s="242"/>
      <c r="S66" s="269">
        <f t="shared" si="8"/>
        <v>0</v>
      </c>
      <c r="U66" s="236">
        <v>9</v>
      </c>
      <c r="V66" s="267" t="s">
        <v>327</v>
      </c>
      <c r="W66" s="242"/>
      <c r="X66" s="242"/>
      <c r="Y66" s="269">
        <f t="shared" si="9"/>
        <v>0</v>
      </c>
      <c r="AA66" s="236">
        <v>9</v>
      </c>
      <c r="AB66" s="267" t="s">
        <v>327</v>
      </c>
      <c r="AC66" s="242">
        <v>0</v>
      </c>
      <c r="AD66" s="242">
        <v>0</v>
      </c>
      <c r="AE66" s="242">
        <f t="shared" si="10"/>
        <v>0</v>
      </c>
      <c r="AF66" s="269">
        <f t="shared" si="6"/>
        <v>0</v>
      </c>
    </row>
    <row r="67" spans="1:34" x14ac:dyDescent="0.5">
      <c r="A67" s="236">
        <v>10</v>
      </c>
      <c r="B67" s="267" t="s">
        <v>328</v>
      </c>
      <c r="C67" s="267"/>
      <c r="D67" s="267"/>
      <c r="E67" s="267"/>
      <c r="F67" s="267"/>
      <c r="G67" s="267"/>
      <c r="H67" s="268">
        <f>+C67+D67+E67+F67+G67</f>
        <v>0</v>
      </c>
      <c r="I67" s="237"/>
      <c r="J67" s="266"/>
      <c r="L67" s="236">
        <v>10</v>
      </c>
      <c r="M67" s="267" t="s">
        <v>328</v>
      </c>
      <c r="N67" s="242"/>
      <c r="O67" s="242"/>
      <c r="P67" s="242"/>
      <c r="Q67" s="242"/>
      <c r="R67" s="242"/>
      <c r="S67" s="269">
        <f t="shared" si="8"/>
        <v>0</v>
      </c>
      <c r="U67" s="236">
        <v>10</v>
      </c>
      <c r="V67" s="267" t="s">
        <v>328</v>
      </c>
      <c r="W67" s="242"/>
      <c r="X67" s="242"/>
      <c r="Y67" s="269">
        <f t="shared" si="9"/>
        <v>0</v>
      </c>
      <c r="AA67" s="236">
        <v>10</v>
      </c>
      <c r="AB67" s="267" t="s">
        <v>328</v>
      </c>
      <c r="AC67" s="242">
        <v>0</v>
      </c>
      <c r="AD67" s="242">
        <v>0</v>
      </c>
      <c r="AE67" s="242">
        <f t="shared" si="10"/>
        <v>0</v>
      </c>
      <c r="AF67" s="269">
        <f>+AC67+AE67</f>
        <v>0</v>
      </c>
    </row>
    <row r="68" spans="1:34" x14ac:dyDescent="0.5">
      <c r="A68" s="236">
        <v>11</v>
      </c>
      <c r="B68" s="267" t="s">
        <v>329</v>
      </c>
      <c r="C68" s="267"/>
      <c r="D68" s="267"/>
      <c r="E68" s="267"/>
      <c r="F68" s="267"/>
      <c r="G68" s="267"/>
      <c r="H68" s="268">
        <f t="shared" si="7"/>
        <v>0</v>
      </c>
      <c r="I68" s="237"/>
      <c r="J68" s="266"/>
      <c r="L68" s="236">
        <v>11</v>
      </c>
      <c r="M68" s="267" t="s">
        <v>329</v>
      </c>
      <c r="N68" s="242"/>
      <c r="O68" s="242"/>
      <c r="P68" s="242"/>
      <c r="Q68" s="242"/>
      <c r="R68" s="242"/>
      <c r="S68" s="269">
        <f t="shared" si="8"/>
        <v>0</v>
      </c>
      <c r="U68" s="236">
        <v>11</v>
      </c>
      <c r="V68" s="267" t="s">
        <v>329</v>
      </c>
      <c r="W68" s="242"/>
      <c r="X68" s="242"/>
      <c r="Y68" s="269">
        <f t="shared" si="9"/>
        <v>0</v>
      </c>
      <c r="AA68" s="236">
        <v>11</v>
      </c>
      <c r="AB68" s="267" t="s">
        <v>329</v>
      </c>
      <c r="AC68" s="242">
        <v>0</v>
      </c>
      <c r="AD68" s="242">
        <v>0</v>
      </c>
      <c r="AE68" s="242">
        <f t="shared" si="10"/>
        <v>0</v>
      </c>
      <c r="AF68" s="269">
        <f>+AC68+AE68</f>
        <v>0</v>
      </c>
    </row>
    <row r="69" spans="1:34" x14ac:dyDescent="0.5">
      <c r="A69" s="236">
        <v>12</v>
      </c>
      <c r="B69" s="267" t="s">
        <v>330</v>
      </c>
      <c r="C69" s="267"/>
      <c r="D69" s="267"/>
      <c r="E69" s="267"/>
      <c r="F69" s="267"/>
      <c r="G69" s="267"/>
      <c r="H69" s="268">
        <f t="shared" si="7"/>
        <v>0</v>
      </c>
      <c r="I69" s="237"/>
      <c r="J69" s="266"/>
      <c r="L69" s="236">
        <v>12</v>
      </c>
      <c r="M69" s="267" t="s">
        <v>330</v>
      </c>
      <c r="N69" s="242"/>
      <c r="O69" s="242"/>
      <c r="P69" s="242"/>
      <c r="Q69" s="242"/>
      <c r="R69" s="242"/>
      <c r="S69" s="269">
        <f t="shared" si="8"/>
        <v>0</v>
      </c>
      <c r="U69" s="236">
        <v>12</v>
      </c>
      <c r="V69" s="267" t="s">
        <v>330</v>
      </c>
      <c r="W69" s="242"/>
      <c r="X69" s="242"/>
      <c r="Y69" s="269">
        <f t="shared" si="9"/>
        <v>0</v>
      </c>
      <c r="AA69" s="236">
        <v>12</v>
      </c>
      <c r="AB69" s="267" t="s">
        <v>330</v>
      </c>
      <c r="AC69" s="242">
        <v>0</v>
      </c>
      <c r="AD69" s="242">
        <v>0</v>
      </c>
      <c r="AE69" s="242">
        <f t="shared" si="10"/>
        <v>0</v>
      </c>
      <c r="AF69" s="269">
        <f t="shared" si="6"/>
        <v>0</v>
      </c>
    </row>
    <row r="70" spans="1:34" ht="24" thickBot="1" x14ac:dyDescent="0.55000000000000004">
      <c r="A70" s="366" t="s">
        <v>397</v>
      </c>
      <c r="B70" s="367"/>
      <c r="C70" s="260">
        <f>SUM(C58:C69)</f>
        <v>438464.53</v>
      </c>
      <c r="D70" s="260">
        <f>SUM(D58:D69)</f>
        <v>108239.80999999998</v>
      </c>
      <c r="E70" s="260">
        <f>SUM(E58:E69)</f>
        <v>10409.939999999999</v>
      </c>
      <c r="F70" s="261">
        <f>SUM(F58:F69)</f>
        <v>1826.7799999999997</v>
      </c>
      <c r="G70" s="262">
        <f t="shared" ref="G70" si="11">SUM(G58:G69)</f>
        <v>0</v>
      </c>
      <c r="H70" s="260">
        <f>SUM(H58:H69)</f>
        <v>558941.05999999994</v>
      </c>
      <c r="I70" s="260"/>
      <c r="J70" s="266"/>
      <c r="L70" s="247"/>
      <c r="M70" s="248" t="s">
        <v>397</v>
      </c>
      <c r="N70" s="251">
        <f>SUM(N58:N69)</f>
        <v>593.65</v>
      </c>
      <c r="O70" s="251">
        <f t="shared" ref="O70:R70" si="12">SUM(O58:O69)</f>
        <v>107609.75999999998</v>
      </c>
      <c r="P70" s="251">
        <f t="shared" si="12"/>
        <v>0</v>
      </c>
      <c r="Q70" s="251">
        <f t="shared" si="12"/>
        <v>0</v>
      </c>
      <c r="R70" s="251">
        <f t="shared" si="12"/>
        <v>36.4</v>
      </c>
      <c r="S70" s="251">
        <f>SUM(S58:S69)</f>
        <v>108203.40999999997</v>
      </c>
      <c r="U70" s="247"/>
      <c r="V70" s="248" t="s">
        <v>397</v>
      </c>
      <c r="W70" s="251">
        <f>SUM(W58:W69)</f>
        <v>102484.54999999999</v>
      </c>
      <c r="X70" s="251">
        <f>SUM(X58:X69)</f>
        <v>5755.26</v>
      </c>
      <c r="Y70" s="251">
        <f>SUM(Y58:Y69)</f>
        <v>108239.80999999998</v>
      </c>
      <c r="AA70" s="247"/>
      <c r="AB70" s="248" t="s">
        <v>397</v>
      </c>
      <c r="AC70" s="251">
        <f>SUM(AC58:AC69)</f>
        <v>10409.941999999997</v>
      </c>
      <c r="AD70" s="250">
        <f>SUM(AD58:AD69)</f>
        <v>22800</v>
      </c>
      <c r="AE70" s="251">
        <f>SUM(AE58:AE69)</f>
        <v>0</v>
      </c>
      <c r="AF70" s="251">
        <f>SUM(AF58:AF69)</f>
        <v>10409.941999999997</v>
      </c>
    </row>
    <row r="71" spans="1:34" ht="24" thickTop="1" x14ac:dyDescent="0.5">
      <c r="H71" s="270"/>
    </row>
    <row r="72" spans="1:34" x14ac:dyDescent="0.5">
      <c r="C72" s="271">
        <f>+C70*100/H70</f>
        <v>78.445575281229125</v>
      </c>
      <c r="D72" s="271">
        <f>+D70*100/H70</f>
        <v>19.365156318986475</v>
      </c>
      <c r="E72" s="271">
        <f>+E70*100/H70</f>
        <v>1.862439664031839</v>
      </c>
      <c r="F72" s="271">
        <f>+F70*100/H70</f>
        <v>0.32682873575256755</v>
      </c>
      <c r="G72" s="271">
        <f>+G70*100/H70</f>
        <v>0</v>
      </c>
      <c r="N72" s="271">
        <f>+N70*100/S70</f>
        <v>0.54864259823234784</v>
      </c>
      <c r="O72" s="271">
        <f>+O70*100/S70</f>
        <v>99.451357401767652</v>
      </c>
      <c r="P72" s="271">
        <f>+P70*100/S70</f>
        <v>0</v>
      </c>
      <c r="Q72" s="271" t="e">
        <f>+Q70*100/#REF!</f>
        <v>#REF!</v>
      </c>
      <c r="R72" s="271">
        <f>+R70*100/S70</f>
        <v>3.3640344606514716E-2</v>
      </c>
      <c r="W72" s="271">
        <f>+W70*100/Y70</f>
        <v>94.682862063412713</v>
      </c>
      <c r="X72" s="271">
        <f>+X70*100/Y70</f>
        <v>5.3171379365872875</v>
      </c>
      <c r="Z72" s="233"/>
    </row>
    <row r="73" spans="1:34" x14ac:dyDescent="0.5">
      <c r="C73" s="272"/>
    </row>
    <row r="75" spans="1:34" ht="29.25" x14ac:dyDescent="0.6">
      <c r="A75" s="368" t="s">
        <v>405</v>
      </c>
      <c r="B75" s="368"/>
      <c r="C75" s="368"/>
      <c r="D75" s="368"/>
      <c r="E75" s="368"/>
      <c r="F75" s="368"/>
      <c r="G75" s="368"/>
      <c r="H75" s="368"/>
      <c r="I75" s="368"/>
      <c r="L75" s="370" t="s">
        <v>406</v>
      </c>
      <c r="M75" s="370"/>
      <c r="N75" s="370"/>
      <c r="O75" s="370"/>
      <c r="P75" s="370"/>
      <c r="Q75" s="370"/>
      <c r="R75" s="370"/>
      <c r="S75" s="370"/>
      <c r="U75" s="370" t="s">
        <v>407</v>
      </c>
      <c r="V75" s="370"/>
      <c r="W75" s="370"/>
      <c r="X75" s="370"/>
      <c r="Y75" s="370"/>
      <c r="AA75" s="370" t="s">
        <v>408</v>
      </c>
      <c r="AB75" s="370"/>
      <c r="AC75" s="370"/>
      <c r="AD75" s="370"/>
      <c r="AE75" s="370"/>
      <c r="AF75" s="370"/>
    </row>
    <row r="76" spans="1:34" ht="46.5" x14ac:dyDescent="0.5">
      <c r="A76" s="227" t="s">
        <v>377</v>
      </c>
      <c r="B76" s="227" t="s">
        <v>403</v>
      </c>
      <c r="C76" s="228" t="s">
        <v>379</v>
      </c>
      <c r="D76" s="228" t="s">
        <v>380</v>
      </c>
      <c r="E76" s="228" t="s">
        <v>381</v>
      </c>
      <c r="F76" s="229" t="s">
        <v>404</v>
      </c>
      <c r="G76" s="230" t="s">
        <v>383</v>
      </c>
      <c r="H76" s="228" t="s">
        <v>384</v>
      </c>
      <c r="I76" s="227" t="s">
        <v>385</v>
      </c>
      <c r="L76" s="227" t="s">
        <v>377</v>
      </c>
      <c r="M76" s="227" t="s">
        <v>403</v>
      </c>
      <c r="N76" s="227" t="s">
        <v>386</v>
      </c>
      <c r="O76" s="227" t="s">
        <v>387</v>
      </c>
      <c r="P76" s="227" t="s">
        <v>388</v>
      </c>
      <c r="Q76" s="227" t="s">
        <v>389</v>
      </c>
      <c r="R76" s="227" t="s">
        <v>390</v>
      </c>
      <c r="S76" s="227" t="s">
        <v>391</v>
      </c>
      <c r="U76" s="227" t="s">
        <v>377</v>
      </c>
      <c r="V76" s="227" t="s">
        <v>403</v>
      </c>
      <c r="W76" s="227" t="s">
        <v>392</v>
      </c>
      <c r="X76" s="227" t="s">
        <v>393</v>
      </c>
      <c r="Y76" s="227" t="s">
        <v>391</v>
      </c>
      <c r="AA76" s="227" t="s">
        <v>377</v>
      </c>
      <c r="AB76" s="227" t="s">
        <v>378</v>
      </c>
      <c r="AC76" s="227" t="s">
        <v>394</v>
      </c>
      <c r="AD76" s="235" t="s">
        <v>395</v>
      </c>
      <c r="AE76" s="228" t="s">
        <v>396</v>
      </c>
      <c r="AF76" s="227" t="s">
        <v>391</v>
      </c>
    </row>
    <row r="77" spans="1:34" x14ac:dyDescent="0.5">
      <c r="A77" s="236">
        <v>1</v>
      </c>
      <c r="B77" s="267" t="s">
        <v>319</v>
      </c>
      <c r="C77" s="267">
        <f t="shared" ref="C77:C87" si="13">C58*100/H58</f>
        <v>78.445575281229125</v>
      </c>
      <c r="D77" s="267">
        <f t="shared" ref="D77:D88" si="14">D58*100/H58</f>
        <v>19.365156318986475</v>
      </c>
      <c r="E77" s="267">
        <f t="shared" ref="E77:E88" si="15">E58*100/H58</f>
        <v>1.862439664031839</v>
      </c>
      <c r="F77" s="267">
        <f t="shared" ref="F77:F88" si="16">F58*100/H58</f>
        <v>0.32682873575256755</v>
      </c>
      <c r="G77" s="267">
        <f t="shared" ref="G77:G88" si="17">G58*100/H58</f>
        <v>0</v>
      </c>
      <c r="H77" s="268">
        <f>+C77+D77+E77+F77+G77</f>
        <v>100.00000000000001</v>
      </c>
      <c r="I77" s="237"/>
      <c r="L77" s="236">
        <v>1</v>
      </c>
      <c r="M77" s="267" t="s">
        <v>319</v>
      </c>
      <c r="N77" s="242">
        <f t="shared" ref="N77:N88" si="18">N58*100/S58</f>
        <v>0.54864259823234784</v>
      </c>
      <c r="O77" s="242">
        <f t="shared" ref="O77:O88" si="19">O58*100/S58</f>
        <v>99.451357401767652</v>
      </c>
      <c r="P77" s="242"/>
      <c r="Q77" s="242"/>
      <c r="R77" s="242"/>
      <c r="S77" s="269">
        <f>+N77+O77</f>
        <v>100</v>
      </c>
      <c r="U77" s="236">
        <v>1</v>
      </c>
      <c r="V77" s="267" t="s">
        <v>319</v>
      </c>
      <c r="W77" s="242">
        <f t="shared" ref="W77:W88" si="20">W58*100/Y58</f>
        <v>94.682862063412713</v>
      </c>
      <c r="X77" s="242">
        <f t="shared" ref="X77:X88" si="21">X58*100/Y58</f>
        <v>5.3171379365872875</v>
      </c>
      <c r="Y77" s="269">
        <f>+W77+X77</f>
        <v>100</v>
      </c>
      <c r="AA77" s="236">
        <v>1</v>
      </c>
      <c r="AB77" s="267" t="s">
        <v>319</v>
      </c>
      <c r="AC77" s="242">
        <f>AC58*100/AF58</f>
        <v>100</v>
      </c>
      <c r="AD77" s="242"/>
      <c r="AE77" s="242">
        <f>AE58*100/AF58</f>
        <v>0</v>
      </c>
      <c r="AF77" s="269">
        <f t="shared" ref="AF77:AF80" si="22">+AC77+AE77</f>
        <v>100</v>
      </c>
    </row>
    <row r="78" spans="1:34" x14ac:dyDescent="0.5">
      <c r="A78" s="236">
        <v>2</v>
      </c>
      <c r="B78" s="267" t="s">
        <v>320</v>
      </c>
      <c r="C78" s="267" t="e">
        <f t="shared" si="13"/>
        <v>#DIV/0!</v>
      </c>
      <c r="D78" s="267" t="e">
        <f t="shared" si="14"/>
        <v>#DIV/0!</v>
      </c>
      <c r="E78" s="267" t="e">
        <f t="shared" si="15"/>
        <v>#DIV/0!</v>
      </c>
      <c r="F78" s="267" t="e">
        <f t="shared" si="16"/>
        <v>#DIV/0!</v>
      </c>
      <c r="G78" s="267" t="e">
        <f t="shared" si="17"/>
        <v>#DIV/0!</v>
      </c>
      <c r="H78" s="268" t="e">
        <f t="shared" ref="H78:H81" si="23">+C78+D78+E78+F78+G78</f>
        <v>#DIV/0!</v>
      </c>
      <c r="I78" s="237"/>
      <c r="L78" s="236">
        <v>2</v>
      </c>
      <c r="M78" s="267" t="s">
        <v>320</v>
      </c>
      <c r="N78" s="242" t="e">
        <f t="shared" si="18"/>
        <v>#DIV/0!</v>
      </c>
      <c r="O78" s="242" t="e">
        <f t="shared" si="19"/>
        <v>#DIV/0!</v>
      </c>
      <c r="P78" s="242"/>
      <c r="Q78" s="242"/>
      <c r="R78" s="242"/>
      <c r="S78" s="269" t="e">
        <f>+N78+O78+#REF!</f>
        <v>#DIV/0!</v>
      </c>
      <c r="U78" s="236">
        <v>2</v>
      </c>
      <c r="V78" s="267" t="s">
        <v>320</v>
      </c>
      <c r="W78" s="242" t="e">
        <f t="shared" si="20"/>
        <v>#DIV/0!</v>
      </c>
      <c r="X78" s="242" t="e">
        <f t="shared" si="21"/>
        <v>#DIV/0!</v>
      </c>
      <c r="Y78" s="269" t="e">
        <f>+W78+X78</f>
        <v>#DIV/0!</v>
      </c>
      <c r="AA78" s="236">
        <v>2</v>
      </c>
      <c r="AB78" s="267" t="s">
        <v>320</v>
      </c>
      <c r="AC78" s="242" t="e">
        <f t="shared" ref="AC78:AC88" si="24">AC59*100/AF59</f>
        <v>#DIV/0!</v>
      </c>
      <c r="AD78" s="242"/>
      <c r="AE78" s="242" t="e">
        <f t="shared" ref="AE78:AE88" si="25">AE59*100/AF59</f>
        <v>#DIV/0!</v>
      </c>
      <c r="AF78" s="269" t="e">
        <f t="shared" si="22"/>
        <v>#DIV/0!</v>
      </c>
    </row>
    <row r="79" spans="1:34" x14ac:dyDescent="0.5">
      <c r="A79" s="236">
        <v>3</v>
      </c>
      <c r="B79" s="267" t="s">
        <v>321</v>
      </c>
      <c r="C79" s="267" t="e">
        <f t="shared" si="13"/>
        <v>#DIV/0!</v>
      </c>
      <c r="D79" s="267" t="e">
        <f t="shared" si="14"/>
        <v>#DIV/0!</v>
      </c>
      <c r="E79" s="267" t="e">
        <f t="shared" si="15"/>
        <v>#DIV/0!</v>
      </c>
      <c r="F79" s="267" t="e">
        <f t="shared" si="16"/>
        <v>#DIV/0!</v>
      </c>
      <c r="G79" s="267" t="e">
        <f t="shared" si="17"/>
        <v>#DIV/0!</v>
      </c>
      <c r="H79" s="268" t="e">
        <f t="shared" si="23"/>
        <v>#DIV/0!</v>
      </c>
      <c r="I79" s="237"/>
      <c r="L79" s="236">
        <v>3</v>
      </c>
      <c r="M79" s="267" t="s">
        <v>321</v>
      </c>
      <c r="N79" s="242" t="e">
        <f t="shared" si="18"/>
        <v>#DIV/0!</v>
      </c>
      <c r="O79" s="242" t="e">
        <f t="shared" si="19"/>
        <v>#DIV/0!</v>
      </c>
      <c r="P79" s="242"/>
      <c r="Q79" s="242"/>
      <c r="R79" s="242"/>
      <c r="S79" s="269" t="e">
        <f>+N79+O79+#REF!</f>
        <v>#DIV/0!</v>
      </c>
      <c r="U79" s="236">
        <v>3</v>
      </c>
      <c r="V79" s="267" t="s">
        <v>321</v>
      </c>
      <c r="W79" s="242" t="e">
        <f t="shared" si="20"/>
        <v>#DIV/0!</v>
      </c>
      <c r="X79" s="242" t="e">
        <f t="shared" si="21"/>
        <v>#DIV/0!</v>
      </c>
      <c r="Y79" s="269" t="e">
        <f t="shared" ref="Y79:Y88" si="26">+W79+X79</f>
        <v>#DIV/0!</v>
      </c>
      <c r="AA79" s="236">
        <v>3</v>
      </c>
      <c r="AB79" s="267" t="s">
        <v>321</v>
      </c>
      <c r="AC79" s="242" t="e">
        <f t="shared" si="24"/>
        <v>#DIV/0!</v>
      </c>
      <c r="AD79" s="242"/>
      <c r="AE79" s="242" t="e">
        <f t="shared" si="25"/>
        <v>#DIV/0!</v>
      </c>
      <c r="AF79" s="269" t="e">
        <f t="shared" si="22"/>
        <v>#DIV/0!</v>
      </c>
    </row>
    <row r="80" spans="1:34" x14ac:dyDescent="0.5">
      <c r="A80" s="236">
        <v>4</v>
      </c>
      <c r="B80" s="267" t="s">
        <v>322</v>
      </c>
      <c r="C80" s="267" t="e">
        <f t="shared" si="13"/>
        <v>#DIV/0!</v>
      </c>
      <c r="D80" s="267" t="e">
        <f t="shared" si="14"/>
        <v>#DIV/0!</v>
      </c>
      <c r="E80" s="267" t="e">
        <f t="shared" si="15"/>
        <v>#DIV/0!</v>
      </c>
      <c r="F80" s="267" t="e">
        <f t="shared" si="16"/>
        <v>#DIV/0!</v>
      </c>
      <c r="G80" s="267" t="e">
        <f t="shared" si="17"/>
        <v>#DIV/0!</v>
      </c>
      <c r="H80" s="268" t="e">
        <f t="shared" si="23"/>
        <v>#DIV/0!</v>
      </c>
      <c r="I80" s="237"/>
      <c r="L80" s="236">
        <v>4</v>
      </c>
      <c r="M80" s="267" t="s">
        <v>322</v>
      </c>
      <c r="N80" s="242" t="e">
        <f t="shared" si="18"/>
        <v>#DIV/0!</v>
      </c>
      <c r="O80" s="242" t="e">
        <f t="shared" si="19"/>
        <v>#DIV/0!</v>
      </c>
      <c r="P80" s="242"/>
      <c r="Q80" s="242"/>
      <c r="R80" s="242"/>
      <c r="S80" s="269" t="e">
        <f>+N80+O80+#REF!</f>
        <v>#DIV/0!</v>
      </c>
      <c r="U80" s="236">
        <v>4</v>
      </c>
      <c r="V80" s="267" t="s">
        <v>322</v>
      </c>
      <c r="W80" s="242" t="e">
        <f t="shared" si="20"/>
        <v>#DIV/0!</v>
      </c>
      <c r="X80" s="242" t="e">
        <f t="shared" si="21"/>
        <v>#DIV/0!</v>
      </c>
      <c r="Y80" s="269" t="e">
        <f t="shared" si="26"/>
        <v>#DIV/0!</v>
      </c>
      <c r="AA80" s="236">
        <v>4</v>
      </c>
      <c r="AB80" s="267" t="s">
        <v>322</v>
      </c>
      <c r="AC80" s="242" t="e">
        <f t="shared" si="24"/>
        <v>#DIV/0!</v>
      </c>
      <c r="AD80" s="242"/>
      <c r="AE80" s="242" t="e">
        <f t="shared" si="25"/>
        <v>#DIV/0!</v>
      </c>
      <c r="AF80" s="269" t="e">
        <f t="shared" si="22"/>
        <v>#DIV/0!</v>
      </c>
    </row>
    <row r="81" spans="1:32" x14ac:dyDescent="0.5">
      <c r="A81" s="236">
        <v>5</v>
      </c>
      <c r="B81" s="267" t="s">
        <v>323</v>
      </c>
      <c r="C81" s="267" t="e">
        <f t="shared" si="13"/>
        <v>#DIV/0!</v>
      </c>
      <c r="D81" s="267" t="e">
        <f t="shared" si="14"/>
        <v>#DIV/0!</v>
      </c>
      <c r="E81" s="267" t="e">
        <f t="shared" si="15"/>
        <v>#DIV/0!</v>
      </c>
      <c r="F81" s="267" t="e">
        <f t="shared" si="16"/>
        <v>#DIV/0!</v>
      </c>
      <c r="G81" s="267" t="e">
        <f t="shared" si="17"/>
        <v>#DIV/0!</v>
      </c>
      <c r="H81" s="268" t="e">
        <f t="shared" si="23"/>
        <v>#DIV/0!</v>
      </c>
      <c r="I81" s="237"/>
      <c r="L81" s="236">
        <v>5</v>
      </c>
      <c r="M81" s="267" t="s">
        <v>323</v>
      </c>
      <c r="N81" s="242" t="e">
        <f t="shared" si="18"/>
        <v>#DIV/0!</v>
      </c>
      <c r="O81" s="242" t="e">
        <f t="shared" si="19"/>
        <v>#DIV/0!</v>
      </c>
      <c r="P81" s="242"/>
      <c r="Q81" s="242"/>
      <c r="R81" s="242"/>
      <c r="S81" s="269" t="e">
        <f>+N81+O81+#REF!</f>
        <v>#DIV/0!</v>
      </c>
      <c r="U81" s="236">
        <v>5</v>
      </c>
      <c r="V81" s="267" t="s">
        <v>323</v>
      </c>
      <c r="W81" s="242" t="e">
        <f t="shared" si="20"/>
        <v>#DIV/0!</v>
      </c>
      <c r="X81" s="242" t="e">
        <f t="shared" si="21"/>
        <v>#DIV/0!</v>
      </c>
      <c r="Y81" s="269" t="e">
        <f t="shared" si="26"/>
        <v>#DIV/0!</v>
      </c>
      <c r="AA81" s="236">
        <v>5</v>
      </c>
      <c r="AB81" s="267" t="s">
        <v>323</v>
      </c>
      <c r="AC81" s="242" t="e">
        <f t="shared" si="24"/>
        <v>#DIV/0!</v>
      </c>
      <c r="AD81" s="242"/>
      <c r="AE81" s="242" t="e">
        <f t="shared" si="25"/>
        <v>#DIV/0!</v>
      </c>
      <c r="AF81" s="269" t="e">
        <f>+AC81+AE81</f>
        <v>#DIV/0!</v>
      </c>
    </row>
    <row r="82" spans="1:32" x14ac:dyDescent="0.5">
      <c r="A82" s="236">
        <v>6</v>
      </c>
      <c r="B82" s="267" t="s">
        <v>324</v>
      </c>
      <c r="C82" s="267" t="e">
        <f t="shared" si="13"/>
        <v>#DIV/0!</v>
      </c>
      <c r="D82" s="267" t="e">
        <f t="shared" si="14"/>
        <v>#DIV/0!</v>
      </c>
      <c r="E82" s="267" t="e">
        <f t="shared" si="15"/>
        <v>#DIV/0!</v>
      </c>
      <c r="F82" s="267" t="e">
        <f t="shared" si="16"/>
        <v>#DIV/0!</v>
      </c>
      <c r="G82" s="267" t="e">
        <f t="shared" si="17"/>
        <v>#DIV/0!</v>
      </c>
      <c r="H82" s="268" t="e">
        <f>+C82+D82+E82+F82+G82</f>
        <v>#DIV/0!</v>
      </c>
      <c r="I82" s="237"/>
      <c r="L82" s="236">
        <v>6</v>
      </c>
      <c r="M82" s="267" t="s">
        <v>324</v>
      </c>
      <c r="N82" s="242" t="e">
        <f t="shared" si="18"/>
        <v>#DIV/0!</v>
      </c>
      <c r="O82" s="242" t="e">
        <f t="shared" si="19"/>
        <v>#DIV/0!</v>
      </c>
      <c r="P82" s="242"/>
      <c r="Q82" s="242"/>
      <c r="R82" s="242"/>
      <c r="S82" s="269" t="e">
        <f>+N82+O82+#REF!</f>
        <v>#DIV/0!</v>
      </c>
      <c r="T82" s="233"/>
      <c r="U82" s="236">
        <v>6</v>
      </c>
      <c r="V82" s="267" t="s">
        <v>324</v>
      </c>
      <c r="W82" s="242" t="e">
        <f t="shared" si="20"/>
        <v>#DIV/0!</v>
      </c>
      <c r="X82" s="242" t="e">
        <f t="shared" si="21"/>
        <v>#DIV/0!</v>
      </c>
      <c r="Y82" s="269" t="e">
        <f t="shared" si="26"/>
        <v>#DIV/0!</v>
      </c>
      <c r="AA82" s="236">
        <v>6</v>
      </c>
      <c r="AB82" s="267" t="s">
        <v>324</v>
      </c>
      <c r="AC82" s="242" t="e">
        <f t="shared" si="24"/>
        <v>#DIV/0!</v>
      </c>
      <c r="AD82" s="242"/>
      <c r="AE82" s="242" t="e">
        <f t="shared" si="25"/>
        <v>#DIV/0!</v>
      </c>
      <c r="AF82" s="269" t="e">
        <f t="shared" ref="AF82" si="27">+AC82+AE82</f>
        <v>#DIV/0!</v>
      </c>
    </row>
    <row r="83" spans="1:32" x14ac:dyDescent="0.5">
      <c r="A83" s="236">
        <v>7</v>
      </c>
      <c r="B83" s="267" t="s">
        <v>325</v>
      </c>
      <c r="C83" s="267" t="e">
        <f t="shared" si="13"/>
        <v>#DIV/0!</v>
      </c>
      <c r="D83" s="267" t="e">
        <f t="shared" si="14"/>
        <v>#DIV/0!</v>
      </c>
      <c r="E83" s="267" t="e">
        <f t="shared" si="15"/>
        <v>#DIV/0!</v>
      </c>
      <c r="F83" s="267" t="e">
        <f t="shared" si="16"/>
        <v>#DIV/0!</v>
      </c>
      <c r="G83" s="267" t="e">
        <f t="shared" si="17"/>
        <v>#DIV/0!</v>
      </c>
      <c r="H83" s="268" t="e">
        <f t="shared" ref="H83:H84" si="28">+C83+D83+E83+F83+G83</f>
        <v>#DIV/0!</v>
      </c>
      <c r="I83" s="237"/>
      <c r="L83" s="236">
        <v>7</v>
      </c>
      <c r="M83" s="267" t="s">
        <v>325</v>
      </c>
      <c r="N83" s="242" t="e">
        <f t="shared" si="18"/>
        <v>#DIV/0!</v>
      </c>
      <c r="O83" s="242" t="e">
        <f t="shared" si="19"/>
        <v>#DIV/0!</v>
      </c>
      <c r="P83" s="242"/>
      <c r="Q83" s="242"/>
      <c r="R83" s="242"/>
      <c r="S83" s="269" t="e">
        <f>+N83+O83+#REF!</f>
        <v>#DIV/0!</v>
      </c>
      <c r="U83" s="236">
        <v>7</v>
      </c>
      <c r="V83" s="267" t="s">
        <v>325</v>
      </c>
      <c r="W83" s="242" t="e">
        <f t="shared" si="20"/>
        <v>#DIV/0!</v>
      </c>
      <c r="X83" s="242" t="e">
        <f t="shared" si="21"/>
        <v>#DIV/0!</v>
      </c>
      <c r="Y83" s="269" t="e">
        <f t="shared" si="26"/>
        <v>#DIV/0!</v>
      </c>
      <c r="AA83" s="236">
        <v>7</v>
      </c>
      <c r="AB83" s="267" t="s">
        <v>325</v>
      </c>
      <c r="AC83" s="242" t="e">
        <f t="shared" si="24"/>
        <v>#DIV/0!</v>
      </c>
      <c r="AD83" s="242"/>
      <c r="AE83" s="242" t="e">
        <f t="shared" si="25"/>
        <v>#DIV/0!</v>
      </c>
      <c r="AF83" s="269" t="e">
        <f>+AC83+AE83</f>
        <v>#DIV/0!</v>
      </c>
    </row>
    <row r="84" spans="1:32" x14ac:dyDescent="0.5">
      <c r="A84" s="236">
        <v>8</v>
      </c>
      <c r="B84" s="267" t="s">
        <v>326</v>
      </c>
      <c r="C84" s="267" t="e">
        <f t="shared" si="13"/>
        <v>#DIV/0!</v>
      </c>
      <c r="D84" s="267" t="e">
        <f t="shared" si="14"/>
        <v>#DIV/0!</v>
      </c>
      <c r="E84" s="267" t="e">
        <f t="shared" si="15"/>
        <v>#DIV/0!</v>
      </c>
      <c r="F84" s="267" t="e">
        <f t="shared" si="16"/>
        <v>#DIV/0!</v>
      </c>
      <c r="G84" s="267" t="e">
        <f t="shared" si="17"/>
        <v>#DIV/0!</v>
      </c>
      <c r="H84" s="268" t="e">
        <f t="shared" si="28"/>
        <v>#DIV/0!</v>
      </c>
      <c r="I84" s="237"/>
      <c r="L84" s="236">
        <v>8</v>
      </c>
      <c r="M84" s="267" t="s">
        <v>326</v>
      </c>
      <c r="N84" s="242" t="e">
        <f t="shared" si="18"/>
        <v>#DIV/0!</v>
      </c>
      <c r="O84" s="242" t="e">
        <f t="shared" si="19"/>
        <v>#DIV/0!</v>
      </c>
      <c r="P84" s="242"/>
      <c r="Q84" s="242"/>
      <c r="R84" s="242"/>
      <c r="S84" s="269" t="e">
        <f>+N84+O84+#REF!</f>
        <v>#DIV/0!</v>
      </c>
      <c r="U84" s="236">
        <v>8</v>
      </c>
      <c r="V84" s="267" t="s">
        <v>326</v>
      </c>
      <c r="W84" s="242" t="e">
        <f t="shared" si="20"/>
        <v>#DIV/0!</v>
      </c>
      <c r="X84" s="242" t="e">
        <f t="shared" si="21"/>
        <v>#DIV/0!</v>
      </c>
      <c r="Y84" s="269" t="e">
        <f t="shared" si="26"/>
        <v>#DIV/0!</v>
      </c>
      <c r="AA84" s="236">
        <v>8</v>
      </c>
      <c r="AB84" s="267" t="s">
        <v>326</v>
      </c>
      <c r="AC84" s="242" t="e">
        <f t="shared" si="24"/>
        <v>#DIV/0!</v>
      </c>
      <c r="AD84" s="242"/>
      <c r="AE84" s="242" t="e">
        <f t="shared" si="25"/>
        <v>#DIV/0!</v>
      </c>
      <c r="AF84" s="269" t="e">
        <f t="shared" ref="AF84:AF88" si="29">+AC84+AE84</f>
        <v>#DIV/0!</v>
      </c>
    </row>
    <row r="85" spans="1:32" x14ac:dyDescent="0.5">
      <c r="A85" s="236">
        <v>9</v>
      </c>
      <c r="B85" s="267" t="s">
        <v>327</v>
      </c>
      <c r="C85" s="267" t="e">
        <f t="shared" si="13"/>
        <v>#DIV/0!</v>
      </c>
      <c r="D85" s="267" t="e">
        <f t="shared" si="14"/>
        <v>#DIV/0!</v>
      </c>
      <c r="E85" s="267" t="e">
        <f t="shared" si="15"/>
        <v>#DIV/0!</v>
      </c>
      <c r="F85" s="267" t="e">
        <f t="shared" si="16"/>
        <v>#DIV/0!</v>
      </c>
      <c r="G85" s="267" t="e">
        <f t="shared" si="17"/>
        <v>#DIV/0!</v>
      </c>
      <c r="H85" s="268" t="e">
        <f>+C85+D85+E85+F85+G85</f>
        <v>#DIV/0!</v>
      </c>
      <c r="I85" s="237"/>
      <c r="L85" s="236">
        <v>9</v>
      </c>
      <c r="M85" s="267" t="s">
        <v>327</v>
      </c>
      <c r="N85" s="242" t="e">
        <f t="shared" si="18"/>
        <v>#DIV/0!</v>
      </c>
      <c r="O85" s="242" t="e">
        <f t="shared" si="19"/>
        <v>#DIV/0!</v>
      </c>
      <c r="P85" s="242"/>
      <c r="Q85" s="242"/>
      <c r="R85" s="242"/>
      <c r="S85" s="269" t="e">
        <f>+N85+O85+#REF!</f>
        <v>#DIV/0!</v>
      </c>
      <c r="U85" s="236">
        <v>9</v>
      </c>
      <c r="V85" s="267" t="s">
        <v>327</v>
      </c>
      <c r="W85" s="242" t="e">
        <f t="shared" si="20"/>
        <v>#DIV/0!</v>
      </c>
      <c r="X85" s="242" t="e">
        <f t="shared" si="21"/>
        <v>#DIV/0!</v>
      </c>
      <c r="Y85" s="269" t="e">
        <f t="shared" si="26"/>
        <v>#DIV/0!</v>
      </c>
      <c r="AA85" s="236">
        <v>9</v>
      </c>
      <c r="AB85" s="267" t="s">
        <v>327</v>
      </c>
      <c r="AC85" s="242" t="e">
        <f t="shared" si="24"/>
        <v>#DIV/0!</v>
      </c>
      <c r="AD85" s="242"/>
      <c r="AE85" s="242" t="e">
        <f t="shared" si="25"/>
        <v>#DIV/0!</v>
      </c>
      <c r="AF85" s="269" t="e">
        <f t="shared" si="29"/>
        <v>#DIV/0!</v>
      </c>
    </row>
    <row r="86" spans="1:32" x14ac:dyDescent="0.5">
      <c r="A86" s="236">
        <v>10</v>
      </c>
      <c r="B86" s="267" t="s">
        <v>328</v>
      </c>
      <c r="C86" s="267" t="e">
        <f t="shared" si="13"/>
        <v>#DIV/0!</v>
      </c>
      <c r="D86" s="267" t="e">
        <f t="shared" si="14"/>
        <v>#DIV/0!</v>
      </c>
      <c r="E86" s="267" t="e">
        <f t="shared" si="15"/>
        <v>#DIV/0!</v>
      </c>
      <c r="F86" s="267" t="e">
        <f t="shared" si="16"/>
        <v>#DIV/0!</v>
      </c>
      <c r="G86" s="267" t="e">
        <f t="shared" si="17"/>
        <v>#DIV/0!</v>
      </c>
      <c r="H86" s="268" t="e">
        <f t="shared" ref="H86:H88" si="30">+C86+D86+E86+F86+G86</f>
        <v>#DIV/0!</v>
      </c>
      <c r="I86" s="237"/>
      <c r="L86" s="236">
        <v>10</v>
      </c>
      <c r="M86" s="267" t="s">
        <v>328</v>
      </c>
      <c r="N86" s="242" t="e">
        <f t="shared" si="18"/>
        <v>#DIV/0!</v>
      </c>
      <c r="O86" s="242" t="e">
        <f t="shared" si="19"/>
        <v>#DIV/0!</v>
      </c>
      <c r="P86" s="242" t="e">
        <f>P67*100/S67</f>
        <v>#DIV/0!</v>
      </c>
      <c r="Q86" s="242" t="e">
        <f>Q67*100/S67</f>
        <v>#DIV/0!</v>
      </c>
      <c r="R86" s="242" t="e">
        <f>R67*100/S67</f>
        <v>#DIV/0!</v>
      </c>
      <c r="S86" s="269" t="e">
        <f>N86+O86+P86+Q86+R86+#REF!</f>
        <v>#DIV/0!</v>
      </c>
      <c r="U86" s="236">
        <v>10</v>
      </c>
      <c r="V86" s="267" t="s">
        <v>397</v>
      </c>
      <c r="W86" s="242" t="e">
        <f t="shared" si="20"/>
        <v>#DIV/0!</v>
      </c>
      <c r="X86" s="242" t="e">
        <f t="shared" si="21"/>
        <v>#DIV/0!</v>
      </c>
      <c r="Y86" s="269" t="e">
        <f t="shared" si="26"/>
        <v>#DIV/0!</v>
      </c>
      <c r="AA86" s="236">
        <v>10</v>
      </c>
      <c r="AB86" s="267" t="s">
        <v>328</v>
      </c>
      <c r="AC86" s="242" t="e">
        <f t="shared" si="24"/>
        <v>#DIV/0!</v>
      </c>
      <c r="AD86" s="242"/>
      <c r="AE86" s="242" t="e">
        <f t="shared" si="25"/>
        <v>#DIV/0!</v>
      </c>
      <c r="AF86" s="269" t="e">
        <f t="shared" si="29"/>
        <v>#DIV/0!</v>
      </c>
    </row>
    <row r="87" spans="1:32" x14ac:dyDescent="0.5">
      <c r="A87" s="236">
        <v>11</v>
      </c>
      <c r="B87" s="267" t="s">
        <v>329</v>
      </c>
      <c r="C87" s="267" t="e">
        <f t="shared" si="13"/>
        <v>#DIV/0!</v>
      </c>
      <c r="D87" s="267" t="e">
        <f t="shared" si="14"/>
        <v>#DIV/0!</v>
      </c>
      <c r="E87" s="267" t="e">
        <f t="shared" si="15"/>
        <v>#DIV/0!</v>
      </c>
      <c r="F87" s="267" t="e">
        <f t="shared" si="16"/>
        <v>#DIV/0!</v>
      </c>
      <c r="G87" s="267" t="e">
        <f t="shared" si="17"/>
        <v>#DIV/0!</v>
      </c>
      <c r="H87" s="268" t="e">
        <f t="shared" si="30"/>
        <v>#DIV/0!</v>
      </c>
      <c r="I87" s="237"/>
      <c r="L87" s="236">
        <v>11</v>
      </c>
      <c r="M87" s="267" t="s">
        <v>329</v>
      </c>
      <c r="N87" s="242" t="e">
        <f t="shared" si="18"/>
        <v>#DIV/0!</v>
      </c>
      <c r="O87" s="242" t="e">
        <f t="shared" si="19"/>
        <v>#DIV/0!</v>
      </c>
      <c r="P87" s="242" t="e">
        <f>P68*100/S68</f>
        <v>#DIV/0!</v>
      </c>
      <c r="Q87" s="242" t="e">
        <f>Q68*100/S68</f>
        <v>#DIV/0!</v>
      </c>
      <c r="R87" s="242" t="e">
        <f>R68*100/S68</f>
        <v>#DIV/0!</v>
      </c>
      <c r="S87" s="269" t="e">
        <f>N87+O87+P87+Q87+R87+#REF!</f>
        <v>#DIV/0!</v>
      </c>
      <c r="U87" s="236">
        <v>11</v>
      </c>
      <c r="V87" s="267" t="s">
        <v>329</v>
      </c>
      <c r="W87" s="242" t="e">
        <f t="shared" si="20"/>
        <v>#DIV/0!</v>
      </c>
      <c r="X87" s="242" t="e">
        <f t="shared" si="21"/>
        <v>#DIV/0!</v>
      </c>
      <c r="Y87" s="269" t="e">
        <f t="shared" si="26"/>
        <v>#DIV/0!</v>
      </c>
      <c r="AA87" s="236">
        <v>11</v>
      </c>
      <c r="AB87" s="267" t="s">
        <v>329</v>
      </c>
      <c r="AC87" s="242" t="e">
        <f t="shared" si="24"/>
        <v>#DIV/0!</v>
      </c>
      <c r="AD87" s="242"/>
      <c r="AE87" s="242" t="e">
        <f t="shared" si="25"/>
        <v>#DIV/0!</v>
      </c>
      <c r="AF87" s="269" t="e">
        <f t="shared" si="29"/>
        <v>#DIV/0!</v>
      </c>
    </row>
    <row r="88" spans="1:32" x14ac:dyDescent="0.5">
      <c r="A88" s="236">
        <v>12</v>
      </c>
      <c r="B88" s="267" t="s">
        <v>330</v>
      </c>
      <c r="C88" s="267" t="e">
        <f>C69*100/H69</f>
        <v>#DIV/0!</v>
      </c>
      <c r="D88" s="267" t="e">
        <f t="shared" si="14"/>
        <v>#DIV/0!</v>
      </c>
      <c r="E88" s="267" t="e">
        <f t="shared" si="15"/>
        <v>#DIV/0!</v>
      </c>
      <c r="F88" s="267" t="e">
        <f t="shared" si="16"/>
        <v>#DIV/0!</v>
      </c>
      <c r="G88" s="267" t="e">
        <f t="shared" si="17"/>
        <v>#DIV/0!</v>
      </c>
      <c r="H88" s="268" t="e">
        <f t="shared" si="30"/>
        <v>#DIV/0!</v>
      </c>
      <c r="I88" s="237"/>
      <c r="L88" s="236">
        <v>12</v>
      </c>
      <c r="M88" s="267" t="s">
        <v>330</v>
      </c>
      <c r="N88" s="242" t="e">
        <f t="shared" si="18"/>
        <v>#DIV/0!</v>
      </c>
      <c r="O88" s="242" t="e">
        <f t="shared" si="19"/>
        <v>#DIV/0!</v>
      </c>
      <c r="P88" s="242"/>
      <c r="Q88" s="242"/>
      <c r="R88" s="242"/>
      <c r="S88" s="269" t="e">
        <f>N88+O88+P88+Q88+R88+#REF!</f>
        <v>#DIV/0!</v>
      </c>
      <c r="U88" s="236">
        <v>12</v>
      </c>
      <c r="V88" s="267" t="s">
        <v>330</v>
      </c>
      <c r="W88" s="242" t="e">
        <f t="shared" si="20"/>
        <v>#DIV/0!</v>
      </c>
      <c r="X88" s="242" t="e">
        <f t="shared" si="21"/>
        <v>#DIV/0!</v>
      </c>
      <c r="Y88" s="269" t="e">
        <f t="shared" si="26"/>
        <v>#DIV/0!</v>
      </c>
      <c r="AA88" s="236">
        <v>12</v>
      </c>
      <c r="AB88" s="267" t="s">
        <v>330</v>
      </c>
      <c r="AC88" s="242" t="e">
        <f t="shared" si="24"/>
        <v>#DIV/0!</v>
      </c>
      <c r="AD88" s="242"/>
      <c r="AE88" s="242" t="e">
        <f t="shared" si="25"/>
        <v>#DIV/0!</v>
      </c>
      <c r="AF88" s="269" t="e">
        <f t="shared" si="29"/>
        <v>#DIV/0!</v>
      </c>
    </row>
    <row r="89" spans="1:32" ht="24" thickBot="1" x14ac:dyDescent="0.55000000000000004">
      <c r="A89" s="366" t="s">
        <v>397</v>
      </c>
      <c r="B89" s="367"/>
      <c r="C89" s="260" t="e">
        <f>SUM(C77:C88)</f>
        <v>#DIV/0!</v>
      </c>
      <c r="D89" s="260" t="e">
        <f>SUM(D77:D88)</f>
        <v>#DIV/0!</v>
      </c>
      <c r="E89" s="260" t="e">
        <f>SUM(E77:E88)</f>
        <v>#DIV/0!</v>
      </c>
      <c r="F89" s="261" t="e">
        <f>SUM(F77:F88)</f>
        <v>#DIV/0!</v>
      </c>
      <c r="G89" s="262" t="e">
        <f t="shared" ref="G89" si="31">SUM(G77:G88)</f>
        <v>#DIV/0!</v>
      </c>
      <c r="H89" s="260" t="e">
        <f>SUM(H77:H88)</f>
        <v>#DIV/0!</v>
      </c>
      <c r="I89" s="260"/>
      <c r="L89" s="247"/>
      <c r="M89" s="248" t="s">
        <v>397</v>
      </c>
      <c r="N89" s="251" t="e">
        <f>SUM(N77:N88)</f>
        <v>#DIV/0!</v>
      </c>
      <c r="O89" s="251" t="e">
        <f>SUM(O77:O88)</f>
        <v>#DIV/0!</v>
      </c>
      <c r="P89" s="251"/>
      <c r="Q89" s="251"/>
      <c r="R89" s="251"/>
      <c r="S89" s="251" t="e">
        <f>SUM(S77:S88)</f>
        <v>#DIV/0!</v>
      </c>
      <c r="U89" s="247"/>
      <c r="V89" s="248" t="s">
        <v>397</v>
      </c>
      <c r="W89" s="251" t="e">
        <f>SUM(W77:W88)</f>
        <v>#DIV/0!</v>
      </c>
      <c r="X89" s="251" t="e">
        <f>SUM(X77:X88)</f>
        <v>#DIV/0!</v>
      </c>
      <c r="Y89" s="251" t="e">
        <f>SUM(Y77:Y88)</f>
        <v>#DIV/0!</v>
      </c>
      <c r="AA89" s="247"/>
      <c r="AB89" s="248" t="s">
        <v>397</v>
      </c>
      <c r="AC89" s="251" t="e">
        <f>SUM(AC77:AC88)</f>
        <v>#DIV/0!</v>
      </c>
      <c r="AD89" s="250">
        <f>SUM(AD77:AD88)</f>
        <v>0</v>
      </c>
      <c r="AE89" s="251" t="e">
        <f>SUM(AE77:AE88)</f>
        <v>#DIV/0!</v>
      </c>
      <c r="AF89" s="251" t="e">
        <f>SUM(AF77:AF88)</f>
        <v>#DIV/0!</v>
      </c>
    </row>
    <row r="90" spans="1:32" ht="24" thickTop="1" x14ac:dyDescent="0.5">
      <c r="H90" s="270"/>
    </row>
  </sheetData>
  <mergeCells count="15">
    <mergeCell ref="A89:B89"/>
    <mergeCell ref="A1:I1"/>
    <mergeCell ref="L1:S1"/>
    <mergeCell ref="U1:Y1"/>
    <mergeCell ref="AA1:AF1"/>
    <mergeCell ref="A48:B48"/>
    <mergeCell ref="A56:I56"/>
    <mergeCell ref="L56:S56"/>
    <mergeCell ref="U56:Y56"/>
    <mergeCell ref="AA56:AF56"/>
    <mergeCell ref="A70:B70"/>
    <mergeCell ref="A75:I75"/>
    <mergeCell ref="L75:S75"/>
    <mergeCell ref="U75:Y75"/>
    <mergeCell ref="AA75:AF75"/>
  </mergeCells>
  <pageMargins left="0.38" right="0.2" top="0.61" bottom="0.56000000000000005" header="0.3" footer="0.3"/>
  <pageSetup paperSize="9" scale="23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5601-1792-4F7A-818A-0161455EAE47}">
  <dimension ref="A1:K740"/>
  <sheetViews>
    <sheetView topLeftCell="A685" zoomScale="110" zoomScaleNormal="110" workbookViewId="0">
      <selection activeCell="K698" sqref="K698"/>
    </sheetView>
  </sheetViews>
  <sheetFormatPr defaultRowHeight="16.5" x14ac:dyDescent="0.3"/>
  <cols>
    <col min="1" max="1" width="5.875" customWidth="1"/>
    <col min="2" max="2" width="45" bestFit="1" customWidth="1"/>
    <col min="3" max="3" width="10.625" bestFit="1" customWidth="1"/>
    <col min="4" max="4" width="8.125" customWidth="1"/>
    <col min="5" max="5" width="12.125" bestFit="1" customWidth="1"/>
    <col min="6" max="6" width="10.25" customWidth="1"/>
    <col min="7" max="7" width="9.625" customWidth="1"/>
  </cols>
  <sheetData>
    <row r="1" spans="1:8" ht="23.25" x14ac:dyDescent="0.5">
      <c r="A1" s="363" t="s">
        <v>0</v>
      </c>
      <c r="B1" s="364"/>
      <c r="C1" s="364"/>
      <c r="D1" s="364"/>
      <c r="E1" s="364"/>
      <c r="F1" s="364"/>
      <c r="G1" s="364"/>
    </row>
    <row r="2" spans="1:8" ht="23.25" x14ac:dyDescent="0.3">
      <c r="A2" s="359" t="s">
        <v>1</v>
      </c>
      <c r="B2" s="365"/>
      <c r="C2" s="365"/>
      <c r="D2" s="365"/>
      <c r="E2" s="365"/>
      <c r="F2" s="365"/>
      <c r="G2" s="365"/>
    </row>
    <row r="3" spans="1:8" ht="18" customHeight="1" x14ac:dyDescent="0.3">
      <c r="A3" s="1" t="s">
        <v>2</v>
      </c>
      <c r="B3" s="2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2" t="s">
        <v>8</v>
      </c>
    </row>
    <row r="4" spans="1:8" ht="18" customHeight="1" x14ac:dyDescent="0.4">
      <c r="A4" s="4" t="s">
        <v>458</v>
      </c>
      <c r="B4" s="5" t="s">
        <v>191</v>
      </c>
      <c r="C4" s="6">
        <v>464.95</v>
      </c>
      <c r="D4" s="7">
        <v>52</v>
      </c>
      <c r="E4" s="8">
        <f>+C4*D4</f>
        <v>24177.399999999998</v>
      </c>
      <c r="F4" s="8">
        <f>+E4*7%</f>
        <v>1692.4180000000001</v>
      </c>
      <c r="G4" s="8">
        <f>+E4+F4</f>
        <v>25869.817999999999</v>
      </c>
      <c r="H4">
        <v>6902320</v>
      </c>
    </row>
    <row r="5" spans="1:8" ht="18" customHeight="1" x14ac:dyDescent="0.4">
      <c r="A5" s="4" t="s">
        <v>459</v>
      </c>
      <c r="B5" s="5" t="s">
        <v>460</v>
      </c>
      <c r="C5" s="6">
        <v>1863.3</v>
      </c>
      <c r="D5" s="7">
        <v>52</v>
      </c>
      <c r="E5" s="37">
        <f>+C5*D5</f>
        <v>96891.599999999991</v>
      </c>
      <c r="F5" s="8">
        <f>+E5*7%</f>
        <v>6782.4120000000003</v>
      </c>
      <c r="G5" s="8">
        <f>+E5+F5</f>
        <v>103674.01199999999</v>
      </c>
      <c r="H5">
        <v>6902132</v>
      </c>
    </row>
    <row r="6" spans="1:8" ht="18" customHeight="1" x14ac:dyDescent="0.4">
      <c r="A6" s="4" t="s">
        <v>461</v>
      </c>
      <c r="B6" s="5" t="s">
        <v>9</v>
      </c>
      <c r="C6" s="6">
        <v>483.2</v>
      </c>
      <c r="D6" s="7">
        <v>52</v>
      </c>
      <c r="E6" s="37">
        <f t="shared" ref="E6:E50" si="0">+C6*D6</f>
        <v>25126.399999999998</v>
      </c>
      <c r="F6" s="8">
        <f t="shared" ref="F6:F50" si="1">+E6*7%</f>
        <v>1758.848</v>
      </c>
      <c r="G6" s="8">
        <f t="shared" ref="G6:G50" si="2">+E6+F6</f>
        <v>26885.248</v>
      </c>
      <c r="H6">
        <v>6902030</v>
      </c>
    </row>
    <row r="7" spans="1:8" ht="18" customHeight="1" x14ac:dyDescent="0.4">
      <c r="A7" s="4" t="s">
        <v>461</v>
      </c>
      <c r="B7" s="5" t="s">
        <v>9</v>
      </c>
      <c r="C7" s="6">
        <v>499.05</v>
      </c>
      <c r="D7" s="7">
        <v>52</v>
      </c>
      <c r="E7" s="37">
        <f t="shared" si="0"/>
        <v>25950.600000000002</v>
      </c>
      <c r="F7" s="8">
        <f t="shared" si="1"/>
        <v>1816.5420000000004</v>
      </c>
      <c r="G7" s="8">
        <f t="shared" si="2"/>
        <v>27767.142000000003</v>
      </c>
      <c r="H7">
        <v>6902021</v>
      </c>
    </row>
    <row r="8" spans="1:8" ht="18" customHeight="1" x14ac:dyDescent="0.4">
      <c r="A8" s="4" t="s">
        <v>462</v>
      </c>
      <c r="B8" s="5" t="s">
        <v>10</v>
      </c>
      <c r="C8" s="6">
        <v>4797.3</v>
      </c>
      <c r="D8" s="7">
        <v>52</v>
      </c>
      <c r="E8" s="37">
        <f t="shared" si="0"/>
        <v>249459.6</v>
      </c>
      <c r="F8" s="8">
        <f t="shared" si="1"/>
        <v>17462.172000000002</v>
      </c>
      <c r="G8" s="8">
        <f t="shared" si="2"/>
        <v>266921.772</v>
      </c>
      <c r="H8">
        <v>6902006</v>
      </c>
    </row>
    <row r="9" spans="1:8" ht="18" customHeight="1" x14ac:dyDescent="0.4">
      <c r="A9" s="4" t="s">
        <v>461</v>
      </c>
      <c r="B9" s="5" t="s">
        <v>10</v>
      </c>
      <c r="C9" s="9">
        <v>4793.49</v>
      </c>
      <c r="D9" s="10">
        <v>52</v>
      </c>
      <c r="E9" s="37">
        <f t="shared" si="0"/>
        <v>249261.47999999998</v>
      </c>
      <c r="F9" s="8">
        <f t="shared" si="1"/>
        <v>17448.303599999999</v>
      </c>
      <c r="G9" s="8">
        <f t="shared" si="2"/>
        <v>266709.78359999997</v>
      </c>
      <c r="H9">
        <v>6902019</v>
      </c>
    </row>
    <row r="10" spans="1:8" ht="18" customHeight="1" x14ac:dyDescent="0.4">
      <c r="A10" s="4" t="s">
        <v>463</v>
      </c>
      <c r="B10" s="5" t="s">
        <v>10</v>
      </c>
      <c r="C10" s="6">
        <v>4783.67</v>
      </c>
      <c r="D10" s="7">
        <v>52</v>
      </c>
      <c r="E10" s="37">
        <f t="shared" si="0"/>
        <v>248750.84</v>
      </c>
      <c r="F10" s="8">
        <f t="shared" si="1"/>
        <v>17412.558800000003</v>
      </c>
      <c r="G10" s="8">
        <f t="shared" si="2"/>
        <v>266163.39880000002</v>
      </c>
      <c r="H10">
        <v>6902050</v>
      </c>
    </row>
    <row r="11" spans="1:8" ht="18" customHeight="1" x14ac:dyDescent="0.4">
      <c r="A11" s="4" t="s">
        <v>465</v>
      </c>
      <c r="B11" s="5" t="s">
        <v>10</v>
      </c>
      <c r="C11" s="6">
        <v>4793.6400000000003</v>
      </c>
      <c r="D11" s="7">
        <v>52</v>
      </c>
      <c r="E11" s="37">
        <f>+C11*D11</f>
        <v>249269.28000000003</v>
      </c>
      <c r="F11" s="8">
        <f>+E11*7%</f>
        <v>17448.849600000005</v>
      </c>
      <c r="G11" s="8">
        <f>+E11+F11</f>
        <v>266718.12960000004</v>
      </c>
      <c r="H11">
        <v>6902102</v>
      </c>
    </row>
    <row r="12" spans="1:8" ht="18" customHeight="1" x14ac:dyDescent="0.4">
      <c r="A12" s="4" t="s">
        <v>464</v>
      </c>
      <c r="B12" s="5" t="s">
        <v>10</v>
      </c>
      <c r="C12" s="6">
        <v>4799.3</v>
      </c>
      <c r="D12" s="7">
        <v>52</v>
      </c>
      <c r="E12" s="37">
        <f t="shared" si="0"/>
        <v>249563.6</v>
      </c>
      <c r="F12" s="8">
        <f t="shared" si="1"/>
        <v>17469.452000000001</v>
      </c>
      <c r="G12" s="8">
        <f t="shared" si="2"/>
        <v>267033.05200000003</v>
      </c>
      <c r="H12">
        <v>6902107</v>
      </c>
    </row>
    <row r="13" spans="1:8" ht="18" customHeight="1" x14ac:dyDescent="0.4">
      <c r="A13" s="4" t="s">
        <v>466</v>
      </c>
      <c r="B13" s="5" t="s">
        <v>10</v>
      </c>
      <c r="C13" s="6">
        <v>4791.09</v>
      </c>
      <c r="D13" s="7">
        <v>52</v>
      </c>
      <c r="E13" s="37">
        <f t="shared" si="0"/>
        <v>249136.68</v>
      </c>
      <c r="F13" s="8">
        <f t="shared" si="1"/>
        <v>17439.567600000002</v>
      </c>
      <c r="G13" s="8">
        <f t="shared" si="2"/>
        <v>266576.2476</v>
      </c>
      <c r="H13">
        <v>6902150</v>
      </c>
    </row>
    <row r="14" spans="1:8" ht="18" customHeight="1" x14ac:dyDescent="0.4">
      <c r="A14" s="4" t="s">
        <v>467</v>
      </c>
      <c r="B14" s="5" t="s">
        <v>10</v>
      </c>
      <c r="C14" s="6">
        <v>4785.4799999999996</v>
      </c>
      <c r="D14" s="7">
        <v>52</v>
      </c>
      <c r="E14" s="37">
        <f t="shared" si="0"/>
        <v>248844.95999999996</v>
      </c>
      <c r="F14" s="8">
        <f t="shared" si="1"/>
        <v>17419.147199999999</v>
      </c>
      <c r="G14" s="8">
        <f t="shared" si="2"/>
        <v>266264.10719999997</v>
      </c>
      <c r="H14">
        <v>6902167</v>
      </c>
    </row>
    <row r="15" spans="1:8" ht="18" customHeight="1" x14ac:dyDescent="0.4">
      <c r="A15" s="4" t="s">
        <v>468</v>
      </c>
      <c r="B15" s="5" t="s">
        <v>10</v>
      </c>
      <c r="C15" s="6">
        <v>4782.93</v>
      </c>
      <c r="D15" s="7">
        <v>52</v>
      </c>
      <c r="E15" s="8">
        <f t="shared" si="0"/>
        <v>248712.36000000002</v>
      </c>
      <c r="F15" s="8">
        <f t="shared" si="1"/>
        <v>17409.865200000004</v>
      </c>
      <c r="G15" s="8">
        <f t="shared" si="2"/>
        <v>266122.22520000004</v>
      </c>
      <c r="H15">
        <v>6902185</v>
      </c>
    </row>
    <row r="16" spans="1:8" ht="18" customHeight="1" x14ac:dyDescent="0.4">
      <c r="A16" s="4" t="s">
        <v>469</v>
      </c>
      <c r="B16" s="5" t="s">
        <v>10</v>
      </c>
      <c r="C16" s="6">
        <v>4786.4399999999996</v>
      </c>
      <c r="D16" s="7">
        <v>52</v>
      </c>
      <c r="E16" s="8">
        <f t="shared" si="0"/>
        <v>248894.87999999998</v>
      </c>
      <c r="F16" s="8">
        <f t="shared" si="1"/>
        <v>17422.641599999999</v>
      </c>
      <c r="G16" s="8">
        <f t="shared" si="2"/>
        <v>266317.52159999998</v>
      </c>
      <c r="H16">
        <v>6902212</v>
      </c>
    </row>
    <row r="17" spans="1:8" ht="18" customHeight="1" x14ac:dyDescent="0.4">
      <c r="A17" s="4" t="s">
        <v>470</v>
      </c>
      <c r="B17" s="5" t="s">
        <v>10</v>
      </c>
      <c r="C17" s="6">
        <v>4791.08</v>
      </c>
      <c r="D17" s="7">
        <v>52</v>
      </c>
      <c r="E17" s="8">
        <f t="shared" si="0"/>
        <v>249136.16</v>
      </c>
      <c r="F17" s="8">
        <f t="shared" si="1"/>
        <v>17439.531200000001</v>
      </c>
      <c r="G17" s="8">
        <f t="shared" si="2"/>
        <v>266575.6912</v>
      </c>
      <c r="H17">
        <v>6902232</v>
      </c>
    </row>
    <row r="18" spans="1:8" ht="18" customHeight="1" x14ac:dyDescent="0.4">
      <c r="A18" s="4" t="s">
        <v>471</v>
      </c>
      <c r="B18" s="5" t="s">
        <v>10</v>
      </c>
      <c r="C18" s="6">
        <v>4784.72</v>
      </c>
      <c r="D18" s="7">
        <v>52</v>
      </c>
      <c r="E18" s="8">
        <f t="shared" si="0"/>
        <v>248805.44</v>
      </c>
      <c r="F18" s="8">
        <f t="shared" si="1"/>
        <v>17416.380800000003</v>
      </c>
      <c r="G18" s="8">
        <f t="shared" si="2"/>
        <v>266221.82079999999</v>
      </c>
      <c r="H18">
        <v>6902226</v>
      </c>
    </row>
    <row r="19" spans="1:8" ht="18" customHeight="1" x14ac:dyDescent="0.4">
      <c r="A19" s="4" t="s">
        <v>472</v>
      </c>
      <c r="B19" s="5" t="s">
        <v>10</v>
      </c>
      <c r="C19" s="6">
        <v>4796.87</v>
      </c>
      <c r="D19" s="7">
        <v>52</v>
      </c>
      <c r="E19" s="8">
        <f t="shared" si="0"/>
        <v>249437.24</v>
      </c>
      <c r="F19" s="8">
        <f t="shared" si="1"/>
        <v>17460.606800000001</v>
      </c>
      <c r="G19" s="8">
        <f t="shared" si="2"/>
        <v>266897.8468</v>
      </c>
      <c r="H19">
        <v>6902250</v>
      </c>
    </row>
    <row r="20" spans="1:8" ht="18" customHeight="1" x14ac:dyDescent="0.4">
      <c r="A20" s="4" t="s">
        <v>473</v>
      </c>
      <c r="B20" s="5" t="s">
        <v>10</v>
      </c>
      <c r="C20" s="6">
        <v>4785</v>
      </c>
      <c r="D20" s="7">
        <v>52</v>
      </c>
      <c r="E20" s="8">
        <f t="shared" si="0"/>
        <v>248820</v>
      </c>
      <c r="F20" s="8">
        <f t="shared" si="1"/>
        <v>17417.400000000001</v>
      </c>
      <c r="G20" s="8">
        <f t="shared" si="2"/>
        <v>266237.40000000002</v>
      </c>
      <c r="H20">
        <v>6902270</v>
      </c>
    </row>
    <row r="21" spans="1:8" ht="18" customHeight="1" x14ac:dyDescent="0.4">
      <c r="A21" s="4" t="s">
        <v>458</v>
      </c>
      <c r="B21" s="5" t="s">
        <v>10</v>
      </c>
      <c r="C21" s="6">
        <v>4794.16</v>
      </c>
      <c r="D21" s="7">
        <v>52</v>
      </c>
      <c r="E21" s="8">
        <f t="shared" si="0"/>
        <v>249296.32</v>
      </c>
      <c r="F21" s="8">
        <f t="shared" si="1"/>
        <v>17450.742400000003</v>
      </c>
      <c r="G21" s="8">
        <f t="shared" si="2"/>
        <v>266747.0624</v>
      </c>
      <c r="H21">
        <v>6902317</v>
      </c>
    </row>
    <row r="22" spans="1:8" ht="18" customHeight="1" x14ac:dyDescent="0.4">
      <c r="A22" s="4" t="s">
        <v>474</v>
      </c>
      <c r="B22" s="5" t="s">
        <v>10</v>
      </c>
      <c r="C22" s="6">
        <v>4789.3900000000003</v>
      </c>
      <c r="D22" s="7">
        <v>52</v>
      </c>
      <c r="E22" s="8">
        <f t="shared" si="0"/>
        <v>249048.28000000003</v>
      </c>
      <c r="F22" s="8">
        <f t="shared" si="1"/>
        <v>17433.379600000004</v>
      </c>
      <c r="G22" s="8">
        <f t="shared" si="2"/>
        <v>266481.65960000001</v>
      </c>
      <c r="H22">
        <v>6902305</v>
      </c>
    </row>
    <row r="23" spans="1:8" ht="18" customHeight="1" x14ac:dyDescent="0.4">
      <c r="A23" s="4" t="s">
        <v>469</v>
      </c>
      <c r="B23" s="5" t="s">
        <v>475</v>
      </c>
      <c r="C23" s="6">
        <v>1180.51</v>
      </c>
      <c r="D23" s="7">
        <v>52</v>
      </c>
      <c r="E23" s="8">
        <f t="shared" si="0"/>
        <v>61386.52</v>
      </c>
      <c r="F23" s="8">
        <f t="shared" si="1"/>
        <v>4297.0564000000004</v>
      </c>
      <c r="G23" s="8">
        <f t="shared" si="2"/>
        <v>65683.576399999991</v>
      </c>
      <c r="H23">
        <v>6902213</v>
      </c>
    </row>
    <row r="24" spans="1:8" ht="18" customHeight="1" x14ac:dyDescent="0.4">
      <c r="A24" s="4" t="s">
        <v>476</v>
      </c>
      <c r="B24" s="5" t="s">
        <v>137</v>
      </c>
      <c r="C24" s="9">
        <v>1476.15</v>
      </c>
      <c r="D24" s="10">
        <v>68</v>
      </c>
      <c r="E24" s="8">
        <f t="shared" si="0"/>
        <v>100378.20000000001</v>
      </c>
      <c r="F24" s="8">
        <f t="shared" si="1"/>
        <v>7026.4740000000011</v>
      </c>
      <c r="G24" s="8">
        <f t="shared" si="2"/>
        <v>107404.67400000001</v>
      </c>
      <c r="H24">
        <v>6902084</v>
      </c>
    </row>
    <row r="25" spans="1:8" ht="18" customHeight="1" x14ac:dyDescent="0.4">
      <c r="A25" s="4" t="s">
        <v>465</v>
      </c>
      <c r="B25" s="5" t="s">
        <v>137</v>
      </c>
      <c r="C25" s="9">
        <v>1483.05</v>
      </c>
      <c r="D25" s="10">
        <v>68</v>
      </c>
      <c r="E25" s="8">
        <f t="shared" si="0"/>
        <v>100847.4</v>
      </c>
      <c r="F25" s="8">
        <f t="shared" si="1"/>
        <v>7059.3180000000002</v>
      </c>
      <c r="G25" s="8">
        <f t="shared" si="2"/>
        <v>107906.71799999999</v>
      </c>
      <c r="H25">
        <v>6902097</v>
      </c>
    </row>
    <row r="26" spans="1:8" ht="18" customHeight="1" x14ac:dyDescent="0.4">
      <c r="A26" s="4" t="s">
        <v>477</v>
      </c>
      <c r="B26" s="5" t="s">
        <v>137</v>
      </c>
      <c r="C26" s="9">
        <v>1487.15</v>
      </c>
      <c r="D26" s="10">
        <v>68</v>
      </c>
      <c r="E26" s="8">
        <f t="shared" si="0"/>
        <v>101126.20000000001</v>
      </c>
      <c r="F26" s="8">
        <f t="shared" si="1"/>
        <v>7078.8340000000017</v>
      </c>
      <c r="G26" s="8">
        <f t="shared" si="2"/>
        <v>108205.03400000001</v>
      </c>
      <c r="H26">
        <v>6902160</v>
      </c>
    </row>
    <row r="27" spans="1:8" ht="18" customHeight="1" x14ac:dyDescent="0.4">
      <c r="A27" s="4" t="s">
        <v>459</v>
      </c>
      <c r="B27" s="5" t="s">
        <v>137</v>
      </c>
      <c r="C27" s="9">
        <v>1479.7</v>
      </c>
      <c r="D27" s="10">
        <v>68</v>
      </c>
      <c r="E27" s="8">
        <f t="shared" si="0"/>
        <v>100619.6</v>
      </c>
      <c r="F27" s="8">
        <f t="shared" si="1"/>
        <v>7043.3720000000012</v>
      </c>
      <c r="G27" s="8">
        <f t="shared" si="2"/>
        <v>107662.97200000001</v>
      </c>
      <c r="H27">
        <v>6902134</v>
      </c>
    </row>
    <row r="28" spans="1:8" ht="18" customHeight="1" x14ac:dyDescent="0.4">
      <c r="A28" s="4" t="s">
        <v>472</v>
      </c>
      <c r="B28" s="5" t="s">
        <v>137</v>
      </c>
      <c r="C28" s="9">
        <v>1490.55</v>
      </c>
      <c r="D28" s="10">
        <v>68</v>
      </c>
      <c r="E28" s="8">
        <f t="shared" si="0"/>
        <v>101357.4</v>
      </c>
      <c r="F28" s="8">
        <f t="shared" si="1"/>
        <v>7095.018</v>
      </c>
      <c r="G28" s="8">
        <f t="shared" si="2"/>
        <v>108452.41799999999</v>
      </c>
      <c r="H28">
        <v>6902251</v>
      </c>
    </row>
    <row r="29" spans="1:8" ht="18" customHeight="1" x14ac:dyDescent="0.4">
      <c r="A29" s="4" t="s">
        <v>462</v>
      </c>
      <c r="B29" s="5" t="s">
        <v>198</v>
      </c>
      <c r="C29" s="9">
        <v>1491.45</v>
      </c>
      <c r="D29" s="10">
        <v>68</v>
      </c>
      <c r="E29" s="8">
        <f t="shared" si="0"/>
        <v>101418.6</v>
      </c>
      <c r="F29" s="8">
        <f t="shared" si="1"/>
        <v>7099.3020000000015</v>
      </c>
      <c r="G29" s="8">
        <f t="shared" si="2"/>
        <v>108517.902</v>
      </c>
      <c r="H29">
        <v>6902008</v>
      </c>
    </row>
    <row r="30" spans="1:8" ht="18" customHeight="1" x14ac:dyDescent="0.4">
      <c r="A30" s="4" t="s">
        <v>478</v>
      </c>
      <c r="B30" s="5" t="s">
        <v>198</v>
      </c>
      <c r="C30" s="9">
        <v>1490.15</v>
      </c>
      <c r="D30" s="10">
        <v>68</v>
      </c>
      <c r="E30" s="8">
        <f t="shared" si="0"/>
        <v>101330.20000000001</v>
      </c>
      <c r="F30" s="8">
        <f t="shared" si="1"/>
        <v>7093.1140000000014</v>
      </c>
      <c r="G30" s="8">
        <f t="shared" si="2"/>
        <v>108423.31400000001</v>
      </c>
      <c r="H30">
        <v>6902037</v>
      </c>
    </row>
    <row r="31" spans="1:8" ht="18" customHeight="1" x14ac:dyDescent="0.4">
      <c r="A31" s="4" t="s">
        <v>479</v>
      </c>
      <c r="B31" s="5" t="s">
        <v>198</v>
      </c>
      <c r="C31" s="9">
        <v>1534.35</v>
      </c>
      <c r="D31" s="10">
        <v>68</v>
      </c>
      <c r="E31" s="8">
        <f t="shared" si="0"/>
        <v>104335.79999999999</v>
      </c>
      <c r="F31" s="8">
        <f t="shared" si="1"/>
        <v>7303.5060000000003</v>
      </c>
      <c r="G31" s="8">
        <f t="shared" si="2"/>
        <v>111639.30599999998</v>
      </c>
      <c r="H31">
        <v>6902297</v>
      </c>
    </row>
    <row r="32" spans="1:8" ht="18" customHeight="1" x14ac:dyDescent="0.4">
      <c r="A32" s="4" t="s">
        <v>478</v>
      </c>
      <c r="B32" s="5" t="s">
        <v>146</v>
      </c>
      <c r="C32" s="9">
        <v>1488.7</v>
      </c>
      <c r="D32" s="10">
        <v>68</v>
      </c>
      <c r="E32" s="8">
        <f t="shared" si="0"/>
        <v>101231.6</v>
      </c>
      <c r="F32" s="8">
        <f t="shared" si="1"/>
        <v>7086.2120000000014</v>
      </c>
      <c r="G32" s="8">
        <f t="shared" si="2"/>
        <v>108317.81200000001</v>
      </c>
      <c r="H32">
        <v>6902049</v>
      </c>
    </row>
    <row r="33" spans="1:8" ht="18" customHeight="1" x14ac:dyDescent="0.4">
      <c r="A33" s="4" t="s">
        <v>463</v>
      </c>
      <c r="B33" s="5" t="s">
        <v>146</v>
      </c>
      <c r="C33" s="9">
        <v>1475.2</v>
      </c>
      <c r="D33" s="10">
        <v>68</v>
      </c>
      <c r="E33" s="8">
        <f t="shared" si="0"/>
        <v>100313.60000000001</v>
      </c>
      <c r="F33" s="8">
        <f t="shared" si="1"/>
        <v>7021.9520000000011</v>
      </c>
      <c r="G33" s="8">
        <f t="shared" si="2"/>
        <v>107335.55200000001</v>
      </c>
      <c r="H33">
        <v>6902051</v>
      </c>
    </row>
    <row r="34" spans="1:8" ht="18" customHeight="1" x14ac:dyDescent="0.4">
      <c r="A34" s="4" t="s">
        <v>459</v>
      </c>
      <c r="B34" s="5" t="s">
        <v>146</v>
      </c>
      <c r="C34" s="9">
        <v>1475.55</v>
      </c>
      <c r="D34" s="10">
        <v>68</v>
      </c>
      <c r="E34" s="8">
        <f t="shared" si="0"/>
        <v>100337.4</v>
      </c>
      <c r="F34" s="8">
        <f t="shared" si="1"/>
        <v>7023.6180000000004</v>
      </c>
      <c r="G34" s="8">
        <f t="shared" si="2"/>
        <v>107361.018</v>
      </c>
      <c r="H34">
        <v>6902133</v>
      </c>
    </row>
    <row r="35" spans="1:8" ht="18" customHeight="1" x14ac:dyDescent="0.4">
      <c r="A35" s="4" t="s">
        <v>478</v>
      </c>
      <c r="B35" s="5" t="s">
        <v>482</v>
      </c>
      <c r="C35" s="9">
        <v>487.8</v>
      </c>
      <c r="D35" s="10">
        <v>68</v>
      </c>
      <c r="E35" s="8">
        <f t="shared" si="0"/>
        <v>33170.400000000001</v>
      </c>
      <c r="F35" s="8">
        <f t="shared" si="1"/>
        <v>2321.9280000000003</v>
      </c>
      <c r="G35" s="8">
        <f t="shared" si="2"/>
        <v>35492.328000000001</v>
      </c>
      <c r="H35">
        <v>6902039</v>
      </c>
    </row>
    <row r="36" spans="1:8" ht="18" customHeight="1" x14ac:dyDescent="0.4">
      <c r="A36" s="11" t="s">
        <v>480</v>
      </c>
      <c r="B36" s="5" t="s">
        <v>11</v>
      </c>
      <c r="C36" s="9">
        <v>1491.35</v>
      </c>
      <c r="D36" s="10">
        <v>68</v>
      </c>
      <c r="E36" s="8">
        <f t="shared" si="0"/>
        <v>101411.79999999999</v>
      </c>
      <c r="F36" s="8">
        <f t="shared" si="1"/>
        <v>7098.826</v>
      </c>
      <c r="G36" s="8">
        <f t="shared" si="2"/>
        <v>108510.62599999999</v>
      </c>
      <c r="H36">
        <v>6902063</v>
      </c>
    </row>
    <row r="37" spans="1:8" ht="18" customHeight="1" x14ac:dyDescent="0.4">
      <c r="A37" s="4" t="s">
        <v>464</v>
      </c>
      <c r="B37" s="5" t="s">
        <v>11</v>
      </c>
      <c r="C37" s="6">
        <v>1492.65</v>
      </c>
      <c r="D37" s="7">
        <v>68</v>
      </c>
      <c r="E37" s="8">
        <f t="shared" si="0"/>
        <v>101500.20000000001</v>
      </c>
      <c r="F37" s="8">
        <f t="shared" si="1"/>
        <v>7105.0140000000019</v>
      </c>
      <c r="G37" s="8">
        <f t="shared" si="2"/>
        <v>108605.21400000001</v>
      </c>
      <c r="H37">
        <v>6902108</v>
      </c>
    </row>
    <row r="38" spans="1:8" ht="18" customHeight="1" x14ac:dyDescent="0.4">
      <c r="A38" s="4" t="s">
        <v>469</v>
      </c>
      <c r="B38" s="5" t="s">
        <v>11</v>
      </c>
      <c r="C38" s="6">
        <v>1506.45</v>
      </c>
      <c r="D38" s="7">
        <v>68</v>
      </c>
      <c r="E38" s="8">
        <f t="shared" si="0"/>
        <v>102438.6</v>
      </c>
      <c r="F38" s="8">
        <f t="shared" si="1"/>
        <v>7170.7020000000011</v>
      </c>
      <c r="G38" s="8">
        <f t="shared" si="2"/>
        <v>109609.30200000001</v>
      </c>
      <c r="H38">
        <v>6902214</v>
      </c>
    </row>
    <row r="39" spans="1:8" ht="18" customHeight="1" x14ac:dyDescent="0.4">
      <c r="A39" s="4" t="s">
        <v>473</v>
      </c>
      <c r="B39" s="5" t="s">
        <v>11</v>
      </c>
      <c r="C39" s="6">
        <v>1445.85</v>
      </c>
      <c r="D39" s="7">
        <v>68</v>
      </c>
      <c r="E39" s="8">
        <f t="shared" si="0"/>
        <v>98317.799999999988</v>
      </c>
      <c r="F39" s="8">
        <f t="shared" si="1"/>
        <v>6882.2460000000001</v>
      </c>
      <c r="G39" s="8">
        <f t="shared" si="2"/>
        <v>105200.04599999999</v>
      </c>
      <c r="H39">
        <v>6902271</v>
      </c>
    </row>
    <row r="40" spans="1:8" ht="18" customHeight="1" x14ac:dyDescent="0.4">
      <c r="A40" s="12" t="s">
        <v>478</v>
      </c>
      <c r="B40" s="5" t="s">
        <v>236</v>
      </c>
      <c r="C40" s="6">
        <v>477.45</v>
      </c>
      <c r="D40" s="7">
        <v>68</v>
      </c>
      <c r="E40" s="8">
        <f t="shared" si="0"/>
        <v>32466.6</v>
      </c>
      <c r="F40" s="8">
        <f t="shared" si="1"/>
        <v>2272.6620000000003</v>
      </c>
      <c r="G40" s="8">
        <f t="shared" si="2"/>
        <v>34739.262000000002</v>
      </c>
      <c r="H40">
        <v>6902036</v>
      </c>
    </row>
    <row r="41" spans="1:8" ht="18" customHeight="1" x14ac:dyDescent="0.4">
      <c r="A41" s="12" t="s">
        <v>458</v>
      </c>
      <c r="B41" s="5" t="s">
        <v>190</v>
      </c>
      <c r="C41" s="6">
        <v>264.10000000000002</v>
      </c>
      <c r="D41" s="7">
        <v>68</v>
      </c>
      <c r="E41" s="8">
        <f t="shared" si="0"/>
        <v>17958.800000000003</v>
      </c>
      <c r="F41" s="8">
        <f t="shared" si="1"/>
        <v>1257.1160000000002</v>
      </c>
      <c r="G41" s="8">
        <f t="shared" si="2"/>
        <v>19215.916000000005</v>
      </c>
      <c r="H41">
        <v>6902319</v>
      </c>
    </row>
    <row r="42" spans="1:8" ht="18" customHeight="1" x14ac:dyDescent="0.4">
      <c r="A42" s="12" t="s">
        <v>462</v>
      </c>
      <c r="B42" s="5" t="s">
        <v>197</v>
      </c>
      <c r="C42" s="6">
        <v>490.6</v>
      </c>
      <c r="D42" s="7">
        <v>68</v>
      </c>
      <c r="E42" s="8">
        <f t="shared" si="0"/>
        <v>33360.800000000003</v>
      </c>
      <c r="F42" s="8">
        <f t="shared" si="1"/>
        <v>2335.2560000000003</v>
      </c>
      <c r="G42" s="8">
        <f t="shared" si="2"/>
        <v>35696.056000000004</v>
      </c>
      <c r="H42">
        <v>6902009</v>
      </c>
    </row>
    <row r="43" spans="1:8" ht="18" customHeight="1" x14ac:dyDescent="0.4">
      <c r="A43" s="12" t="s">
        <v>478</v>
      </c>
      <c r="B43" s="5" t="s">
        <v>197</v>
      </c>
      <c r="C43" s="6">
        <v>494.95</v>
      </c>
      <c r="D43" s="7">
        <v>68</v>
      </c>
      <c r="E43" s="8">
        <f t="shared" si="0"/>
        <v>33656.6</v>
      </c>
      <c r="F43" s="8">
        <f t="shared" si="1"/>
        <v>2355.962</v>
      </c>
      <c r="G43" s="8">
        <f t="shared" si="2"/>
        <v>36012.561999999998</v>
      </c>
      <c r="H43">
        <v>6902038</v>
      </c>
    </row>
    <row r="44" spans="1:8" ht="18" customHeight="1" x14ac:dyDescent="0.4">
      <c r="A44" s="12" t="s">
        <v>462</v>
      </c>
      <c r="B44" s="5" t="s">
        <v>162</v>
      </c>
      <c r="C44" s="6">
        <v>463.65</v>
      </c>
      <c r="D44" s="7">
        <v>68</v>
      </c>
      <c r="E44" s="8">
        <f t="shared" si="0"/>
        <v>31528.199999999997</v>
      </c>
      <c r="F44" s="8">
        <f t="shared" si="1"/>
        <v>2206.9740000000002</v>
      </c>
      <c r="G44" s="8">
        <f t="shared" si="2"/>
        <v>33735.173999999999</v>
      </c>
      <c r="H44">
        <v>6902007</v>
      </c>
    </row>
    <row r="45" spans="1:8" ht="18" customHeight="1" x14ac:dyDescent="0.4">
      <c r="A45" s="4" t="s">
        <v>483</v>
      </c>
      <c r="B45" s="5" t="s">
        <v>13</v>
      </c>
      <c r="C45" s="13">
        <v>476.05</v>
      </c>
      <c r="D45" s="14">
        <v>68</v>
      </c>
      <c r="E45" s="15">
        <f t="shared" si="0"/>
        <v>32371.4</v>
      </c>
      <c r="F45" s="15">
        <f t="shared" si="1"/>
        <v>2265.9980000000005</v>
      </c>
      <c r="G45" s="15">
        <f t="shared" si="2"/>
        <v>34637.398000000001</v>
      </c>
      <c r="H45">
        <v>6902077</v>
      </c>
    </row>
    <row r="46" spans="1:8" ht="18" customHeight="1" x14ac:dyDescent="0.4">
      <c r="A46" s="4" t="s">
        <v>474</v>
      </c>
      <c r="B46" s="5" t="s">
        <v>484</v>
      </c>
      <c r="C46" s="13">
        <v>1496.95</v>
      </c>
      <c r="D46" s="14">
        <v>68</v>
      </c>
      <c r="E46" s="15">
        <f t="shared" si="0"/>
        <v>101792.6</v>
      </c>
      <c r="F46" s="15">
        <f t="shared" si="1"/>
        <v>7125.4820000000009</v>
      </c>
      <c r="G46" s="15">
        <f t="shared" si="2"/>
        <v>108918.08200000001</v>
      </c>
      <c r="H46">
        <v>6902306</v>
      </c>
    </row>
    <row r="47" spans="1:8" ht="18" customHeight="1" x14ac:dyDescent="0.4">
      <c r="A47" s="4" t="s">
        <v>462</v>
      </c>
      <c r="B47" s="5" t="s">
        <v>14</v>
      </c>
      <c r="C47" s="13">
        <v>1483.65</v>
      </c>
      <c r="D47" s="14">
        <v>68</v>
      </c>
      <c r="E47" s="15">
        <f t="shared" si="0"/>
        <v>100888.20000000001</v>
      </c>
      <c r="F47" s="15">
        <f t="shared" si="1"/>
        <v>7062.1740000000018</v>
      </c>
      <c r="G47" s="15">
        <f t="shared" si="2"/>
        <v>107950.37400000001</v>
      </c>
      <c r="H47">
        <v>6902010</v>
      </c>
    </row>
    <row r="48" spans="1:8" ht="18" customHeight="1" x14ac:dyDescent="0.4">
      <c r="A48" s="4" t="s">
        <v>483</v>
      </c>
      <c r="B48" s="5" t="s">
        <v>14</v>
      </c>
      <c r="C48" s="13">
        <v>476.7</v>
      </c>
      <c r="D48" s="14">
        <v>68</v>
      </c>
      <c r="E48" s="15">
        <f t="shared" si="0"/>
        <v>32415.599999999999</v>
      </c>
      <c r="F48" s="15">
        <f t="shared" si="1"/>
        <v>2269.0920000000001</v>
      </c>
      <c r="G48" s="15">
        <f t="shared" si="2"/>
        <v>34684.691999999995</v>
      </c>
      <c r="H48">
        <v>6902078</v>
      </c>
    </row>
    <row r="49" spans="1:8" ht="18" customHeight="1" x14ac:dyDescent="0.4">
      <c r="A49" s="4" t="s">
        <v>458</v>
      </c>
      <c r="B49" s="5" t="s">
        <v>14</v>
      </c>
      <c r="C49" s="13">
        <v>1482.85</v>
      </c>
      <c r="D49" s="14">
        <v>68</v>
      </c>
      <c r="E49" s="15">
        <f t="shared" si="0"/>
        <v>100833.79999999999</v>
      </c>
      <c r="F49" s="15">
        <f t="shared" si="1"/>
        <v>7058.366</v>
      </c>
      <c r="G49" s="15">
        <f t="shared" si="2"/>
        <v>107892.16599999998</v>
      </c>
      <c r="H49">
        <v>6902318</v>
      </c>
    </row>
    <row r="50" spans="1:8" ht="18" customHeight="1" x14ac:dyDescent="0.4">
      <c r="A50" s="4" t="s">
        <v>469</v>
      </c>
      <c r="B50" s="5" t="s">
        <v>153</v>
      </c>
      <c r="C50" s="13">
        <v>976.76</v>
      </c>
      <c r="D50" s="14">
        <v>68</v>
      </c>
      <c r="E50" s="15">
        <f t="shared" si="0"/>
        <v>66419.679999999993</v>
      </c>
      <c r="F50" s="15">
        <f t="shared" si="1"/>
        <v>4649.3775999999998</v>
      </c>
      <c r="G50" s="15">
        <f t="shared" si="2"/>
        <v>71069.0576</v>
      </c>
      <c r="H50">
        <v>6902215</v>
      </c>
    </row>
    <row r="51" spans="1:8" ht="18" customHeight="1" x14ac:dyDescent="0.4">
      <c r="A51" s="4" t="s">
        <v>480</v>
      </c>
      <c r="B51" s="5" t="s">
        <v>481</v>
      </c>
      <c r="C51" s="9">
        <v>3986.45</v>
      </c>
      <c r="D51" s="10">
        <v>104</v>
      </c>
      <c r="E51" s="8">
        <f>+C51*D51</f>
        <v>414590.8</v>
      </c>
      <c r="F51" s="8">
        <f>+E51*7%</f>
        <v>29021.356000000003</v>
      </c>
      <c r="G51" s="8">
        <f>+E51+F51</f>
        <v>443612.15600000002</v>
      </c>
      <c r="H51">
        <v>6902062</v>
      </c>
    </row>
    <row r="52" spans="1:8" ht="18" customHeight="1" x14ac:dyDescent="0.4">
      <c r="A52" s="4" t="s">
        <v>465</v>
      </c>
      <c r="B52" s="5" t="s">
        <v>481</v>
      </c>
      <c r="C52" s="9">
        <v>1981.85</v>
      </c>
      <c r="D52" s="10">
        <v>104</v>
      </c>
      <c r="E52" s="8">
        <f>+C52*D52</f>
        <v>206112.4</v>
      </c>
      <c r="F52" s="8">
        <f>+E52*7%</f>
        <v>14427.868</v>
      </c>
      <c r="G52" s="8">
        <f>+E52+F52</f>
        <v>220540.26799999998</v>
      </c>
      <c r="H52">
        <v>6902096</v>
      </c>
    </row>
    <row r="53" spans="1:8" ht="18" customHeight="1" thickBot="1" x14ac:dyDescent="0.45">
      <c r="A53" s="16"/>
      <c r="B53" s="17" t="s">
        <v>15</v>
      </c>
      <c r="C53" s="18">
        <f>SUM(C4:C52)</f>
        <v>113693.68</v>
      </c>
      <c r="D53" s="19"/>
      <c r="E53" s="20">
        <f>SUM(E4:E52)</f>
        <v>6724499.9199999971</v>
      </c>
      <c r="F53" s="20">
        <f>SUM(F4:F52)</f>
        <v>470714.99440000008</v>
      </c>
      <c r="G53" s="20">
        <f>SUM(G4:G52)</f>
        <v>7195214.9144000001</v>
      </c>
    </row>
    <row r="54" spans="1:8" ht="18.75" customHeight="1" thickTop="1" x14ac:dyDescent="0.4">
      <c r="A54" s="21"/>
      <c r="B54" s="22"/>
      <c r="C54" s="23"/>
      <c r="D54" s="24"/>
      <c r="E54" s="23"/>
      <c r="F54" s="25"/>
      <c r="G54" s="23"/>
    </row>
    <row r="55" spans="1:8" ht="18.75" customHeight="1" x14ac:dyDescent="0.4">
      <c r="A55" s="21"/>
      <c r="B55" s="22"/>
      <c r="C55" s="23"/>
      <c r="D55" s="24"/>
      <c r="E55" s="23"/>
      <c r="F55" s="25"/>
      <c r="G55" s="23"/>
    </row>
    <row r="56" spans="1:8" s="26" customFormat="1" ht="23.25" x14ac:dyDescent="0.45">
      <c r="A56" s="362" t="s">
        <v>16</v>
      </c>
      <c r="B56" s="362"/>
      <c r="C56" s="362"/>
      <c r="D56" s="362"/>
      <c r="E56" s="362"/>
      <c r="F56" s="362"/>
      <c r="G56" s="362"/>
    </row>
    <row r="57" spans="1:8" s="30" customFormat="1" ht="18" customHeight="1" x14ac:dyDescent="0.5">
      <c r="A57" s="27" t="s">
        <v>2</v>
      </c>
      <c r="B57" s="28" t="s">
        <v>3</v>
      </c>
      <c r="C57" s="28" t="s">
        <v>4</v>
      </c>
      <c r="D57" s="29" t="s">
        <v>5</v>
      </c>
      <c r="E57" s="28" t="s">
        <v>6</v>
      </c>
      <c r="F57" s="28" t="s">
        <v>7</v>
      </c>
      <c r="G57" s="28" t="s">
        <v>8</v>
      </c>
    </row>
    <row r="58" spans="1:8" s="36" customFormat="1" ht="18" customHeight="1" x14ac:dyDescent="0.4">
      <c r="A58" s="31" t="s">
        <v>463</v>
      </c>
      <c r="B58" s="32" t="s">
        <v>17</v>
      </c>
      <c r="C58" s="33">
        <v>2411.75</v>
      </c>
      <c r="D58" s="34">
        <v>50.12</v>
      </c>
      <c r="E58" s="35">
        <f>+C58*D58</f>
        <v>120876.90999999999</v>
      </c>
      <c r="F58" s="35">
        <f>+E58*7%</f>
        <v>8461.3837000000003</v>
      </c>
      <c r="G58" s="35">
        <f>+E58+F58</f>
        <v>129338.29369999999</v>
      </c>
      <c r="H58" s="36">
        <v>6902057</v>
      </c>
    </row>
    <row r="59" spans="1:8" s="36" customFormat="1" ht="18" customHeight="1" x14ac:dyDescent="0.4">
      <c r="A59" s="16" t="s">
        <v>459</v>
      </c>
      <c r="B59" s="5" t="s">
        <v>18</v>
      </c>
      <c r="C59" s="37">
        <v>1567.15</v>
      </c>
      <c r="D59" s="38">
        <v>50.12</v>
      </c>
      <c r="E59" s="39">
        <f t="shared" ref="E59:E76" si="3">+C59*D59</f>
        <v>78545.558000000005</v>
      </c>
      <c r="F59" s="39">
        <f t="shared" ref="F59:F76" si="4">+E59*7%</f>
        <v>5498.1890600000006</v>
      </c>
      <c r="G59" s="39">
        <f t="shared" ref="G59:G76" si="5">+E59+F59</f>
        <v>84043.747060000009</v>
      </c>
      <c r="H59" s="36">
        <v>6902128</v>
      </c>
    </row>
    <row r="60" spans="1:8" s="36" customFormat="1" ht="18" customHeight="1" x14ac:dyDescent="0.4">
      <c r="A60" s="16" t="s">
        <v>467</v>
      </c>
      <c r="B60" s="5" t="s">
        <v>19</v>
      </c>
      <c r="C60" s="37">
        <v>2580.75</v>
      </c>
      <c r="D60" s="38">
        <v>50.12</v>
      </c>
      <c r="E60" s="39">
        <f t="shared" si="3"/>
        <v>129347.18999999999</v>
      </c>
      <c r="F60" s="39">
        <f t="shared" si="4"/>
        <v>9054.3032999999996</v>
      </c>
      <c r="G60" s="39">
        <f t="shared" si="5"/>
        <v>138401.49329999997</v>
      </c>
      <c r="H60" s="36">
        <v>6902182</v>
      </c>
    </row>
    <row r="61" spans="1:8" ht="18" customHeight="1" x14ac:dyDescent="0.4">
      <c r="A61" s="16" t="s">
        <v>483</v>
      </c>
      <c r="B61" s="5" t="s">
        <v>23</v>
      </c>
      <c r="C61" s="37">
        <v>5130</v>
      </c>
      <c r="D61" s="38">
        <v>50.12</v>
      </c>
      <c r="E61" s="39">
        <f t="shared" si="3"/>
        <v>257115.59999999998</v>
      </c>
      <c r="F61" s="39">
        <f t="shared" si="4"/>
        <v>17998.092000000001</v>
      </c>
      <c r="G61" s="39">
        <f t="shared" si="5"/>
        <v>275113.69199999998</v>
      </c>
      <c r="H61">
        <v>6902076</v>
      </c>
    </row>
    <row r="62" spans="1:8" ht="18" customHeight="1" x14ac:dyDescent="0.4">
      <c r="A62" s="16" t="s">
        <v>469</v>
      </c>
      <c r="B62" s="5" t="s">
        <v>23</v>
      </c>
      <c r="C62" s="37">
        <v>3925.95</v>
      </c>
      <c r="D62" s="38">
        <v>50.12</v>
      </c>
      <c r="E62" s="39">
        <f t="shared" si="3"/>
        <v>196768.61399999997</v>
      </c>
      <c r="F62" s="39">
        <f t="shared" si="4"/>
        <v>13773.802979999999</v>
      </c>
      <c r="G62" s="39">
        <f t="shared" si="5"/>
        <v>210542.41697999998</v>
      </c>
      <c r="H62" s="36">
        <v>6902225</v>
      </c>
    </row>
    <row r="63" spans="1:8" ht="18" customHeight="1" x14ac:dyDescent="0.4">
      <c r="A63" s="16" t="s">
        <v>471</v>
      </c>
      <c r="B63" s="5" t="s">
        <v>23</v>
      </c>
      <c r="C63" s="37">
        <v>1055.4000000000001</v>
      </c>
      <c r="D63" s="38">
        <v>50.12</v>
      </c>
      <c r="E63" s="39">
        <f t="shared" si="3"/>
        <v>52896.648000000001</v>
      </c>
      <c r="F63" s="39">
        <f t="shared" si="4"/>
        <v>3702.7653600000003</v>
      </c>
      <c r="G63" s="39">
        <f t="shared" si="5"/>
        <v>56599.413359999999</v>
      </c>
      <c r="H63" s="36">
        <v>6902229</v>
      </c>
    </row>
    <row r="64" spans="1:8" ht="18" customHeight="1" x14ac:dyDescent="0.4">
      <c r="A64" s="16" t="s">
        <v>473</v>
      </c>
      <c r="B64" s="5" t="s">
        <v>23</v>
      </c>
      <c r="C64" s="37">
        <v>4960.8500000000004</v>
      </c>
      <c r="D64" s="38">
        <v>50.12</v>
      </c>
      <c r="E64" s="39">
        <f t="shared" si="3"/>
        <v>248637.802</v>
      </c>
      <c r="F64" s="39">
        <f t="shared" si="4"/>
        <v>17404.646140000001</v>
      </c>
      <c r="G64" s="39">
        <f t="shared" si="5"/>
        <v>266042.44813999999</v>
      </c>
      <c r="H64" s="36">
        <v>6902279</v>
      </c>
    </row>
    <row r="65" spans="1:8" ht="18" customHeight="1" x14ac:dyDescent="0.4">
      <c r="A65" s="16" t="s">
        <v>483</v>
      </c>
      <c r="B65" s="5" t="s">
        <v>485</v>
      </c>
      <c r="C65" s="37">
        <v>4486.8</v>
      </c>
      <c r="D65" s="38">
        <v>50.12</v>
      </c>
      <c r="E65" s="39">
        <f t="shared" si="3"/>
        <v>224878.416</v>
      </c>
      <c r="F65" s="39">
        <f t="shared" si="4"/>
        <v>15741.489120000002</v>
      </c>
      <c r="G65" s="39">
        <f t="shared" si="5"/>
        <v>240619.90512000001</v>
      </c>
      <c r="H65">
        <v>6902074</v>
      </c>
    </row>
    <row r="66" spans="1:8" ht="18" customHeight="1" x14ac:dyDescent="0.4">
      <c r="A66" s="16" t="s">
        <v>467</v>
      </c>
      <c r="B66" s="5" t="s">
        <v>485</v>
      </c>
      <c r="C66" s="37">
        <v>4862.3</v>
      </c>
      <c r="D66" s="38">
        <v>50.12</v>
      </c>
      <c r="E66" s="39">
        <f t="shared" si="3"/>
        <v>243698.476</v>
      </c>
      <c r="F66" s="39">
        <f t="shared" si="4"/>
        <v>17058.893320000003</v>
      </c>
      <c r="G66" s="39">
        <f t="shared" si="5"/>
        <v>260757.36932</v>
      </c>
      <c r="H66">
        <v>6902181</v>
      </c>
    </row>
    <row r="67" spans="1:8" ht="18" customHeight="1" x14ac:dyDescent="0.4">
      <c r="A67" s="4" t="s">
        <v>480</v>
      </c>
      <c r="B67" s="5" t="s">
        <v>486</v>
      </c>
      <c r="C67" s="6">
        <v>5018.3500000000004</v>
      </c>
      <c r="D67" s="40">
        <v>60.12</v>
      </c>
      <c r="E67" s="39">
        <f t="shared" si="3"/>
        <v>301703.20199999999</v>
      </c>
      <c r="F67" s="39">
        <f t="shared" si="4"/>
        <v>21119.224140000002</v>
      </c>
      <c r="G67" s="39">
        <f t="shared" si="5"/>
        <v>322822.42614</v>
      </c>
      <c r="H67">
        <v>6902061</v>
      </c>
    </row>
    <row r="68" spans="1:8" ht="18" customHeight="1" x14ac:dyDescent="0.4">
      <c r="A68" s="4" t="s">
        <v>469</v>
      </c>
      <c r="B68" s="5" t="s">
        <v>486</v>
      </c>
      <c r="C68" s="6">
        <v>6103.7</v>
      </c>
      <c r="D68" s="40">
        <v>60.12</v>
      </c>
      <c r="E68" s="39">
        <f t="shared" si="3"/>
        <v>366954.44399999996</v>
      </c>
      <c r="F68" s="39">
        <f t="shared" si="4"/>
        <v>25686.811079999999</v>
      </c>
      <c r="G68" s="39">
        <f t="shared" si="5"/>
        <v>392641.25507999997</v>
      </c>
      <c r="H68">
        <v>6902224</v>
      </c>
    </row>
    <row r="69" spans="1:8" ht="18" customHeight="1" x14ac:dyDescent="0.4">
      <c r="A69" s="4" t="s">
        <v>471</v>
      </c>
      <c r="B69" s="5" t="s">
        <v>486</v>
      </c>
      <c r="C69" s="6">
        <v>5101.1000000000004</v>
      </c>
      <c r="D69" s="40">
        <v>60.12</v>
      </c>
      <c r="E69" s="39">
        <f t="shared" si="3"/>
        <v>306678.13199999998</v>
      </c>
      <c r="F69" s="39">
        <f t="shared" si="4"/>
        <v>21467.469240000002</v>
      </c>
      <c r="G69" s="39">
        <f t="shared" si="5"/>
        <v>328145.60123999999</v>
      </c>
      <c r="H69">
        <v>6902228</v>
      </c>
    </row>
    <row r="70" spans="1:8" ht="18" customHeight="1" x14ac:dyDescent="0.4">
      <c r="A70" s="4" t="s">
        <v>474</v>
      </c>
      <c r="B70" s="5" t="s">
        <v>486</v>
      </c>
      <c r="C70" s="6">
        <v>6069.05</v>
      </c>
      <c r="D70" s="40">
        <v>60.12</v>
      </c>
      <c r="E70" s="39">
        <f t="shared" si="3"/>
        <v>364871.28600000002</v>
      </c>
      <c r="F70" s="39">
        <f t="shared" si="4"/>
        <v>25540.990020000005</v>
      </c>
      <c r="G70" s="39">
        <f t="shared" si="5"/>
        <v>390412.27602000005</v>
      </c>
      <c r="H70">
        <v>6902313</v>
      </c>
    </row>
    <row r="71" spans="1:8" ht="18" customHeight="1" x14ac:dyDescent="0.4">
      <c r="A71" s="4" t="s">
        <v>464</v>
      </c>
      <c r="B71" s="5" t="s">
        <v>20</v>
      </c>
      <c r="C71" s="6">
        <v>2102</v>
      </c>
      <c r="D71" s="40">
        <v>50.12</v>
      </c>
      <c r="E71" s="39">
        <f t="shared" si="3"/>
        <v>105352.23999999999</v>
      </c>
      <c r="F71" s="39">
        <f t="shared" si="4"/>
        <v>7374.6567999999997</v>
      </c>
      <c r="G71" s="39">
        <f t="shared" si="5"/>
        <v>112726.89679999999</v>
      </c>
      <c r="H71">
        <v>6902122</v>
      </c>
    </row>
    <row r="72" spans="1:8" ht="18" customHeight="1" x14ac:dyDescent="0.4">
      <c r="A72" s="4" t="s">
        <v>472</v>
      </c>
      <c r="B72" s="5" t="s">
        <v>20</v>
      </c>
      <c r="C72" s="6">
        <v>2107.1999999999998</v>
      </c>
      <c r="D72" s="40">
        <v>50.12</v>
      </c>
      <c r="E72" s="39">
        <f t="shared" si="3"/>
        <v>105612.86399999999</v>
      </c>
      <c r="F72" s="39">
        <f t="shared" si="4"/>
        <v>7392.9004799999993</v>
      </c>
      <c r="G72" s="39">
        <f t="shared" si="5"/>
        <v>113005.76447999998</v>
      </c>
      <c r="H72">
        <v>6902268</v>
      </c>
    </row>
    <row r="73" spans="1:8" ht="18" customHeight="1" x14ac:dyDescent="0.4">
      <c r="A73" s="4" t="s">
        <v>462</v>
      </c>
      <c r="B73" s="5" t="s">
        <v>128</v>
      </c>
      <c r="C73" s="6">
        <v>4586.05</v>
      </c>
      <c r="D73" s="40">
        <v>50.12</v>
      </c>
      <c r="E73" s="39">
        <f t="shared" si="3"/>
        <v>229852.826</v>
      </c>
      <c r="F73" s="39">
        <f t="shared" si="4"/>
        <v>16089.697820000001</v>
      </c>
      <c r="G73" s="39">
        <f t="shared" si="5"/>
        <v>245942.52382</v>
      </c>
      <c r="H73">
        <v>6902004</v>
      </c>
    </row>
    <row r="74" spans="1:8" ht="18" customHeight="1" x14ac:dyDescent="0.4">
      <c r="A74" s="4" t="s">
        <v>463</v>
      </c>
      <c r="B74" s="5" t="s">
        <v>128</v>
      </c>
      <c r="C74" s="6">
        <v>3194.15</v>
      </c>
      <c r="D74" s="40">
        <v>50.12</v>
      </c>
      <c r="E74" s="39">
        <f t="shared" si="3"/>
        <v>160090.79800000001</v>
      </c>
      <c r="F74" s="39">
        <f t="shared" si="4"/>
        <v>11206.355860000001</v>
      </c>
      <c r="G74" s="39">
        <f t="shared" si="5"/>
        <v>171297.15386000002</v>
      </c>
      <c r="H74">
        <v>6902058</v>
      </c>
    </row>
    <row r="75" spans="1:8" ht="18" customHeight="1" x14ac:dyDescent="0.4">
      <c r="A75" s="4" t="s">
        <v>483</v>
      </c>
      <c r="B75" s="5" t="s">
        <v>128</v>
      </c>
      <c r="C75" s="6">
        <v>5136.7</v>
      </c>
      <c r="D75" s="40">
        <v>50.12</v>
      </c>
      <c r="E75" s="39">
        <f t="shared" si="3"/>
        <v>257451.40399999998</v>
      </c>
      <c r="F75" s="39">
        <f t="shared" si="4"/>
        <v>18021.598280000002</v>
      </c>
      <c r="G75" s="39">
        <f t="shared" si="5"/>
        <v>275473.00227999996</v>
      </c>
      <c r="H75">
        <v>6902075</v>
      </c>
    </row>
    <row r="76" spans="1:8" ht="18" customHeight="1" x14ac:dyDescent="0.4">
      <c r="A76" s="4" t="s">
        <v>464</v>
      </c>
      <c r="B76" s="5" t="s">
        <v>128</v>
      </c>
      <c r="C76" s="6">
        <v>1330.05</v>
      </c>
      <c r="D76" s="40">
        <v>50.12</v>
      </c>
      <c r="E76" s="39">
        <f t="shared" si="3"/>
        <v>66662.106</v>
      </c>
      <c r="F76" s="39">
        <f t="shared" si="4"/>
        <v>4666.3474200000001</v>
      </c>
      <c r="G76" s="39">
        <f t="shared" si="5"/>
        <v>71328.453420000005</v>
      </c>
      <c r="H76">
        <v>6902123</v>
      </c>
    </row>
    <row r="77" spans="1:8" ht="18" customHeight="1" thickBot="1" x14ac:dyDescent="0.45">
      <c r="A77" s="41"/>
      <c r="B77" s="42" t="s">
        <v>15</v>
      </c>
      <c r="C77" s="43">
        <f>SUM(C58:C76)</f>
        <v>71729.3</v>
      </c>
      <c r="D77" s="38"/>
      <c r="E77" s="44">
        <f>SUM(E58:E76)</f>
        <v>3817994.5159999994</v>
      </c>
      <c r="F77" s="44">
        <f>SUM(F58:F76)</f>
        <v>267259.61612000002</v>
      </c>
      <c r="G77" s="44">
        <f>SUM(G58:G76)</f>
        <v>4085254.1321200007</v>
      </c>
    </row>
    <row r="78" spans="1:8" ht="19.5" customHeight="1" thickTop="1" x14ac:dyDescent="0.4">
      <c r="A78" s="45"/>
      <c r="B78" s="46"/>
      <c r="C78" s="47"/>
      <c r="D78" s="48"/>
      <c r="E78" s="323"/>
      <c r="F78" s="323"/>
      <c r="G78" s="323"/>
    </row>
    <row r="79" spans="1:8" s="26" customFormat="1" ht="23.25" x14ac:dyDescent="0.45">
      <c r="A79" s="362" t="s">
        <v>21</v>
      </c>
      <c r="B79" s="362"/>
      <c r="C79" s="362"/>
      <c r="D79" s="362"/>
      <c r="E79" s="362"/>
      <c r="F79" s="362"/>
      <c r="G79" s="362"/>
    </row>
    <row r="80" spans="1:8" s="26" customFormat="1" ht="18" customHeight="1" x14ac:dyDescent="0.45">
      <c r="A80" s="27" t="s">
        <v>2</v>
      </c>
      <c r="B80" s="28" t="s">
        <v>3</v>
      </c>
      <c r="C80" s="28" t="s">
        <v>4</v>
      </c>
      <c r="D80" s="29" t="s">
        <v>5</v>
      </c>
      <c r="E80" s="28" t="s">
        <v>6</v>
      </c>
      <c r="F80" s="28" t="s">
        <v>7</v>
      </c>
      <c r="G80" s="28" t="s">
        <v>8</v>
      </c>
    </row>
    <row r="81" spans="1:8" s="26" customFormat="1" ht="19.5" customHeight="1" x14ac:dyDescent="0.45">
      <c r="A81" s="4" t="s">
        <v>474</v>
      </c>
      <c r="B81" s="5" t="s">
        <v>22</v>
      </c>
      <c r="C81" s="49">
        <v>3059.35</v>
      </c>
      <c r="D81" s="40">
        <v>50.12</v>
      </c>
      <c r="E81" s="39">
        <f t="shared" ref="E81:E96" si="6">+C81*D81</f>
        <v>153334.62199999997</v>
      </c>
      <c r="F81" s="39">
        <f t="shared" ref="F81:F96" si="7">+E81*7%</f>
        <v>10733.42354</v>
      </c>
      <c r="G81" s="39">
        <f t="shared" ref="G81:G96" si="8">+E81+F81</f>
        <v>164068.04553999996</v>
      </c>
      <c r="H81" s="26">
        <v>6902304</v>
      </c>
    </row>
    <row r="82" spans="1:8" ht="18" customHeight="1" x14ac:dyDescent="0.4">
      <c r="A82" s="16" t="s">
        <v>463</v>
      </c>
      <c r="B82" s="5" t="s">
        <v>23</v>
      </c>
      <c r="C82" s="37">
        <v>6061.65</v>
      </c>
      <c r="D82" s="38">
        <v>50.12</v>
      </c>
      <c r="E82" s="39">
        <f>+C82*D82</f>
        <v>303809.89799999999</v>
      </c>
      <c r="F82" s="39">
        <f>+E82*7%</f>
        <v>21266.692860000003</v>
      </c>
      <c r="G82" s="39">
        <f>+E82+F82</f>
        <v>325076.59086</v>
      </c>
      <c r="H82">
        <v>6902055</v>
      </c>
    </row>
    <row r="83" spans="1:8" s="26" customFormat="1" ht="18" customHeight="1" x14ac:dyDescent="0.45">
      <c r="A83" s="4" t="s">
        <v>476</v>
      </c>
      <c r="B83" s="5" t="s">
        <v>24</v>
      </c>
      <c r="C83" s="49">
        <v>6014.25</v>
      </c>
      <c r="D83" s="40">
        <v>50.12</v>
      </c>
      <c r="E83" s="39">
        <f t="shared" si="6"/>
        <v>301434.20999999996</v>
      </c>
      <c r="F83" s="39">
        <f t="shared" si="7"/>
        <v>21100.394700000001</v>
      </c>
      <c r="G83" s="39">
        <f t="shared" si="8"/>
        <v>322534.60469999997</v>
      </c>
      <c r="H83" s="26">
        <v>6902083</v>
      </c>
    </row>
    <row r="84" spans="1:8" s="26" customFormat="1" ht="18" customHeight="1" x14ac:dyDescent="0.45">
      <c r="A84" s="4" t="s">
        <v>459</v>
      </c>
      <c r="B84" s="5" t="s">
        <v>24</v>
      </c>
      <c r="C84" s="49">
        <v>6062.05</v>
      </c>
      <c r="D84" s="40">
        <v>50.12</v>
      </c>
      <c r="E84" s="39">
        <f t="shared" si="6"/>
        <v>303829.946</v>
      </c>
      <c r="F84" s="39">
        <f t="shared" si="7"/>
        <v>21268.096220000003</v>
      </c>
      <c r="G84" s="39">
        <f t="shared" si="8"/>
        <v>325098.04222</v>
      </c>
      <c r="H84" s="26">
        <v>6902129</v>
      </c>
    </row>
    <row r="85" spans="1:8" s="26" customFormat="1" ht="18" customHeight="1" x14ac:dyDescent="0.45">
      <c r="A85" s="4" t="s">
        <v>470</v>
      </c>
      <c r="B85" s="5" t="s">
        <v>24</v>
      </c>
      <c r="C85" s="49">
        <v>6071</v>
      </c>
      <c r="D85" s="40">
        <v>50.12</v>
      </c>
      <c r="E85" s="39">
        <f t="shared" si="6"/>
        <v>304278.51999999996</v>
      </c>
      <c r="F85" s="39">
        <f t="shared" si="7"/>
        <v>21299.4964</v>
      </c>
      <c r="G85" s="39">
        <f t="shared" si="8"/>
        <v>325578.01639999996</v>
      </c>
      <c r="H85" s="26">
        <v>6902240</v>
      </c>
    </row>
    <row r="86" spans="1:8" s="26" customFormat="1" ht="18" customHeight="1" x14ac:dyDescent="0.45">
      <c r="A86" s="4" t="s">
        <v>462</v>
      </c>
      <c r="B86" s="5" t="s">
        <v>263</v>
      </c>
      <c r="C86" s="49">
        <v>2907</v>
      </c>
      <c r="D86" s="40">
        <v>50.12</v>
      </c>
      <c r="E86" s="39">
        <f t="shared" si="6"/>
        <v>145698.84</v>
      </c>
      <c r="F86" s="39">
        <f t="shared" si="7"/>
        <v>10198.918800000001</v>
      </c>
      <c r="G86" s="39">
        <f t="shared" si="8"/>
        <v>155897.75880000001</v>
      </c>
      <c r="H86" s="26">
        <v>6902002</v>
      </c>
    </row>
    <row r="87" spans="1:8" s="26" customFormat="1" ht="18" customHeight="1" x14ac:dyDescent="0.45">
      <c r="A87" s="4" t="s">
        <v>487</v>
      </c>
      <c r="B87" s="5" t="s">
        <v>263</v>
      </c>
      <c r="C87" s="49">
        <v>2458.8000000000002</v>
      </c>
      <c r="D87" s="40">
        <v>50.12</v>
      </c>
      <c r="E87" s="39">
        <f t="shared" si="6"/>
        <v>123235.056</v>
      </c>
      <c r="F87" s="39">
        <f t="shared" si="7"/>
        <v>8626.4539199999999</v>
      </c>
      <c r="G87" s="39">
        <f t="shared" si="8"/>
        <v>131861.50991999998</v>
      </c>
      <c r="H87" s="26">
        <v>6902202</v>
      </c>
    </row>
    <row r="88" spans="1:8" s="26" customFormat="1" ht="18" customHeight="1" x14ac:dyDescent="0.45">
      <c r="A88" s="4" t="s">
        <v>473</v>
      </c>
      <c r="B88" s="5" t="s">
        <v>263</v>
      </c>
      <c r="C88" s="49">
        <v>2662.75</v>
      </c>
      <c r="D88" s="40">
        <v>50.12</v>
      </c>
      <c r="E88" s="39">
        <f t="shared" si="6"/>
        <v>133457.03</v>
      </c>
      <c r="F88" s="39">
        <f t="shared" si="7"/>
        <v>9341.9921000000013</v>
      </c>
      <c r="G88" s="39">
        <f t="shared" si="8"/>
        <v>142799.0221</v>
      </c>
      <c r="H88" s="26">
        <v>6902269</v>
      </c>
    </row>
    <row r="89" spans="1:8" s="26" customFormat="1" ht="18" customHeight="1" x14ac:dyDescent="0.45">
      <c r="A89" s="4" t="s">
        <v>462</v>
      </c>
      <c r="B89" s="5" t="s">
        <v>252</v>
      </c>
      <c r="C89" s="49">
        <v>859.81</v>
      </c>
      <c r="D89" s="40">
        <v>60.12</v>
      </c>
      <c r="E89" s="39">
        <f t="shared" si="6"/>
        <v>51691.777199999997</v>
      </c>
      <c r="F89" s="39">
        <f t="shared" si="7"/>
        <v>3618.4244040000003</v>
      </c>
      <c r="G89" s="39">
        <f t="shared" si="8"/>
        <v>55310.201603999994</v>
      </c>
      <c r="H89" s="26">
        <v>6902003</v>
      </c>
    </row>
    <row r="90" spans="1:8" s="26" customFormat="1" ht="18" customHeight="1" x14ac:dyDescent="0.45">
      <c r="A90" s="4" t="s">
        <v>463</v>
      </c>
      <c r="B90" s="5" t="s">
        <v>269</v>
      </c>
      <c r="C90" s="49">
        <v>3833.55</v>
      </c>
      <c r="D90" s="40">
        <v>50.12</v>
      </c>
      <c r="E90" s="39">
        <f t="shared" si="6"/>
        <v>192137.52600000001</v>
      </c>
      <c r="F90" s="39">
        <f t="shared" si="7"/>
        <v>13449.626820000001</v>
      </c>
      <c r="G90" s="39">
        <f t="shared" si="8"/>
        <v>205587.15282000002</v>
      </c>
      <c r="H90" s="26">
        <v>6902056</v>
      </c>
    </row>
    <row r="91" spans="1:8" s="26" customFormat="1" ht="18" customHeight="1" x14ac:dyDescent="0.45">
      <c r="A91" s="4" t="s">
        <v>468</v>
      </c>
      <c r="B91" s="5" t="s">
        <v>269</v>
      </c>
      <c r="C91" s="49">
        <v>6114.89</v>
      </c>
      <c r="D91" s="40">
        <v>50.12</v>
      </c>
      <c r="E91" s="39">
        <f t="shared" si="6"/>
        <v>306478.2868</v>
      </c>
      <c r="F91" s="39">
        <f t="shared" si="7"/>
        <v>21453.480076000003</v>
      </c>
      <c r="G91" s="39">
        <f t="shared" si="8"/>
        <v>327931.76687599998</v>
      </c>
      <c r="H91" s="26">
        <v>6902196</v>
      </c>
    </row>
    <row r="92" spans="1:8" s="26" customFormat="1" ht="18" customHeight="1" x14ac:dyDescent="0.45">
      <c r="A92" s="4" t="s">
        <v>462</v>
      </c>
      <c r="B92" s="5" t="s">
        <v>20</v>
      </c>
      <c r="C92" s="50">
        <v>2727</v>
      </c>
      <c r="D92" s="40">
        <v>50.12</v>
      </c>
      <c r="E92" s="39">
        <f t="shared" si="6"/>
        <v>136677.24</v>
      </c>
      <c r="F92" s="39">
        <f t="shared" si="7"/>
        <v>9567.4068000000007</v>
      </c>
      <c r="G92" s="39">
        <f t="shared" si="8"/>
        <v>146244.64679999999</v>
      </c>
      <c r="H92" s="26">
        <v>6902001</v>
      </c>
    </row>
    <row r="93" spans="1:8" s="26" customFormat="1" ht="18" customHeight="1" x14ac:dyDescent="0.45">
      <c r="A93" s="4" t="s">
        <v>459</v>
      </c>
      <c r="B93" s="5" t="s">
        <v>20</v>
      </c>
      <c r="C93" s="50">
        <v>2130.3000000000002</v>
      </c>
      <c r="D93" s="40">
        <v>50.12</v>
      </c>
      <c r="E93" s="39">
        <f t="shared" si="6"/>
        <v>106770.636</v>
      </c>
      <c r="F93" s="39">
        <f t="shared" si="7"/>
        <v>7473.9445200000009</v>
      </c>
      <c r="G93" s="39">
        <f t="shared" si="8"/>
        <v>114244.58052</v>
      </c>
      <c r="H93" s="26">
        <v>6902130</v>
      </c>
    </row>
    <row r="94" spans="1:8" s="26" customFormat="1" ht="18" customHeight="1" x14ac:dyDescent="0.45">
      <c r="A94" s="4" t="s">
        <v>469</v>
      </c>
      <c r="B94" s="5" t="s">
        <v>20</v>
      </c>
      <c r="C94" s="50">
        <v>3580.95</v>
      </c>
      <c r="D94" s="40">
        <v>50.12</v>
      </c>
      <c r="E94" s="39">
        <f t="shared" si="6"/>
        <v>179477.21399999998</v>
      </c>
      <c r="F94" s="39">
        <f t="shared" si="7"/>
        <v>12563.404979999999</v>
      </c>
      <c r="G94" s="39">
        <f t="shared" si="8"/>
        <v>192040.61897999997</v>
      </c>
      <c r="H94" s="26">
        <v>6902211</v>
      </c>
    </row>
    <row r="95" spans="1:8" s="26" customFormat="1" ht="18" customHeight="1" x14ac:dyDescent="0.45">
      <c r="A95" s="4" t="s">
        <v>470</v>
      </c>
      <c r="B95" s="5" t="s">
        <v>20</v>
      </c>
      <c r="C95" s="50">
        <v>2320.6</v>
      </c>
      <c r="D95" s="40">
        <v>50.12</v>
      </c>
      <c r="E95" s="39">
        <f t="shared" si="6"/>
        <v>116308.47199999999</v>
      </c>
      <c r="F95" s="39">
        <f t="shared" si="7"/>
        <v>8141.5930400000007</v>
      </c>
      <c r="G95" s="39">
        <f t="shared" si="8"/>
        <v>124450.06504</v>
      </c>
      <c r="H95" s="26">
        <v>6902241</v>
      </c>
    </row>
    <row r="96" spans="1:8" s="26" customFormat="1" ht="18" customHeight="1" x14ac:dyDescent="0.45">
      <c r="A96" s="4" t="s">
        <v>474</v>
      </c>
      <c r="B96" s="5" t="s">
        <v>20</v>
      </c>
      <c r="C96" s="50">
        <v>2958.25</v>
      </c>
      <c r="D96" s="40">
        <v>50.12</v>
      </c>
      <c r="E96" s="39">
        <f t="shared" si="6"/>
        <v>148267.49</v>
      </c>
      <c r="F96" s="39">
        <f t="shared" si="7"/>
        <v>10378.7243</v>
      </c>
      <c r="G96" s="39">
        <f t="shared" si="8"/>
        <v>158646.21429999999</v>
      </c>
      <c r="H96" s="26">
        <v>6902303</v>
      </c>
    </row>
    <row r="97" spans="1:8" s="26" customFormat="1" ht="18" customHeight="1" thickBot="1" x14ac:dyDescent="0.5">
      <c r="A97" s="41"/>
      <c r="B97" s="42" t="s">
        <v>15</v>
      </c>
      <c r="C97" s="43">
        <f>SUM(C81:C96)</f>
        <v>59822.2</v>
      </c>
      <c r="D97" s="51"/>
      <c r="E97" s="44">
        <f>SUM(E81:E96)</f>
        <v>3006886.7640000004</v>
      </c>
      <c r="F97" s="44">
        <f>SUM(F81:F96)</f>
        <v>210482.07348000002</v>
      </c>
      <c r="G97" s="44">
        <f>SUM(G81:G96)</f>
        <v>3217368.8374799998</v>
      </c>
      <c r="H97" s="26" t="s">
        <v>211</v>
      </c>
    </row>
    <row r="98" spans="1:8" s="26" customFormat="1" ht="15.75" customHeight="1" thickTop="1" x14ac:dyDescent="0.45">
      <c r="A98" s="45"/>
      <c r="B98" s="46"/>
      <c r="C98" s="47"/>
      <c r="D98" s="48"/>
      <c r="E98" s="47"/>
      <c r="F98" s="47"/>
      <c r="G98" s="47"/>
    </row>
    <row r="99" spans="1:8" s="26" customFormat="1" ht="23.25" x14ac:dyDescent="0.45">
      <c r="A99" s="362" t="s">
        <v>25</v>
      </c>
      <c r="B99" s="362"/>
      <c r="C99" s="362"/>
      <c r="D99" s="362"/>
      <c r="E99" s="362"/>
      <c r="F99" s="362"/>
      <c r="G99" s="362"/>
    </row>
    <row r="100" spans="1:8" s="26" customFormat="1" ht="18" customHeight="1" x14ac:dyDescent="0.45">
      <c r="A100" s="27" t="s">
        <v>2</v>
      </c>
      <c r="B100" s="28" t="s">
        <v>3</v>
      </c>
      <c r="C100" s="28" t="s">
        <v>4</v>
      </c>
      <c r="D100" s="29" t="s">
        <v>5</v>
      </c>
      <c r="E100" s="28" t="s">
        <v>6</v>
      </c>
      <c r="F100" s="28" t="s">
        <v>7</v>
      </c>
      <c r="G100" s="28" t="s">
        <v>8</v>
      </c>
    </row>
    <row r="101" spans="1:8" s="30" customFormat="1" ht="18" customHeight="1" x14ac:dyDescent="0.5">
      <c r="A101" s="4" t="s">
        <v>464</v>
      </c>
      <c r="B101" s="5" t="s">
        <v>19</v>
      </c>
      <c r="C101" s="6">
        <v>6116.3</v>
      </c>
      <c r="D101" s="7">
        <v>50.12</v>
      </c>
      <c r="E101" s="39">
        <f t="shared" ref="E101:E103" si="9">+C101*D101</f>
        <v>306548.95600000001</v>
      </c>
      <c r="F101" s="39">
        <f t="shared" ref="F101:F103" si="10">+E101*7%</f>
        <v>21458.426920000002</v>
      </c>
      <c r="G101" s="39">
        <f t="shared" ref="G101:G103" si="11">+E101+F101</f>
        <v>328007.38292</v>
      </c>
      <c r="H101" s="30">
        <v>6902120</v>
      </c>
    </row>
    <row r="102" spans="1:8" s="30" customFormat="1" ht="18" customHeight="1" x14ac:dyDescent="0.5">
      <c r="A102" s="4" t="s">
        <v>467</v>
      </c>
      <c r="B102" s="5" t="s">
        <v>19</v>
      </c>
      <c r="C102" s="6">
        <v>6145.4</v>
      </c>
      <c r="D102" s="7">
        <v>50.12</v>
      </c>
      <c r="E102" s="39">
        <f t="shared" si="9"/>
        <v>308007.44799999997</v>
      </c>
      <c r="F102" s="39">
        <f t="shared" si="10"/>
        <v>21560.521359999999</v>
      </c>
      <c r="G102" s="39">
        <f t="shared" si="11"/>
        <v>329567.96935999999</v>
      </c>
      <c r="H102" s="30">
        <v>6902180</v>
      </c>
    </row>
    <row r="103" spans="1:8" s="30" customFormat="1" ht="18" customHeight="1" x14ac:dyDescent="0.5">
      <c r="A103" s="4" t="s">
        <v>474</v>
      </c>
      <c r="B103" s="5" t="s">
        <v>19</v>
      </c>
      <c r="C103" s="6">
        <v>4105.3</v>
      </c>
      <c r="D103" s="7">
        <v>50.12</v>
      </c>
      <c r="E103" s="39">
        <f t="shared" si="9"/>
        <v>205757.636</v>
      </c>
      <c r="F103" s="39">
        <f t="shared" si="10"/>
        <v>14403.034520000001</v>
      </c>
      <c r="G103" s="39">
        <f t="shared" si="11"/>
        <v>220160.67051999999</v>
      </c>
      <c r="H103" s="30">
        <v>6902314</v>
      </c>
    </row>
    <row r="104" spans="1:8" ht="18" customHeight="1" x14ac:dyDescent="0.4">
      <c r="A104" s="16" t="s">
        <v>461</v>
      </c>
      <c r="B104" s="5" t="s">
        <v>26</v>
      </c>
      <c r="C104" s="37">
        <v>2712.85</v>
      </c>
      <c r="D104" s="38">
        <v>50.12</v>
      </c>
      <c r="E104" s="39">
        <f>+C104*D104</f>
        <v>135968.04199999999</v>
      </c>
      <c r="F104" s="39">
        <f>+E104*7%</f>
        <v>9517.7629400000005</v>
      </c>
      <c r="G104" s="39">
        <f>+E104+F104</f>
        <v>145485.80494</v>
      </c>
      <c r="H104">
        <v>6902031</v>
      </c>
    </row>
    <row r="105" spans="1:8" s="26" customFormat="1" ht="18" customHeight="1" x14ac:dyDescent="0.45">
      <c r="A105" s="4" t="s">
        <v>464</v>
      </c>
      <c r="B105" s="5" t="s">
        <v>26</v>
      </c>
      <c r="C105" s="6">
        <v>5495.35</v>
      </c>
      <c r="D105" s="7">
        <v>50.12</v>
      </c>
      <c r="E105" s="39">
        <f t="shared" ref="E105:E106" si="12">+C105*D105</f>
        <v>275426.94199999998</v>
      </c>
      <c r="F105" s="39">
        <f t="shared" ref="F105:F106" si="13">+E105*7%</f>
        <v>19279.88594</v>
      </c>
      <c r="G105" s="39">
        <f t="shared" ref="G105:G106" si="14">+E105+F105</f>
        <v>294706.82793999999</v>
      </c>
      <c r="H105" s="26">
        <v>6902121</v>
      </c>
    </row>
    <row r="106" spans="1:8" s="26" customFormat="1" ht="18" customHeight="1" x14ac:dyDescent="0.45">
      <c r="A106" s="4" t="s">
        <v>474</v>
      </c>
      <c r="B106" s="5" t="s">
        <v>26</v>
      </c>
      <c r="C106" s="6">
        <v>1450.9</v>
      </c>
      <c r="D106" s="7">
        <v>50.12</v>
      </c>
      <c r="E106" s="39">
        <f t="shared" si="12"/>
        <v>72719.108000000007</v>
      </c>
      <c r="F106" s="39">
        <f t="shared" si="13"/>
        <v>5090.3375600000008</v>
      </c>
      <c r="G106" s="39">
        <f t="shared" si="14"/>
        <v>77809.445560000007</v>
      </c>
      <c r="H106" s="26">
        <v>6902315</v>
      </c>
    </row>
    <row r="107" spans="1:8" s="26" customFormat="1" ht="18" customHeight="1" thickBot="1" x14ac:dyDescent="0.5">
      <c r="A107" s="41"/>
      <c r="B107" s="42" t="s">
        <v>15</v>
      </c>
      <c r="C107" s="43">
        <f>SUM(C101:C106)</f>
        <v>26026.1</v>
      </c>
      <c r="D107" s="38"/>
      <c r="E107" s="44">
        <f>SUM(E101:E106)</f>
        <v>1304428.132</v>
      </c>
      <c r="F107" s="44">
        <f>SUM(F101:F106)</f>
        <v>91309.969239999991</v>
      </c>
      <c r="G107" s="44">
        <f>SUM(G101:G106)</f>
        <v>1395738.1012399998</v>
      </c>
    </row>
    <row r="108" spans="1:8" s="26" customFormat="1" ht="18" customHeight="1" thickTop="1" x14ac:dyDescent="0.45">
      <c r="A108" s="52"/>
      <c r="B108" s="53"/>
      <c r="C108" s="54"/>
      <c r="D108" s="55"/>
      <c r="E108" s="56"/>
      <c r="F108" s="56"/>
      <c r="G108" s="56"/>
    </row>
    <row r="109" spans="1:8" ht="23.25" x14ac:dyDescent="0.3">
      <c r="A109" s="359" t="s">
        <v>27</v>
      </c>
      <c r="B109" s="359"/>
      <c r="C109" s="359"/>
      <c r="D109" s="359"/>
      <c r="E109" s="359"/>
      <c r="F109" s="359"/>
      <c r="G109" s="359"/>
    </row>
    <row r="110" spans="1:8" ht="18" customHeight="1" x14ac:dyDescent="0.4">
      <c r="A110" s="57" t="s">
        <v>2</v>
      </c>
      <c r="B110" s="58" t="s">
        <v>3</v>
      </c>
      <c r="C110" s="58" t="s">
        <v>4</v>
      </c>
      <c r="D110" s="59" t="s">
        <v>5</v>
      </c>
      <c r="E110" s="58" t="s">
        <v>6</v>
      </c>
      <c r="F110" s="58" t="s">
        <v>7</v>
      </c>
      <c r="G110" s="58" t="s">
        <v>8</v>
      </c>
    </row>
    <row r="111" spans="1:8" ht="18" customHeight="1" x14ac:dyDescent="0.4">
      <c r="A111" s="16" t="s">
        <v>465</v>
      </c>
      <c r="B111" s="5" t="s">
        <v>488</v>
      </c>
      <c r="C111" s="37">
        <v>1409.05</v>
      </c>
      <c r="D111" s="38">
        <v>53.3</v>
      </c>
      <c r="E111" s="6">
        <f t="shared" ref="E111:E131" si="15">+C111*D111</f>
        <v>75102.364999999991</v>
      </c>
      <c r="F111" s="6">
        <f t="shared" ref="F111:F131" si="16">+E111*7%</f>
        <v>5257.1655499999997</v>
      </c>
      <c r="G111" s="6">
        <f t="shared" ref="G111:G131" si="17">+E111+F111</f>
        <v>80359.530549999996</v>
      </c>
      <c r="H111">
        <v>6902105</v>
      </c>
    </row>
    <row r="112" spans="1:8" ht="18" customHeight="1" x14ac:dyDescent="0.4">
      <c r="A112" s="16" t="s">
        <v>459</v>
      </c>
      <c r="B112" s="5" t="s">
        <v>28</v>
      </c>
      <c r="C112" s="37">
        <v>3007.9</v>
      </c>
      <c r="D112" s="38">
        <v>53.3</v>
      </c>
      <c r="E112" s="6">
        <f t="shared" si="15"/>
        <v>160321.07</v>
      </c>
      <c r="F112" s="6">
        <f t="shared" si="16"/>
        <v>11222.474900000001</v>
      </c>
      <c r="G112" s="6">
        <f t="shared" si="17"/>
        <v>171543.54490000001</v>
      </c>
      <c r="H112">
        <v>6902131</v>
      </c>
    </row>
    <row r="113" spans="1:9" ht="18" customHeight="1" x14ac:dyDescent="0.4">
      <c r="A113" s="16" t="s">
        <v>462</v>
      </c>
      <c r="B113" s="5" t="s">
        <v>29</v>
      </c>
      <c r="C113" s="37">
        <v>3279.45</v>
      </c>
      <c r="D113" s="38">
        <v>53.3</v>
      </c>
      <c r="E113" s="6">
        <f t="shared" si="15"/>
        <v>174794.68499999997</v>
      </c>
      <c r="F113" s="6">
        <f t="shared" si="16"/>
        <v>12235.627949999998</v>
      </c>
      <c r="G113" s="6">
        <f t="shared" si="17"/>
        <v>187030.31294999996</v>
      </c>
      <c r="H113">
        <v>6902018</v>
      </c>
    </row>
    <row r="114" spans="1:9" ht="18" customHeight="1" x14ac:dyDescent="0.4">
      <c r="A114" s="16" t="s">
        <v>461</v>
      </c>
      <c r="B114" s="5" t="s">
        <v>29</v>
      </c>
      <c r="C114" s="37">
        <v>3244.7</v>
      </c>
      <c r="D114" s="38">
        <v>53.3</v>
      </c>
      <c r="E114" s="6">
        <f t="shared" si="15"/>
        <v>172942.50999999998</v>
      </c>
      <c r="F114" s="6">
        <f t="shared" si="16"/>
        <v>12105.975699999999</v>
      </c>
      <c r="G114" s="6">
        <f t="shared" si="17"/>
        <v>185048.48569999999</v>
      </c>
      <c r="H114">
        <v>6902020</v>
      </c>
    </row>
    <row r="115" spans="1:9" ht="18" customHeight="1" x14ac:dyDescent="0.4">
      <c r="A115" s="16" t="s">
        <v>489</v>
      </c>
      <c r="B115" s="5" t="s">
        <v>29</v>
      </c>
      <c r="C115" s="37">
        <v>3256</v>
      </c>
      <c r="D115" s="38">
        <v>53.3</v>
      </c>
      <c r="E115" s="6">
        <f t="shared" si="15"/>
        <v>173544.8</v>
      </c>
      <c r="F115" s="6">
        <f t="shared" si="16"/>
        <v>12148.136</v>
      </c>
      <c r="G115" s="6">
        <f t="shared" si="17"/>
        <v>185692.93599999999</v>
      </c>
      <c r="H115">
        <v>6902081</v>
      </c>
    </row>
    <row r="116" spans="1:9" ht="18" customHeight="1" x14ac:dyDescent="0.4">
      <c r="A116" s="16" t="s">
        <v>489</v>
      </c>
      <c r="B116" s="5" t="s">
        <v>29</v>
      </c>
      <c r="C116" s="37">
        <v>812.05</v>
      </c>
      <c r="D116" s="38">
        <v>53.3</v>
      </c>
      <c r="E116" s="6">
        <f>+C116*D116</f>
        <v>43282.264999999992</v>
      </c>
      <c r="F116" s="6">
        <f>+E116*7%</f>
        <v>3029.7585499999996</v>
      </c>
      <c r="G116" s="6">
        <f>+E116+F116</f>
        <v>46312.023549999991</v>
      </c>
      <c r="H116">
        <v>6902081</v>
      </c>
    </row>
    <row r="117" spans="1:9" ht="18" customHeight="1" x14ac:dyDescent="0.4">
      <c r="A117" s="16" t="s">
        <v>465</v>
      </c>
      <c r="B117" s="5" t="s">
        <v>29</v>
      </c>
      <c r="C117" s="37">
        <v>5551.6</v>
      </c>
      <c r="D117" s="38">
        <v>53.3</v>
      </c>
      <c r="E117" s="6">
        <f>+C117*D117</f>
        <v>295900.28000000003</v>
      </c>
      <c r="F117" s="6">
        <f>+E117*7%</f>
        <v>20713.019600000003</v>
      </c>
      <c r="G117" s="6">
        <f>+E117+F117</f>
        <v>316613.29960000003</v>
      </c>
      <c r="H117">
        <v>6902105</v>
      </c>
    </row>
    <row r="118" spans="1:9" ht="18" customHeight="1" x14ac:dyDescent="0.4">
      <c r="A118" s="16" t="s">
        <v>477</v>
      </c>
      <c r="B118" s="5" t="s">
        <v>29</v>
      </c>
      <c r="C118" s="37">
        <v>5743.9</v>
      </c>
      <c r="D118" s="38">
        <v>53.3</v>
      </c>
      <c r="E118" s="6">
        <f>+C118*D118</f>
        <v>306149.86999999994</v>
      </c>
      <c r="F118" s="6">
        <f>+E118*7%</f>
        <v>21430.490899999997</v>
      </c>
      <c r="G118" s="6">
        <f>+E118+F118</f>
        <v>327580.36089999991</v>
      </c>
      <c r="H118">
        <v>6902165</v>
      </c>
    </row>
    <row r="119" spans="1:9" ht="18" customHeight="1" x14ac:dyDescent="0.4">
      <c r="A119" s="16" t="s">
        <v>490</v>
      </c>
      <c r="B119" s="5" t="s">
        <v>29</v>
      </c>
      <c r="C119" s="37">
        <v>803.5</v>
      </c>
      <c r="D119" s="38">
        <v>53.3</v>
      </c>
      <c r="E119" s="6">
        <f>+C119*D119</f>
        <v>42826.549999999996</v>
      </c>
      <c r="F119" s="6">
        <f>+E119*7%</f>
        <v>2997.8584999999998</v>
      </c>
      <c r="G119" s="6">
        <f>+E119+F119</f>
        <v>45824.408499999998</v>
      </c>
      <c r="H119">
        <v>6902231</v>
      </c>
    </row>
    <row r="120" spans="1:9" ht="18" customHeight="1" x14ac:dyDescent="0.4">
      <c r="A120" s="16" t="s">
        <v>490</v>
      </c>
      <c r="B120" s="5" t="s">
        <v>29</v>
      </c>
      <c r="C120" s="37">
        <v>6552.85</v>
      </c>
      <c r="D120" s="38">
        <v>53.3</v>
      </c>
      <c r="E120" s="6">
        <f t="shared" si="15"/>
        <v>349266.90500000003</v>
      </c>
      <c r="F120" s="6">
        <f t="shared" si="16"/>
        <v>24448.683350000003</v>
      </c>
      <c r="G120" s="6">
        <f t="shared" si="17"/>
        <v>373715.58835000003</v>
      </c>
      <c r="H120">
        <v>6902230</v>
      </c>
    </row>
    <row r="121" spans="1:9" ht="18" customHeight="1" x14ac:dyDescent="0.4">
      <c r="A121" s="16" t="s">
        <v>473</v>
      </c>
      <c r="B121" s="5" t="s">
        <v>29</v>
      </c>
      <c r="C121" s="37">
        <v>2824.5</v>
      </c>
      <c r="D121" s="38">
        <v>53.3</v>
      </c>
      <c r="E121" s="6">
        <f t="shared" si="15"/>
        <v>150545.85</v>
      </c>
      <c r="F121" s="6">
        <f t="shared" si="16"/>
        <v>10538.209500000001</v>
      </c>
      <c r="G121" s="6">
        <f t="shared" si="17"/>
        <v>161084.0595</v>
      </c>
      <c r="H121">
        <v>6902285</v>
      </c>
    </row>
    <row r="122" spans="1:9" ht="18" customHeight="1" x14ac:dyDescent="0.4">
      <c r="A122" s="16" t="s">
        <v>473</v>
      </c>
      <c r="B122" s="5" t="s">
        <v>29</v>
      </c>
      <c r="C122" s="37">
        <v>3244.25</v>
      </c>
      <c r="D122" s="38">
        <v>53.3</v>
      </c>
      <c r="E122" s="6">
        <f t="shared" si="15"/>
        <v>172918.52499999999</v>
      </c>
      <c r="F122" s="6">
        <f t="shared" si="16"/>
        <v>12104.296750000001</v>
      </c>
      <c r="G122" s="6">
        <f t="shared" si="17"/>
        <v>185022.82175</v>
      </c>
      <c r="H122">
        <v>6902282</v>
      </c>
    </row>
    <row r="123" spans="1:9" ht="18" customHeight="1" x14ac:dyDescent="0.4">
      <c r="A123" s="16" t="s">
        <v>489</v>
      </c>
      <c r="B123" s="5" t="s">
        <v>173</v>
      </c>
      <c r="C123" s="37">
        <v>3236.62</v>
      </c>
      <c r="D123" s="38">
        <v>53.3</v>
      </c>
      <c r="E123" s="6">
        <f t="shared" si="15"/>
        <v>172511.84599999999</v>
      </c>
      <c r="F123" s="6">
        <f t="shared" si="16"/>
        <v>12075.82922</v>
      </c>
      <c r="G123" s="6">
        <f t="shared" si="17"/>
        <v>184587.67521999998</v>
      </c>
      <c r="H123">
        <v>6902081</v>
      </c>
    </row>
    <row r="124" spans="1:9" ht="18" customHeight="1" x14ac:dyDescent="0.4">
      <c r="A124" s="16" t="s">
        <v>461</v>
      </c>
      <c r="B124" s="5" t="s">
        <v>30</v>
      </c>
      <c r="C124" s="37">
        <v>3281.9</v>
      </c>
      <c r="D124" s="38">
        <v>53.3</v>
      </c>
      <c r="E124" s="6">
        <f t="shared" si="15"/>
        <v>174925.27</v>
      </c>
      <c r="F124" s="6">
        <f t="shared" si="16"/>
        <v>12244.768900000001</v>
      </c>
      <c r="G124" s="6">
        <f t="shared" si="17"/>
        <v>187170.03889999999</v>
      </c>
      <c r="H124">
        <v>6902033</v>
      </c>
    </row>
    <row r="125" spans="1:9" ht="18" customHeight="1" x14ac:dyDescent="0.4">
      <c r="A125" s="16" t="s">
        <v>477</v>
      </c>
      <c r="B125" s="5" t="s">
        <v>30</v>
      </c>
      <c r="C125" s="37">
        <v>1625.7</v>
      </c>
      <c r="D125" s="38">
        <v>53.3</v>
      </c>
      <c r="E125" s="6">
        <f t="shared" si="15"/>
        <v>86649.81</v>
      </c>
      <c r="F125" s="6">
        <f t="shared" si="16"/>
        <v>6065.4867000000004</v>
      </c>
      <c r="G125" s="6">
        <f t="shared" si="17"/>
        <v>92715.296699999992</v>
      </c>
      <c r="H125">
        <v>6902165</v>
      </c>
    </row>
    <row r="126" spans="1:9" ht="18" customHeight="1" x14ac:dyDescent="0.4">
      <c r="A126" s="16" t="s">
        <v>459</v>
      </c>
      <c r="B126" s="5" t="s">
        <v>30</v>
      </c>
      <c r="C126" s="37">
        <v>1629.95</v>
      </c>
      <c r="D126" s="38">
        <v>53.3</v>
      </c>
      <c r="E126" s="6">
        <f t="shared" si="15"/>
        <v>86876.334999999992</v>
      </c>
      <c r="F126" s="6">
        <f t="shared" si="16"/>
        <v>6081.3434500000003</v>
      </c>
      <c r="G126" s="6">
        <f t="shared" si="17"/>
        <v>92957.678449999992</v>
      </c>
      <c r="H126">
        <v>6902148</v>
      </c>
    </row>
    <row r="127" spans="1:9" ht="18" customHeight="1" x14ac:dyDescent="0.4">
      <c r="A127" s="16" t="s">
        <v>473</v>
      </c>
      <c r="B127" s="5" t="s">
        <v>30</v>
      </c>
      <c r="C127" s="37">
        <v>3105.1</v>
      </c>
      <c r="D127" s="38">
        <v>53.3</v>
      </c>
      <c r="E127" s="6">
        <f t="shared" si="15"/>
        <v>165501.82999999999</v>
      </c>
      <c r="F127" s="6">
        <f t="shared" si="16"/>
        <v>11585.1281</v>
      </c>
      <c r="G127" s="6">
        <f t="shared" si="17"/>
        <v>177086.95809999999</v>
      </c>
      <c r="H127">
        <v>6902285</v>
      </c>
    </row>
    <row r="128" spans="1:9" ht="18" customHeight="1" x14ac:dyDescent="0.4">
      <c r="A128" s="16" t="s">
        <v>462</v>
      </c>
      <c r="B128" s="5" t="s">
        <v>31</v>
      </c>
      <c r="C128" s="37">
        <v>2773.55</v>
      </c>
      <c r="D128" s="38">
        <v>53.3</v>
      </c>
      <c r="E128" s="6">
        <f t="shared" si="15"/>
        <v>147830.215</v>
      </c>
      <c r="F128" s="6">
        <f t="shared" si="16"/>
        <v>10348.11505</v>
      </c>
      <c r="G128" s="6">
        <f t="shared" si="17"/>
        <v>158178.33004999999</v>
      </c>
      <c r="H128">
        <v>6902018</v>
      </c>
      <c r="I128" t="s">
        <v>211</v>
      </c>
    </row>
    <row r="129" spans="1:8" ht="18" customHeight="1" x14ac:dyDescent="0.4">
      <c r="A129" s="16" t="s">
        <v>459</v>
      </c>
      <c r="B129" s="5" t="s">
        <v>31</v>
      </c>
      <c r="C129" s="37">
        <v>1386.75</v>
      </c>
      <c r="D129" s="38">
        <v>53.3</v>
      </c>
      <c r="E129" s="6">
        <f>+C129*D129</f>
        <v>73913.774999999994</v>
      </c>
      <c r="F129" s="6">
        <f>+E129*7%</f>
        <v>5173.96425</v>
      </c>
      <c r="G129" s="6">
        <f>+E129+F129</f>
        <v>79087.739249999999</v>
      </c>
      <c r="H129">
        <v>6902147</v>
      </c>
    </row>
    <row r="130" spans="1:8" ht="18" customHeight="1" x14ac:dyDescent="0.4">
      <c r="A130" s="16" t="s">
        <v>473</v>
      </c>
      <c r="B130" s="5" t="s">
        <v>31</v>
      </c>
      <c r="C130" s="37">
        <v>310.7</v>
      </c>
      <c r="D130" s="38">
        <v>53.3</v>
      </c>
      <c r="E130" s="6">
        <f t="shared" ref="E130" si="18">+C130*D130</f>
        <v>16560.309999999998</v>
      </c>
      <c r="F130" s="6">
        <f t="shared" ref="F130" si="19">+E130*7%</f>
        <v>1159.2217000000001</v>
      </c>
      <c r="G130" s="6">
        <f t="shared" ref="G130" si="20">+E130+F130</f>
        <v>17719.5317</v>
      </c>
      <c r="H130">
        <v>6902284</v>
      </c>
    </row>
    <row r="131" spans="1:8" ht="18" customHeight="1" x14ac:dyDescent="0.4">
      <c r="A131" s="16" t="s">
        <v>473</v>
      </c>
      <c r="B131" s="5" t="s">
        <v>31</v>
      </c>
      <c r="C131" s="37">
        <v>2752.05</v>
      </c>
      <c r="D131" s="38">
        <v>53.3</v>
      </c>
      <c r="E131" s="6">
        <f t="shared" si="15"/>
        <v>146684.26500000001</v>
      </c>
      <c r="F131" s="6">
        <f t="shared" si="16"/>
        <v>10267.898550000002</v>
      </c>
      <c r="G131" s="6">
        <f t="shared" si="17"/>
        <v>156952.16355000003</v>
      </c>
      <c r="H131">
        <v>6902283</v>
      </c>
    </row>
    <row r="132" spans="1:8" ht="18" customHeight="1" thickBot="1" x14ac:dyDescent="0.35">
      <c r="A132" s="61"/>
      <c r="B132" s="17" t="s">
        <v>15</v>
      </c>
      <c r="C132" s="18">
        <f>SUM(C111:C131)</f>
        <v>59832.07</v>
      </c>
      <c r="D132" s="19"/>
      <c r="E132" s="20">
        <f>SUM(E111:E131)</f>
        <v>3189049.3310000002</v>
      </c>
      <c r="F132" s="20">
        <f>SUM(F111:F131)</f>
        <v>223233.45316999999</v>
      </c>
      <c r="G132" s="20">
        <f>SUM(G111:G131)</f>
        <v>3412282.7841700003</v>
      </c>
    </row>
    <row r="133" spans="1:8" ht="21.75" customHeight="1" thickTop="1" x14ac:dyDescent="0.4">
      <c r="A133" s="21"/>
      <c r="B133" s="22"/>
      <c r="C133" s="23"/>
      <c r="D133" s="24"/>
      <c r="E133" s="63"/>
      <c r="F133" s="63"/>
      <c r="G133" s="25"/>
    </row>
    <row r="134" spans="1:8" ht="23.25" x14ac:dyDescent="0.3">
      <c r="A134" s="359" t="s">
        <v>32</v>
      </c>
      <c r="B134" s="359"/>
      <c r="C134" s="359"/>
      <c r="D134" s="359"/>
      <c r="E134" s="359"/>
      <c r="F134" s="359"/>
      <c r="G134" s="359"/>
    </row>
    <row r="135" spans="1:8" ht="18" customHeight="1" x14ac:dyDescent="0.4">
      <c r="A135" s="57" t="s">
        <v>2</v>
      </c>
      <c r="B135" s="58" t="s">
        <v>3</v>
      </c>
      <c r="C135" s="58" t="s">
        <v>4</v>
      </c>
      <c r="D135" s="64" t="s">
        <v>5</v>
      </c>
      <c r="E135" s="58" t="s">
        <v>6</v>
      </c>
      <c r="F135" s="58" t="s">
        <v>7</v>
      </c>
      <c r="G135" s="58" t="s">
        <v>8</v>
      </c>
    </row>
    <row r="136" spans="1:8" ht="18" customHeight="1" x14ac:dyDescent="0.4">
      <c r="A136" s="4" t="s">
        <v>479</v>
      </c>
      <c r="B136" s="5" t="s">
        <v>224</v>
      </c>
      <c r="C136" s="37">
        <v>190.8</v>
      </c>
      <c r="D136" s="38">
        <v>56</v>
      </c>
      <c r="E136" s="6">
        <f t="shared" ref="E136:E180" si="21">+C136*D136</f>
        <v>10684.800000000001</v>
      </c>
      <c r="F136" s="60">
        <f t="shared" ref="F136:F180" si="22">+E136*7%</f>
        <v>747.93600000000015</v>
      </c>
      <c r="G136" s="60">
        <f t="shared" ref="G136:G180" si="23">+E136+F136</f>
        <v>11432.736000000001</v>
      </c>
      <c r="H136">
        <v>6902300</v>
      </c>
    </row>
    <row r="137" spans="1:8" ht="18" customHeight="1" x14ac:dyDescent="0.4">
      <c r="A137" s="4" t="s">
        <v>476</v>
      </c>
      <c r="B137" s="5" t="s">
        <v>491</v>
      </c>
      <c r="C137" s="37">
        <v>467.79</v>
      </c>
      <c r="D137" s="38">
        <v>56</v>
      </c>
      <c r="E137" s="6">
        <f t="shared" si="21"/>
        <v>26196.240000000002</v>
      </c>
      <c r="F137" s="60">
        <f t="shared" si="22"/>
        <v>1833.7368000000004</v>
      </c>
      <c r="G137" s="60">
        <f t="shared" si="23"/>
        <v>28029.9768</v>
      </c>
      <c r="H137">
        <v>6902091</v>
      </c>
    </row>
    <row r="138" spans="1:8" ht="18" customHeight="1" x14ac:dyDescent="0.4">
      <c r="A138" s="4" t="s">
        <v>469</v>
      </c>
      <c r="B138" s="5" t="s">
        <v>130</v>
      </c>
      <c r="C138" s="37">
        <v>509.74</v>
      </c>
      <c r="D138" s="38">
        <v>56</v>
      </c>
      <c r="E138" s="6">
        <f t="shared" si="21"/>
        <v>28545.440000000002</v>
      </c>
      <c r="F138" s="60">
        <f t="shared" si="22"/>
        <v>1998.1808000000003</v>
      </c>
      <c r="G138" s="60">
        <f t="shared" si="23"/>
        <v>30543.620800000004</v>
      </c>
      <c r="H138">
        <v>6902219</v>
      </c>
    </row>
    <row r="139" spans="1:8" ht="18" customHeight="1" x14ac:dyDescent="0.4">
      <c r="A139" s="4" t="s">
        <v>479</v>
      </c>
      <c r="B139" s="5" t="s">
        <v>130</v>
      </c>
      <c r="C139" s="37">
        <v>930.89</v>
      </c>
      <c r="D139" s="38">
        <v>56</v>
      </c>
      <c r="E139" s="6">
        <f t="shared" si="21"/>
        <v>52129.84</v>
      </c>
      <c r="F139" s="60">
        <f t="shared" si="22"/>
        <v>3649.0888</v>
      </c>
      <c r="G139" s="60">
        <f t="shared" si="23"/>
        <v>55778.928799999994</v>
      </c>
      <c r="H139">
        <v>6902301</v>
      </c>
    </row>
    <row r="140" spans="1:8" ht="18" customHeight="1" x14ac:dyDescent="0.4">
      <c r="A140" s="4" t="s">
        <v>463</v>
      </c>
      <c r="B140" s="5" t="s">
        <v>265</v>
      </c>
      <c r="C140" s="37">
        <v>989.87</v>
      </c>
      <c r="D140" s="38">
        <v>56</v>
      </c>
      <c r="E140" s="6">
        <f t="shared" si="21"/>
        <v>55432.72</v>
      </c>
      <c r="F140" s="60">
        <f t="shared" si="22"/>
        <v>3880.2904000000003</v>
      </c>
      <c r="G140" s="60">
        <f t="shared" si="23"/>
        <v>59313.010399999999</v>
      </c>
      <c r="H140">
        <v>6902060</v>
      </c>
    </row>
    <row r="141" spans="1:8" ht="18" customHeight="1" x14ac:dyDescent="0.4">
      <c r="A141" s="4" t="s">
        <v>473</v>
      </c>
      <c r="B141" s="5" t="s">
        <v>265</v>
      </c>
      <c r="C141" s="37">
        <v>990.29</v>
      </c>
      <c r="D141" s="38">
        <v>56</v>
      </c>
      <c r="E141" s="6">
        <f t="shared" si="21"/>
        <v>55456.24</v>
      </c>
      <c r="F141" s="60">
        <f t="shared" si="22"/>
        <v>3881.9368000000004</v>
      </c>
      <c r="G141" s="60">
        <f t="shared" si="23"/>
        <v>59338.176800000001</v>
      </c>
      <c r="H141">
        <v>6902275</v>
      </c>
    </row>
    <row r="142" spans="1:8" ht="18" customHeight="1" x14ac:dyDescent="0.4">
      <c r="A142" s="4" t="s">
        <v>472</v>
      </c>
      <c r="B142" s="5" t="s">
        <v>33</v>
      </c>
      <c r="C142" s="37">
        <v>968.45</v>
      </c>
      <c r="D142" s="38">
        <v>56</v>
      </c>
      <c r="E142" s="6">
        <f>+C142*D142</f>
        <v>54233.200000000004</v>
      </c>
      <c r="F142" s="60">
        <f>+E142*7%</f>
        <v>3796.3240000000005</v>
      </c>
      <c r="G142" s="60">
        <f>+E142+F142</f>
        <v>58029.524000000005</v>
      </c>
      <c r="H142">
        <v>6902258</v>
      </c>
    </row>
    <row r="143" spans="1:8" ht="18" customHeight="1" x14ac:dyDescent="0.4">
      <c r="A143" s="4" t="s">
        <v>478</v>
      </c>
      <c r="B143" s="5" t="s">
        <v>492</v>
      </c>
      <c r="C143" s="37">
        <v>193.55</v>
      </c>
      <c r="D143" s="38">
        <v>71.5</v>
      </c>
      <c r="E143" s="6">
        <f>+C143*D143</f>
        <v>13838.825000000001</v>
      </c>
      <c r="F143" s="60">
        <f>+E143*7%</f>
        <v>968.71775000000014</v>
      </c>
      <c r="G143" s="60">
        <f>+E143+F143</f>
        <v>14807.542750000001</v>
      </c>
      <c r="H143">
        <v>6902045</v>
      </c>
    </row>
    <row r="144" spans="1:8" ht="18" customHeight="1" x14ac:dyDescent="0.4">
      <c r="A144" s="4" t="s">
        <v>461</v>
      </c>
      <c r="B144" s="5" t="s">
        <v>493</v>
      </c>
      <c r="C144" s="37">
        <v>195.7</v>
      </c>
      <c r="D144" s="38">
        <v>81</v>
      </c>
      <c r="E144" s="6">
        <f>+C144*D144</f>
        <v>15851.699999999999</v>
      </c>
      <c r="F144" s="60">
        <f>+E144*7%</f>
        <v>1109.6190000000001</v>
      </c>
      <c r="G144" s="60">
        <f>+E144+F144</f>
        <v>16961.319</v>
      </c>
      <c r="H144">
        <v>6902029</v>
      </c>
    </row>
    <row r="145" spans="1:8" ht="18" customHeight="1" x14ac:dyDescent="0.4">
      <c r="A145" s="4" t="s">
        <v>476</v>
      </c>
      <c r="B145" s="5" t="s">
        <v>189</v>
      </c>
      <c r="C145" s="37">
        <v>189.15</v>
      </c>
      <c r="D145" s="38">
        <v>81</v>
      </c>
      <c r="E145" s="6">
        <f t="shared" si="21"/>
        <v>15321.15</v>
      </c>
      <c r="F145" s="60">
        <f t="shared" si="22"/>
        <v>1072.4805000000001</v>
      </c>
      <c r="G145" s="60">
        <f t="shared" si="23"/>
        <v>16393.630499999999</v>
      </c>
      <c r="H145">
        <v>6902092</v>
      </c>
    </row>
    <row r="146" spans="1:8" ht="18" customHeight="1" x14ac:dyDescent="0.4">
      <c r="A146" s="4" t="s">
        <v>469</v>
      </c>
      <c r="B146" s="5" t="s">
        <v>189</v>
      </c>
      <c r="C146" s="37">
        <v>185.45</v>
      </c>
      <c r="D146" s="38">
        <v>81</v>
      </c>
      <c r="E146" s="6">
        <f t="shared" si="21"/>
        <v>15021.449999999999</v>
      </c>
      <c r="F146" s="60">
        <f t="shared" si="22"/>
        <v>1051.5015000000001</v>
      </c>
      <c r="G146" s="60">
        <f t="shared" si="23"/>
        <v>16072.951499999999</v>
      </c>
      <c r="H146">
        <v>6902220</v>
      </c>
    </row>
    <row r="147" spans="1:8" ht="18" customHeight="1" x14ac:dyDescent="0.4">
      <c r="A147" s="4" t="s">
        <v>477</v>
      </c>
      <c r="B147" s="5" t="s">
        <v>556</v>
      </c>
      <c r="C147" s="37">
        <v>91.2</v>
      </c>
      <c r="D147" s="38">
        <v>89</v>
      </c>
      <c r="E147" s="6">
        <f t="shared" si="21"/>
        <v>8116.8</v>
      </c>
      <c r="F147" s="60">
        <f t="shared" si="22"/>
        <v>568.17600000000004</v>
      </c>
      <c r="G147" s="60">
        <f t="shared" si="23"/>
        <v>8684.9760000000006</v>
      </c>
      <c r="H147">
        <v>6902163</v>
      </c>
    </row>
    <row r="148" spans="1:8" ht="18" customHeight="1" x14ac:dyDescent="0.4">
      <c r="A148" s="4" t="s">
        <v>476</v>
      </c>
      <c r="B148" s="5" t="s">
        <v>494</v>
      </c>
      <c r="C148" s="37">
        <v>195.85</v>
      </c>
      <c r="D148" s="38">
        <v>81</v>
      </c>
      <c r="E148" s="6">
        <f>+C148*D148</f>
        <v>15863.85</v>
      </c>
      <c r="F148" s="60">
        <f t="shared" si="22"/>
        <v>1110.4695000000002</v>
      </c>
      <c r="G148" s="60">
        <f t="shared" si="23"/>
        <v>16974.319500000001</v>
      </c>
      <c r="H148">
        <v>6902092</v>
      </c>
    </row>
    <row r="149" spans="1:8" ht="18" customHeight="1" x14ac:dyDescent="0.4">
      <c r="A149" s="4" t="s">
        <v>473</v>
      </c>
      <c r="B149" s="5" t="s">
        <v>495</v>
      </c>
      <c r="C149" s="37">
        <v>177.1</v>
      </c>
      <c r="D149" s="38">
        <v>81</v>
      </c>
      <c r="E149" s="6">
        <f t="shared" ref="E149:E153" si="24">+C149*D149</f>
        <v>14345.1</v>
      </c>
      <c r="F149" s="60">
        <f t="shared" si="22"/>
        <v>1004.1570000000002</v>
      </c>
      <c r="G149" s="60">
        <f t="shared" si="23"/>
        <v>15349.257000000001</v>
      </c>
      <c r="H149">
        <v>6902280</v>
      </c>
    </row>
    <row r="150" spans="1:8" ht="18" customHeight="1" x14ac:dyDescent="0.4">
      <c r="A150" s="4" t="s">
        <v>469</v>
      </c>
      <c r="B150" s="5" t="s">
        <v>496</v>
      </c>
      <c r="C150" s="37">
        <v>87.6</v>
      </c>
      <c r="D150" s="38">
        <v>89</v>
      </c>
      <c r="E150" s="6">
        <f t="shared" si="24"/>
        <v>7796.4</v>
      </c>
      <c r="F150" s="60">
        <f t="shared" si="22"/>
        <v>545.74800000000005</v>
      </c>
      <c r="G150" s="60">
        <f t="shared" si="23"/>
        <v>8342.1479999999992</v>
      </c>
      <c r="H150">
        <v>6902221</v>
      </c>
    </row>
    <row r="151" spans="1:8" ht="18" customHeight="1" x14ac:dyDescent="0.4">
      <c r="A151" s="4" t="s">
        <v>461</v>
      </c>
      <c r="B151" s="5" t="s">
        <v>129</v>
      </c>
      <c r="C151" s="37">
        <v>1145.8499999999999</v>
      </c>
      <c r="D151" s="38">
        <v>81</v>
      </c>
      <c r="E151" s="6">
        <f t="shared" si="24"/>
        <v>92813.849999999991</v>
      </c>
      <c r="F151" s="60">
        <f t="shared" si="22"/>
        <v>6496.9695000000002</v>
      </c>
      <c r="G151" s="60">
        <f t="shared" si="23"/>
        <v>99310.819499999998</v>
      </c>
      <c r="H151">
        <v>6902029</v>
      </c>
    </row>
    <row r="152" spans="1:8" ht="18" customHeight="1" x14ac:dyDescent="0.4">
      <c r="A152" s="4" t="s">
        <v>469</v>
      </c>
      <c r="B152" s="5" t="s">
        <v>129</v>
      </c>
      <c r="C152" s="37">
        <v>399.4</v>
      </c>
      <c r="D152" s="38">
        <v>81</v>
      </c>
      <c r="E152" s="6">
        <f t="shared" si="24"/>
        <v>32351.399999999998</v>
      </c>
      <c r="F152" s="60">
        <f t="shared" si="22"/>
        <v>2264.598</v>
      </c>
      <c r="G152" s="60">
        <f t="shared" si="23"/>
        <v>34615.998</v>
      </c>
      <c r="H152">
        <v>6902220</v>
      </c>
    </row>
    <row r="153" spans="1:8" ht="18" customHeight="1" x14ac:dyDescent="0.4">
      <c r="A153" s="4" t="s">
        <v>473</v>
      </c>
      <c r="B153" s="5" t="s">
        <v>497</v>
      </c>
      <c r="C153" s="37">
        <v>396.65</v>
      </c>
      <c r="D153" s="38">
        <v>81</v>
      </c>
      <c r="E153" s="6">
        <f t="shared" si="24"/>
        <v>32128.649999999998</v>
      </c>
      <c r="F153" s="60">
        <f t="shared" si="22"/>
        <v>2249.0055000000002</v>
      </c>
      <c r="G153" s="60">
        <f t="shared" si="23"/>
        <v>34377.655500000001</v>
      </c>
      <c r="H153">
        <v>6902280</v>
      </c>
    </row>
    <row r="154" spans="1:8" ht="18" customHeight="1" x14ac:dyDescent="0.4">
      <c r="A154" s="4" t="s">
        <v>476</v>
      </c>
      <c r="B154" s="5" t="s">
        <v>34</v>
      </c>
      <c r="C154" s="37">
        <v>474.65</v>
      </c>
      <c r="D154" s="38">
        <v>81</v>
      </c>
      <c r="E154" s="6">
        <f t="shared" si="21"/>
        <v>38446.65</v>
      </c>
      <c r="F154" s="60">
        <f t="shared" si="22"/>
        <v>2691.2655000000004</v>
      </c>
      <c r="G154" s="60">
        <f t="shared" si="23"/>
        <v>41137.915500000003</v>
      </c>
      <c r="H154">
        <v>6902090</v>
      </c>
    </row>
    <row r="155" spans="1:8" ht="18" customHeight="1" x14ac:dyDescent="0.4">
      <c r="A155" s="65" t="s">
        <v>478</v>
      </c>
      <c r="B155" s="5" t="s">
        <v>35</v>
      </c>
      <c r="C155" s="37">
        <v>2100.0500000000002</v>
      </c>
      <c r="D155" s="38">
        <v>81</v>
      </c>
      <c r="E155" s="6">
        <f t="shared" si="21"/>
        <v>170104.05000000002</v>
      </c>
      <c r="F155" s="13">
        <f t="shared" si="22"/>
        <v>11907.283500000003</v>
      </c>
      <c r="G155" s="13">
        <f t="shared" si="23"/>
        <v>182011.33350000001</v>
      </c>
      <c r="H155">
        <v>6902046</v>
      </c>
    </row>
    <row r="156" spans="1:8" ht="18" customHeight="1" x14ac:dyDescent="0.4">
      <c r="A156" s="65" t="s">
        <v>468</v>
      </c>
      <c r="B156" s="5" t="s">
        <v>35</v>
      </c>
      <c r="C156" s="37">
        <v>1010.4</v>
      </c>
      <c r="D156" s="38">
        <v>81</v>
      </c>
      <c r="E156" s="6">
        <f t="shared" si="21"/>
        <v>81842.399999999994</v>
      </c>
      <c r="F156" s="13">
        <f t="shared" si="22"/>
        <v>5728.9679999999998</v>
      </c>
      <c r="G156" s="13">
        <f t="shared" si="23"/>
        <v>87571.367999999988</v>
      </c>
      <c r="H156">
        <v>6902197</v>
      </c>
    </row>
    <row r="157" spans="1:8" ht="18" customHeight="1" x14ac:dyDescent="0.4">
      <c r="A157" s="4" t="s">
        <v>472</v>
      </c>
      <c r="B157" s="5" t="s">
        <v>35</v>
      </c>
      <c r="C157" s="37">
        <v>990.4</v>
      </c>
      <c r="D157" s="38">
        <v>81</v>
      </c>
      <c r="E157" s="6">
        <f>+C157*D157</f>
        <v>80222.399999999994</v>
      </c>
      <c r="F157" s="60">
        <f>+E157*7%</f>
        <v>5615.5680000000002</v>
      </c>
      <c r="G157" s="60">
        <f>+E157+F157</f>
        <v>85837.967999999993</v>
      </c>
      <c r="H157">
        <v>6902257</v>
      </c>
    </row>
    <row r="158" spans="1:8" ht="18" customHeight="1" x14ac:dyDescent="0.4">
      <c r="A158" s="4" t="s">
        <v>461</v>
      </c>
      <c r="B158" s="5" t="s">
        <v>36</v>
      </c>
      <c r="C158" s="37">
        <v>2064.4499999999998</v>
      </c>
      <c r="D158" s="38">
        <v>81</v>
      </c>
      <c r="E158" s="6">
        <f t="shared" si="21"/>
        <v>167220.44999999998</v>
      </c>
      <c r="F158" s="60">
        <f t="shared" si="22"/>
        <v>11705.431500000001</v>
      </c>
      <c r="G158" s="60">
        <f t="shared" si="23"/>
        <v>178925.88149999999</v>
      </c>
      <c r="H158">
        <v>6902028</v>
      </c>
    </row>
    <row r="159" spans="1:8" ht="18" customHeight="1" x14ac:dyDescent="0.4">
      <c r="A159" s="4" t="s">
        <v>468</v>
      </c>
      <c r="B159" s="5" t="s">
        <v>36</v>
      </c>
      <c r="C159" s="37">
        <v>1029.5999999999999</v>
      </c>
      <c r="D159" s="38">
        <v>81</v>
      </c>
      <c r="E159" s="6">
        <f t="shared" si="21"/>
        <v>83397.599999999991</v>
      </c>
      <c r="F159" s="60">
        <f t="shared" si="22"/>
        <v>5837.8320000000003</v>
      </c>
      <c r="G159" s="60">
        <f t="shared" si="23"/>
        <v>89235.431999999986</v>
      </c>
      <c r="H159">
        <v>6902198</v>
      </c>
    </row>
    <row r="160" spans="1:8" ht="18" customHeight="1" x14ac:dyDescent="0.4">
      <c r="A160" s="16" t="s">
        <v>480</v>
      </c>
      <c r="B160" s="5" t="s">
        <v>37</v>
      </c>
      <c r="C160" s="37">
        <v>595.86</v>
      </c>
      <c r="D160" s="38">
        <v>80</v>
      </c>
      <c r="E160" s="6">
        <f t="shared" si="21"/>
        <v>47668.800000000003</v>
      </c>
      <c r="F160" s="60">
        <f t="shared" si="22"/>
        <v>3336.8160000000007</v>
      </c>
      <c r="G160" s="60">
        <f t="shared" si="23"/>
        <v>51005.616000000002</v>
      </c>
      <c r="H160">
        <v>6902073</v>
      </c>
    </row>
    <row r="161" spans="1:8" ht="18" customHeight="1" x14ac:dyDescent="0.4">
      <c r="A161" s="16" t="s">
        <v>472</v>
      </c>
      <c r="B161" s="5" t="s">
        <v>206</v>
      </c>
      <c r="C161" s="37">
        <v>192.87</v>
      </c>
      <c r="D161" s="38">
        <v>81</v>
      </c>
      <c r="E161" s="6">
        <f t="shared" si="21"/>
        <v>15622.470000000001</v>
      </c>
      <c r="F161" s="60">
        <f t="shared" si="22"/>
        <v>1093.5729000000001</v>
      </c>
      <c r="G161" s="60">
        <f t="shared" si="23"/>
        <v>16716.0429</v>
      </c>
      <c r="H161">
        <v>6902264</v>
      </c>
    </row>
    <row r="162" spans="1:8" ht="18" customHeight="1" x14ac:dyDescent="0.4">
      <c r="A162" s="16" t="s">
        <v>479</v>
      </c>
      <c r="B162" s="5" t="s">
        <v>231</v>
      </c>
      <c r="C162" s="37">
        <v>578.61</v>
      </c>
      <c r="D162" s="38">
        <v>81</v>
      </c>
      <c r="E162" s="6">
        <f t="shared" si="21"/>
        <v>46867.41</v>
      </c>
      <c r="F162" s="60">
        <f t="shared" si="22"/>
        <v>3280.7187000000004</v>
      </c>
      <c r="G162" s="60">
        <f t="shared" si="23"/>
        <v>50148.128700000001</v>
      </c>
      <c r="H162">
        <v>6902293</v>
      </c>
    </row>
    <row r="163" spans="1:8" ht="18" customHeight="1" x14ac:dyDescent="0.4">
      <c r="A163" s="16" t="s">
        <v>462</v>
      </c>
      <c r="B163" s="5" t="s">
        <v>498</v>
      </c>
      <c r="C163" s="37">
        <v>329.46</v>
      </c>
      <c r="D163" s="38">
        <v>80</v>
      </c>
      <c r="E163" s="6">
        <f t="shared" si="21"/>
        <v>26356.799999999999</v>
      </c>
      <c r="F163" s="60">
        <f t="shared" si="22"/>
        <v>1844.9760000000001</v>
      </c>
      <c r="G163" s="60">
        <f t="shared" si="23"/>
        <v>28201.775999999998</v>
      </c>
      <c r="H163">
        <v>6902015</v>
      </c>
    </row>
    <row r="164" spans="1:8" ht="18" customHeight="1" x14ac:dyDescent="0.4">
      <c r="A164" s="16" t="s">
        <v>480</v>
      </c>
      <c r="B164" s="5" t="s">
        <v>222</v>
      </c>
      <c r="C164" s="37">
        <v>778.33</v>
      </c>
      <c r="D164" s="38">
        <v>81</v>
      </c>
      <c r="E164" s="6">
        <f t="shared" si="21"/>
        <v>63044.73</v>
      </c>
      <c r="F164" s="60">
        <f t="shared" si="22"/>
        <v>4413.1311000000005</v>
      </c>
      <c r="G164" s="60">
        <f t="shared" si="23"/>
        <v>67457.861100000009</v>
      </c>
      <c r="H164">
        <v>6902071</v>
      </c>
    </row>
    <row r="165" spans="1:8" ht="18" customHeight="1" x14ac:dyDescent="0.4">
      <c r="A165" s="16" t="s">
        <v>472</v>
      </c>
      <c r="B165" s="5" t="s">
        <v>245</v>
      </c>
      <c r="C165" s="37">
        <v>572.26</v>
      </c>
      <c r="D165" s="38">
        <v>81</v>
      </c>
      <c r="E165" s="6">
        <f t="shared" si="21"/>
        <v>46353.06</v>
      </c>
      <c r="F165" s="60">
        <f t="shared" si="22"/>
        <v>3244.7142000000003</v>
      </c>
      <c r="G165" s="60">
        <f t="shared" si="23"/>
        <v>49597.7742</v>
      </c>
      <c r="H165">
        <v>6902261</v>
      </c>
    </row>
    <row r="166" spans="1:8" ht="18" customHeight="1" x14ac:dyDescent="0.4">
      <c r="A166" s="16" t="s">
        <v>459</v>
      </c>
      <c r="B166" s="5" t="s">
        <v>193</v>
      </c>
      <c r="C166" s="37">
        <v>1171.77</v>
      </c>
      <c r="D166" s="38">
        <v>80</v>
      </c>
      <c r="E166" s="6">
        <f t="shared" si="21"/>
        <v>93741.6</v>
      </c>
      <c r="F166" s="60">
        <f t="shared" si="22"/>
        <v>6561.9120000000012</v>
      </c>
      <c r="G166" s="60">
        <f t="shared" si="23"/>
        <v>100303.512</v>
      </c>
      <c r="H166">
        <v>6902146</v>
      </c>
    </row>
    <row r="167" spans="1:8" ht="18" customHeight="1" x14ac:dyDescent="0.4">
      <c r="A167" s="16" t="s">
        <v>472</v>
      </c>
      <c r="B167" s="5" t="s">
        <v>193</v>
      </c>
      <c r="C167" s="37">
        <v>194.52</v>
      </c>
      <c r="D167" s="38">
        <v>80</v>
      </c>
      <c r="E167" s="6">
        <f t="shared" si="21"/>
        <v>15561.6</v>
      </c>
      <c r="F167" s="60">
        <f t="shared" si="22"/>
        <v>1089.3120000000001</v>
      </c>
      <c r="G167" s="60">
        <f t="shared" si="23"/>
        <v>16650.912</v>
      </c>
      <c r="H167">
        <v>6902259</v>
      </c>
    </row>
    <row r="168" spans="1:8" ht="18" customHeight="1" x14ac:dyDescent="0.4">
      <c r="A168" s="16" t="s">
        <v>479</v>
      </c>
      <c r="B168" s="5" t="s">
        <v>193</v>
      </c>
      <c r="C168" s="37">
        <v>1698</v>
      </c>
      <c r="D168" s="38">
        <v>80</v>
      </c>
      <c r="E168" s="6">
        <f t="shared" si="21"/>
        <v>135840</v>
      </c>
      <c r="F168" s="60">
        <f t="shared" si="22"/>
        <v>9508.8000000000011</v>
      </c>
      <c r="G168" s="60">
        <f t="shared" si="23"/>
        <v>145348.79999999999</v>
      </c>
      <c r="H168">
        <v>6902294</v>
      </c>
    </row>
    <row r="169" spans="1:8" ht="18" customHeight="1" x14ac:dyDescent="0.4">
      <c r="A169" s="4" t="s">
        <v>462</v>
      </c>
      <c r="B169" s="5" t="s">
        <v>205</v>
      </c>
      <c r="C169" s="37">
        <v>480.2</v>
      </c>
      <c r="D169" s="38">
        <v>80</v>
      </c>
      <c r="E169" s="6">
        <f t="shared" si="21"/>
        <v>38416</v>
      </c>
      <c r="F169" s="60">
        <f t="shared" si="22"/>
        <v>2689.1200000000003</v>
      </c>
      <c r="G169" s="60">
        <f t="shared" si="23"/>
        <v>41105.120000000003</v>
      </c>
      <c r="H169">
        <v>6902013</v>
      </c>
    </row>
    <row r="170" spans="1:8" ht="18" customHeight="1" x14ac:dyDescent="0.4">
      <c r="A170" s="4" t="s">
        <v>472</v>
      </c>
      <c r="B170" s="5" t="s">
        <v>39</v>
      </c>
      <c r="C170" s="37">
        <v>94.31</v>
      </c>
      <c r="D170" s="38">
        <v>81</v>
      </c>
      <c r="E170" s="6">
        <f t="shared" si="21"/>
        <v>7639.1100000000006</v>
      </c>
      <c r="F170" s="60">
        <f t="shared" si="22"/>
        <v>534.73770000000013</v>
      </c>
      <c r="G170" s="60">
        <f t="shared" si="23"/>
        <v>8173.8477000000003</v>
      </c>
      <c r="H170">
        <v>6902266</v>
      </c>
    </row>
    <row r="171" spans="1:8" ht="18" customHeight="1" x14ac:dyDescent="0.4">
      <c r="A171" s="4" t="s">
        <v>472</v>
      </c>
      <c r="B171" s="5" t="s">
        <v>39</v>
      </c>
      <c r="C171" s="37">
        <v>475.95</v>
      </c>
      <c r="D171" s="38">
        <v>81</v>
      </c>
      <c r="E171" s="6">
        <f t="shared" si="21"/>
        <v>38551.949999999997</v>
      </c>
      <c r="F171" s="60">
        <f t="shared" si="22"/>
        <v>2698.6365000000001</v>
      </c>
      <c r="G171" s="60">
        <f t="shared" si="23"/>
        <v>41250.586499999998</v>
      </c>
      <c r="H171">
        <v>6902265</v>
      </c>
    </row>
    <row r="172" spans="1:8" ht="18" customHeight="1" x14ac:dyDescent="0.4">
      <c r="A172" s="4" t="s">
        <v>472</v>
      </c>
      <c r="B172" s="5" t="s">
        <v>163</v>
      </c>
      <c r="C172" s="37">
        <v>1164.67</v>
      </c>
      <c r="D172" s="38">
        <v>81</v>
      </c>
      <c r="E172" s="6">
        <f t="shared" si="21"/>
        <v>94338.27</v>
      </c>
      <c r="F172" s="60">
        <f t="shared" si="22"/>
        <v>6603.6789000000008</v>
      </c>
      <c r="G172" s="60">
        <f t="shared" si="23"/>
        <v>100941.9489</v>
      </c>
      <c r="H172">
        <v>6902262</v>
      </c>
    </row>
    <row r="173" spans="1:8" ht="18" customHeight="1" x14ac:dyDescent="0.4">
      <c r="A173" s="16" t="s">
        <v>462</v>
      </c>
      <c r="B173" s="5" t="s">
        <v>40</v>
      </c>
      <c r="C173" s="37">
        <v>579.26</v>
      </c>
      <c r="D173" s="38">
        <v>80</v>
      </c>
      <c r="E173" s="6">
        <f t="shared" si="21"/>
        <v>46340.800000000003</v>
      </c>
      <c r="F173" s="60">
        <f t="shared" si="22"/>
        <v>3243.8560000000007</v>
      </c>
      <c r="G173" s="60">
        <f t="shared" si="23"/>
        <v>49584.656000000003</v>
      </c>
      <c r="H173">
        <v>6902014</v>
      </c>
    </row>
    <row r="174" spans="1:8" ht="18" customHeight="1" x14ac:dyDescent="0.4">
      <c r="A174" s="4" t="s">
        <v>472</v>
      </c>
      <c r="B174" s="5" t="s">
        <v>230</v>
      </c>
      <c r="C174" s="37">
        <v>1368.29</v>
      </c>
      <c r="D174" s="38">
        <v>81</v>
      </c>
      <c r="E174" s="6">
        <f t="shared" si="21"/>
        <v>110831.48999999999</v>
      </c>
      <c r="F174" s="60">
        <f t="shared" si="22"/>
        <v>7758.2043000000003</v>
      </c>
      <c r="G174" s="60">
        <f t="shared" si="23"/>
        <v>118589.69429999999</v>
      </c>
      <c r="H174">
        <v>6902263</v>
      </c>
    </row>
    <row r="175" spans="1:8" ht="18" customHeight="1" x14ac:dyDescent="0.4">
      <c r="A175" s="4" t="s">
        <v>480</v>
      </c>
      <c r="B175" s="5" t="s">
        <v>41</v>
      </c>
      <c r="C175" s="37">
        <v>788.58</v>
      </c>
      <c r="D175" s="38">
        <v>81</v>
      </c>
      <c r="E175" s="6">
        <f t="shared" si="21"/>
        <v>63874.98</v>
      </c>
      <c r="F175" s="60">
        <f t="shared" si="22"/>
        <v>4471.2486000000008</v>
      </c>
      <c r="G175" s="60">
        <f t="shared" si="23"/>
        <v>68346.228600000002</v>
      </c>
      <c r="H175">
        <v>6902072</v>
      </c>
    </row>
    <row r="176" spans="1:8" ht="18" customHeight="1" x14ac:dyDescent="0.4">
      <c r="A176" s="4" t="s">
        <v>459</v>
      </c>
      <c r="B176" s="5" t="s">
        <v>41</v>
      </c>
      <c r="C176" s="37">
        <v>1169.52</v>
      </c>
      <c r="D176" s="38">
        <v>81</v>
      </c>
      <c r="E176" s="6">
        <f t="shared" si="21"/>
        <v>94731.12</v>
      </c>
      <c r="F176" s="60">
        <f t="shared" si="22"/>
        <v>6631.1784000000007</v>
      </c>
      <c r="G176" s="60">
        <f t="shared" si="23"/>
        <v>101362.2984</v>
      </c>
      <c r="H176">
        <v>6902145</v>
      </c>
    </row>
    <row r="177" spans="1:8" ht="18" customHeight="1" x14ac:dyDescent="0.4">
      <c r="A177" s="4" t="s">
        <v>462</v>
      </c>
      <c r="B177" s="5" t="s">
        <v>220</v>
      </c>
      <c r="C177" s="37">
        <v>580.55999999999995</v>
      </c>
      <c r="D177" s="38">
        <v>80</v>
      </c>
      <c r="E177" s="6">
        <f t="shared" si="21"/>
        <v>46444.799999999996</v>
      </c>
      <c r="F177" s="60">
        <f t="shared" si="22"/>
        <v>3251.136</v>
      </c>
      <c r="G177" s="60">
        <f t="shared" si="23"/>
        <v>49695.935999999994</v>
      </c>
      <c r="H177">
        <v>6902016</v>
      </c>
    </row>
    <row r="178" spans="1:8" ht="18" customHeight="1" x14ac:dyDescent="0.4">
      <c r="A178" s="4" t="s">
        <v>480</v>
      </c>
      <c r="B178" s="5" t="s">
        <v>42</v>
      </c>
      <c r="C178" s="37">
        <v>242.8</v>
      </c>
      <c r="D178" s="38">
        <v>81</v>
      </c>
      <c r="E178" s="6">
        <f t="shared" si="21"/>
        <v>19666.8</v>
      </c>
      <c r="F178" s="60">
        <f t="shared" si="22"/>
        <v>1376.6760000000002</v>
      </c>
      <c r="G178" s="60">
        <f t="shared" si="23"/>
        <v>21043.475999999999</v>
      </c>
      <c r="H178">
        <v>6902070</v>
      </c>
    </row>
    <row r="179" spans="1:8" ht="18" customHeight="1" x14ac:dyDescent="0.4">
      <c r="A179" s="4" t="s">
        <v>472</v>
      </c>
      <c r="B179" s="5" t="s">
        <v>42</v>
      </c>
      <c r="C179" s="37">
        <v>344.41</v>
      </c>
      <c r="D179" s="38">
        <v>81</v>
      </c>
      <c r="E179" s="6">
        <f t="shared" si="21"/>
        <v>27897.210000000003</v>
      </c>
      <c r="F179" s="60">
        <f t="shared" si="22"/>
        <v>1952.8047000000004</v>
      </c>
      <c r="G179" s="60">
        <f t="shared" si="23"/>
        <v>29850.014700000003</v>
      </c>
      <c r="H179">
        <v>6902260</v>
      </c>
    </row>
    <row r="180" spans="1:8" ht="18" customHeight="1" x14ac:dyDescent="0.4">
      <c r="A180" s="4" t="s">
        <v>462</v>
      </c>
      <c r="B180" s="5" t="s">
        <v>221</v>
      </c>
      <c r="C180" s="37">
        <v>294.18</v>
      </c>
      <c r="D180" s="38">
        <v>80</v>
      </c>
      <c r="E180" s="6">
        <f t="shared" si="21"/>
        <v>23534.400000000001</v>
      </c>
      <c r="F180" s="60">
        <f t="shared" si="22"/>
        <v>1647.4080000000004</v>
      </c>
      <c r="G180" s="60">
        <f t="shared" si="23"/>
        <v>25181.808000000001</v>
      </c>
      <c r="H180">
        <v>6902017</v>
      </c>
    </row>
    <row r="181" spans="1:8" ht="18" customHeight="1" thickBot="1" x14ac:dyDescent="0.35">
      <c r="A181" s="61"/>
      <c r="B181" s="17" t="s">
        <v>15</v>
      </c>
      <c r="C181" s="18">
        <f>SUM(C136:C180)</f>
        <v>29669.290000000005</v>
      </c>
      <c r="D181" s="66"/>
      <c r="E181" s="20">
        <f>SUM(E136:E180)</f>
        <v>2270684.605</v>
      </c>
      <c r="F181" s="20">
        <f>SUM(F136:F180)</f>
        <v>158947.92235000001</v>
      </c>
      <c r="G181" s="20">
        <f>SUM(G136:G180)</f>
        <v>2429632.527350001</v>
      </c>
    </row>
    <row r="182" spans="1:8" ht="18" customHeight="1" thickTop="1" x14ac:dyDescent="0.3">
      <c r="A182" s="67"/>
      <c r="B182" s="68"/>
      <c r="C182" s="69"/>
      <c r="D182" s="88"/>
      <c r="E182" s="187"/>
      <c r="F182" s="187"/>
      <c r="G182" s="187"/>
    </row>
    <row r="183" spans="1:8" s="30" customFormat="1" ht="23.25" x14ac:dyDescent="0.5">
      <c r="A183" s="359" t="s">
        <v>43</v>
      </c>
      <c r="B183" s="359"/>
      <c r="C183" s="359"/>
      <c r="D183" s="359"/>
      <c r="E183" s="359"/>
      <c r="F183" s="359"/>
      <c r="G183" s="359"/>
    </row>
    <row r="184" spans="1:8" s="30" customFormat="1" ht="18" customHeight="1" x14ac:dyDescent="0.5">
      <c r="A184" s="1" t="s">
        <v>2</v>
      </c>
      <c r="B184" s="2" t="s">
        <v>3</v>
      </c>
      <c r="C184" s="307" t="s">
        <v>44</v>
      </c>
      <c r="D184" s="3" t="s">
        <v>5</v>
      </c>
      <c r="E184" s="2" t="s">
        <v>6</v>
      </c>
      <c r="F184" s="2" t="s">
        <v>7</v>
      </c>
      <c r="G184" s="2" t="s">
        <v>8</v>
      </c>
    </row>
    <row r="185" spans="1:8" ht="18" customHeight="1" x14ac:dyDescent="0.4">
      <c r="A185" s="4" t="s">
        <v>478</v>
      </c>
      <c r="B185" s="5" t="s">
        <v>45</v>
      </c>
      <c r="C185" s="6">
        <v>108000</v>
      </c>
      <c r="D185" s="72">
        <v>0.64</v>
      </c>
      <c r="E185" s="6">
        <f t="shared" ref="E185:E208" si="25">+C185*D185</f>
        <v>69120</v>
      </c>
      <c r="F185" s="6">
        <f t="shared" ref="F185:F208" si="26">+E185*7%</f>
        <v>4838.4000000000005</v>
      </c>
      <c r="G185" s="60">
        <f t="shared" ref="G185:G208" si="27">+E185+F185</f>
        <v>73958.399999999994</v>
      </c>
      <c r="H185">
        <v>6902034</v>
      </c>
    </row>
    <row r="186" spans="1:8" s="30" customFormat="1" ht="18" customHeight="1" x14ac:dyDescent="0.5">
      <c r="A186" s="4" t="s">
        <v>480</v>
      </c>
      <c r="B186" s="5" t="s">
        <v>45</v>
      </c>
      <c r="C186" s="6">
        <v>108000</v>
      </c>
      <c r="D186" s="72">
        <v>0.64</v>
      </c>
      <c r="E186" s="37">
        <f t="shared" si="25"/>
        <v>69120</v>
      </c>
      <c r="F186" s="37">
        <f t="shared" si="26"/>
        <v>4838.4000000000005</v>
      </c>
      <c r="G186" s="8">
        <f t="shared" si="27"/>
        <v>73958.399999999994</v>
      </c>
      <c r="H186" s="30">
        <v>6902065</v>
      </c>
    </row>
    <row r="187" spans="1:8" s="30" customFormat="1" ht="18" customHeight="1" x14ac:dyDescent="0.5">
      <c r="A187" s="11" t="s">
        <v>477</v>
      </c>
      <c r="B187" s="5" t="s">
        <v>45</v>
      </c>
      <c r="C187" s="6">
        <v>108000</v>
      </c>
      <c r="D187" s="72">
        <v>0.64</v>
      </c>
      <c r="E187" s="6">
        <f t="shared" si="25"/>
        <v>69120</v>
      </c>
      <c r="F187" s="6">
        <f t="shared" si="26"/>
        <v>4838.4000000000005</v>
      </c>
      <c r="G187" s="60">
        <f t="shared" si="27"/>
        <v>73958.399999999994</v>
      </c>
      <c r="H187" s="30">
        <v>6902162</v>
      </c>
    </row>
    <row r="188" spans="1:8" s="30" customFormat="1" ht="18" customHeight="1" x14ac:dyDescent="0.5">
      <c r="A188" s="11" t="s">
        <v>459</v>
      </c>
      <c r="B188" s="5" t="s">
        <v>45</v>
      </c>
      <c r="C188" s="6">
        <v>156000</v>
      </c>
      <c r="D188" s="72">
        <v>0.64</v>
      </c>
      <c r="E188" s="37">
        <f t="shared" si="25"/>
        <v>99840</v>
      </c>
      <c r="F188" s="37">
        <f t="shared" si="26"/>
        <v>6988.8000000000011</v>
      </c>
      <c r="G188" s="8">
        <f t="shared" si="27"/>
        <v>106828.8</v>
      </c>
      <c r="H188" s="30">
        <v>6902141</v>
      </c>
    </row>
    <row r="189" spans="1:8" s="30" customFormat="1" ht="18" customHeight="1" x14ac:dyDescent="0.5">
      <c r="A189" s="11" t="s">
        <v>468</v>
      </c>
      <c r="B189" s="5" t="s">
        <v>45</v>
      </c>
      <c r="C189" s="6">
        <v>108000</v>
      </c>
      <c r="D189" s="72">
        <v>0.64</v>
      </c>
      <c r="E189" s="37">
        <f t="shared" si="25"/>
        <v>69120</v>
      </c>
      <c r="F189" s="37">
        <f t="shared" si="26"/>
        <v>4838.4000000000005</v>
      </c>
      <c r="G189" s="8">
        <f t="shared" si="27"/>
        <v>73958.399999999994</v>
      </c>
      <c r="H189" s="30">
        <v>6902188</v>
      </c>
    </row>
    <row r="190" spans="1:8" s="30" customFormat="1" ht="18" customHeight="1" x14ac:dyDescent="0.5">
      <c r="A190" s="11" t="s">
        <v>487</v>
      </c>
      <c r="B190" s="5" t="s">
        <v>45</v>
      </c>
      <c r="C190" s="6">
        <v>108000</v>
      </c>
      <c r="D190" s="72">
        <v>0.64</v>
      </c>
      <c r="E190" s="37">
        <f t="shared" si="25"/>
        <v>69120</v>
      </c>
      <c r="F190" s="37">
        <f t="shared" si="26"/>
        <v>4838.4000000000005</v>
      </c>
      <c r="G190" s="8">
        <f t="shared" si="27"/>
        <v>73958.399999999994</v>
      </c>
      <c r="H190" s="30">
        <v>6902204</v>
      </c>
    </row>
    <row r="191" spans="1:8" s="30" customFormat="1" ht="18" customHeight="1" x14ac:dyDescent="0.5">
      <c r="A191" s="11" t="s">
        <v>470</v>
      </c>
      <c r="B191" s="5" t="s">
        <v>45</v>
      </c>
      <c r="C191" s="6">
        <v>108000</v>
      </c>
      <c r="D191" s="72">
        <v>0.64</v>
      </c>
      <c r="E191" s="37">
        <f t="shared" si="25"/>
        <v>69120</v>
      </c>
      <c r="F191" s="37">
        <f t="shared" si="26"/>
        <v>4838.4000000000005</v>
      </c>
      <c r="G191" s="8">
        <f t="shared" si="27"/>
        <v>73958.399999999994</v>
      </c>
      <c r="H191" s="30">
        <v>6902235</v>
      </c>
    </row>
    <row r="192" spans="1:8" s="30" customFormat="1" ht="18" customHeight="1" x14ac:dyDescent="0.5">
      <c r="A192" s="11" t="s">
        <v>473</v>
      </c>
      <c r="B192" s="5" t="s">
        <v>45</v>
      </c>
      <c r="C192" s="6">
        <v>108000</v>
      </c>
      <c r="D192" s="72">
        <v>0.64</v>
      </c>
      <c r="E192" s="37">
        <f t="shared" si="25"/>
        <v>69120</v>
      </c>
      <c r="F192" s="37">
        <f t="shared" si="26"/>
        <v>4838.4000000000005</v>
      </c>
      <c r="G192" s="8">
        <f t="shared" si="27"/>
        <v>73958.399999999994</v>
      </c>
      <c r="H192" s="30">
        <v>6902273</v>
      </c>
    </row>
    <row r="193" spans="1:8" s="30" customFormat="1" ht="18" customHeight="1" x14ac:dyDescent="0.5">
      <c r="A193" s="11" t="s">
        <v>474</v>
      </c>
      <c r="B193" s="5" t="s">
        <v>45</v>
      </c>
      <c r="C193" s="6">
        <v>108000</v>
      </c>
      <c r="D193" s="72">
        <v>0.64</v>
      </c>
      <c r="E193" s="37">
        <f t="shared" si="25"/>
        <v>69120</v>
      </c>
      <c r="F193" s="37">
        <f t="shared" si="26"/>
        <v>4838.4000000000005</v>
      </c>
      <c r="G193" s="8">
        <f t="shared" si="27"/>
        <v>73958.399999999994</v>
      </c>
      <c r="H193" s="30">
        <v>6902307</v>
      </c>
    </row>
    <row r="194" spans="1:8" s="30" customFormat="1" ht="18" customHeight="1" x14ac:dyDescent="0.5">
      <c r="A194" s="11" t="s">
        <v>478</v>
      </c>
      <c r="B194" s="5" t="s">
        <v>46</v>
      </c>
      <c r="C194" s="60">
        <v>184800</v>
      </c>
      <c r="D194" s="72">
        <v>0.68</v>
      </c>
      <c r="E194" s="37">
        <f t="shared" si="25"/>
        <v>125664.00000000001</v>
      </c>
      <c r="F194" s="37">
        <f t="shared" si="26"/>
        <v>8796.4800000000014</v>
      </c>
      <c r="G194" s="8">
        <f t="shared" si="27"/>
        <v>134460.48000000001</v>
      </c>
      <c r="H194" s="30">
        <v>6902035</v>
      </c>
    </row>
    <row r="195" spans="1:8" s="30" customFormat="1" ht="18" customHeight="1" x14ac:dyDescent="0.5">
      <c r="A195" s="11" t="s">
        <v>480</v>
      </c>
      <c r="B195" s="5" t="s">
        <v>46</v>
      </c>
      <c r="C195" s="60">
        <v>369600</v>
      </c>
      <c r="D195" s="72">
        <v>0.63</v>
      </c>
      <c r="E195" s="37">
        <f t="shared" si="25"/>
        <v>232848</v>
      </c>
      <c r="F195" s="37">
        <f t="shared" si="26"/>
        <v>16299.360000000002</v>
      </c>
      <c r="G195" s="8">
        <f t="shared" si="27"/>
        <v>249147.36000000002</v>
      </c>
      <c r="H195" s="30">
        <v>6902066</v>
      </c>
    </row>
    <row r="196" spans="1:8" s="30" customFormat="1" ht="18" customHeight="1" x14ac:dyDescent="0.5">
      <c r="A196" s="11" t="s">
        <v>476</v>
      </c>
      <c r="B196" s="5" t="s">
        <v>46</v>
      </c>
      <c r="C196" s="60">
        <v>369600</v>
      </c>
      <c r="D196" s="72">
        <v>0.63</v>
      </c>
      <c r="E196" s="37">
        <f t="shared" si="25"/>
        <v>232848</v>
      </c>
      <c r="F196" s="37">
        <f t="shared" si="26"/>
        <v>16299.360000000002</v>
      </c>
      <c r="G196" s="8">
        <f t="shared" si="27"/>
        <v>249147.36000000002</v>
      </c>
      <c r="H196" s="30">
        <v>6902085</v>
      </c>
    </row>
    <row r="197" spans="1:8" s="30" customFormat="1" ht="18" customHeight="1" x14ac:dyDescent="0.5">
      <c r="A197" s="11" t="s">
        <v>499</v>
      </c>
      <c r="B197" s="5" t="s">
        <v>46</v>
      </c>
      <c r="C197" s="60">
        <v>184800</v>
      </c>
      <c r="D197" s="72">
        <v>0.63</v>
      </c>
      <c r="E197" s="37">
        <f t="shared" si="25"/>
        <v>116424</v>
      </c>
      <c r="F197" s="37">
        <f t="shared" si="26"/>
        <v>8149.6800000000012</v>
      </c>
      <c r="G197" s="8">
        <f t="shared" si="27"/>
        <v>124573.68000000001</v>
      </c>
      <c r="H197" s="30">
        <v>6902109</v>
      </c>
    </row>
    <row r="198" spans="1:8" s="30" customFormat="1" ht="18" customHeight="1" x14ac:dyDescent="0.5">
      <c r="A198" s="11" t="s">
        <v>459</v>
      </c>
      <c r="B198" s="5" t="s">
        <v>46</v>
      </c>
      <c r="C198" s="60">
        <v>369600</v>
      </c>
      <c r="D198" s="72">
        <v>0.63</v>
      </c>
      <c r="E198" s="37">
        <f>+C198*D198</f>
        <v>232848</v>
      </c>
      <c r="F198" s="37">
        <f>+E198*7%</f>
        <v>16299.360000000002</v>
      </c>
      <c r="G198" s="8">
        <f>+E198+F198</f>
        <v>249147.36000000002</v>
      </c>
      <c r="H198" s="30">
        <v>6902140</v>
      </c>
    </row>
    <row r="199" spans="1:8" s="30" customFormat="1" ht="18" customHeight="1" x14ac:dyDescent="0.5">
      <c r="A199" s="11" t="s">
        <v>477</v>
      </c>
      <c r="B199" s="5" t="s">
        <v>46</v>
      </c>
      <c r="C199" s="60">
        <v>369600</v>
      </c>
      <c r="D199" s="72">
        <v>0.63</v>
      </c>
      <c r="E199" s="37">
        <f t="shared" si="25"/>
        <v>232848</v>
      </c>
      <c r="F199" s="37">
        <f t="shared" si="26"/>
        <v>16299.360000000002</v>
      </c>
      <c r="G199" s="8">
        <f t="shared" si="27"/>
        <v>249147.36000000002</v>
      </c>
      <c r="H199" s="30">
        <v>6902151</v>
      </c>
    </row>
    <row r="200" spans="1:8" s="30" customFormat="1" ht="18" customHeight="1" x14ac:dyDescent="0.5">
      <c r="A200" s="11" t="s">
        <v>467</v>
      </c>
      <c r="B200" s="5" t="s">
        <v>46</v>
      </c>
      <c r="C200" s="60">
        <v>184800</v>
      </c>
      <c r="D200" s="72">
        <v>0.63</v>
      </c>
      <c r="E200" s="37">
        <f t="shared" si="25"/>
        <v>116424</v>
      </c>
      <c r="F200" s="37">
        <f t="shared" si="26"/>
        <v>8149.6800000000012</v>
      </c>
      <c r="G200" s="8">
        <f t="shared" si="27"/>
        <v>124573.68000000001</v>
      </c>
      <c r="H200" s="30">
        <v>6902168</v>
      </c>
    </row>
    <row r="201" spans="1:8" s="30" customFormat="1" ht="18" customHeight="1" x14ac:dyDescent="0.5">
      <c r="A201" s="11" t="s">
        <v>468</v>
      </c>
      <c r="B201" s="5" t="s">
        <v>46</v>
      </c>
      <c r="C201" s="60">
        <v>184800</v>
      </c>
      <c r="D201" s="72">
        <v>0.63</v>
      </c>
      <c r="E201" s="37">
        <f>+C201*D201</f>
        <v>116424</v>
      </c>
      <c r="F201" s="37">
        <f>+E201*7%</f>
        <v>8149.6800000000012</v>
      </c>
      <c r="G201" s="8">
        <f>+E201+F201</f>
        <v>124573.68000000001</v>
      </c>
      <c r="H201" s="30">
        <v>6902187</v>
      </c>
    </row>
    <row r="202" spans="1:8" s="30" customFormat="1" ht="18" customHeight="1" x14ac:dyDescent="0.5">
      <c r="A202" s="11" t="s">
        <v>487</v>
      </c>
      <c r="B202" s="5" t="s">
        <v>46</v>
      </c>
      <c r="C202" s="60">
        <v>120000</v>
      </c>
      <c r="D202" s="72">
        <v>0.63</v>
      </c>
      <c r="E202" s="37">
        <f t="shared" si="25"/>
        <v>75600</v>
      </c>
      <c r="F202" s="37">
        <f t="shared" si="26"/>
        <v>5292.0000000000009</v>
      </c>
      <c r="G202" s="8">
        <f t="shared" si="27"/>
        <v>80892</v>
      </c>
      <c r="H202" s="30">
        <v>6902205</v>
      </c>
    </row>
    <row r="203" spans="1:8" s="30" customFormat="1" ht="18" customHeight="1" x14ac:dyDescent="0.5">
      <c r="A203" s="11" t="s">
        <v>469</v>
      </c>
      <c r="B203" s="5" t="s">
        <v>46</v>
      </c>
      <c r="C203" s="60">
        <v>184800</v>
      </c>
      <c r="D203" s="72">
        <v>0.63</v>
      </c>
      <c r="E203" s="37">
        <f t="shared" si="25"/>
        <v>116424</v>
      </c>
      <c r="F203" s="37">
        <f t="shared" si="26"/>
        <v>8149.6800000000012</v>
      </c>
      <c r="G203" s="8">
        <f t="shared" si="27"/>
        <v>124573.68000000001</v>
      </c>
      <c r="H203" s="30">
        <v>6902216</v>
      </c>
    </row>
    <row r="204" spans="1:8" s="30" customFormat="1" ht="18" customHeight="1" x14ac:dyDescent="0.5">
      <c r="A204" s="11" t="s">
        <v>470</v>
      </c>
      <c r="B204" s="5" t="s">
        <v>46</v>
      </c>
      <c r="C204" s="60">
        <v>499200</v>
      </c>
      <c r="D204" s="72">
        <v>0.63</v>
      </c>
      <c r="E204" s="37">
        <f t="shared" si="25"/>
        <v>314496</v>
      </c>
      <c r="F204" s="37">
        <f t="shared" si="26"/>
        <v>22014.720000000001</v>
      </c>
      <c r="G204" s="8">
        <f t="shared" si="27"/>
        <v>336510.71999999997</v>
      </c>
      <c r="H204" s="30">
        <v>6902236</v>
      </c>
    </row>
    <row r="205" spans="1:8" s="30" customFormat="1" ht="18" customHeight="1" x14ac:dyDescent="0.5">
      <c r="A205" s="11" t="s">
        <v>471</v>
      </c>
      <c r="B205" s="5" t="s">
        <v>46</v>
      </c>
      <c r="C205" s="60">
        <v>120000</v>
      </c>
      <c r="D205" s="72">
        <v>0.63</v>
      </c>
      <c r="E205" s="37">
        <f t="shared" si="25"/>
        <v>75600</v>
      </c>
      <c r="F205" s="37">
        <f t="shared" si="26"/>
        <v>5292.0000000000009</v>
      </c>
      <c r="G205" s="8">
        <f t="shared" si="27"/>
        <v>80892</v>
      </c>
      <c r="H205" s="30">
        <v>6902227</v>
      </c>
    </row>
    <row r="206" spans="1:8" s="30" customFormat="1" ht="18" customHeight="1" x14ac:dyDescent="0.5">
      <c r="A206" s="11" t="s">
        <v>473</v>
      </c>
      <c r="B206" s="5" t="s">
        <v>46</v>
      </c>
      <c r="C206" s="60">
        <v>184800</v>
      </c>
      <c r="D206" s="72">
        <v>0.63</v>
      </c>
      <c r="E206" s="37">
        <f t="shared" si="25"/>
        <v>116424</v>
      </c>
      <c r="F206" s="37">
        <f t="shared" si="26"/>
        <v>8149.6800000000012</v>
      </c>
      <c r="G206" s="8">
        <f t="shared" si="27"/>
        <v>124573.68000000001</v>
      </c>
      <c r="H206" s="30">
        <v>6902272</v>
      </c>
    </row>
    <row r="207" spans="1:8" s="30" customFormat="1" ht="18" customHeight="1" x14ac:dyDescent="0.5">
      <c r="A207" s="11" t="s">
        <v>479</v>
      </c>
      <c r="B207" s="5" t="s">
        <v>46</v>
      </c>
      <c r="C207" s="60">
        <v>184800</v>
      </c>
      <c r="D207" s="72">
        <v>0.63</v>
      </c>
      <c r="E207" s="37">
        <f t="shared" si="25"/>
        <v>116424</v>
      </c>
      <c r="F207" s="37">
        <f t="shared" si="26"/>
        <v>8149.6800000000012</v>
      </c>
      <c r="G207" s="8">
        <f t="shared" si="27"/>
        <v>124573.68000000001</v>
      </c>
      <c r="H207" s="30">
        <v>6902289</v>
      </c>
    </row>
    <row r="208" spans="1:8" s="30" customFormat="1" ht="18" customHeight="1" x14ac:dyDescent="0.5">
      <c r="A208" s="11" t="s">
        <v>474</v>
      </c>
      <c r="B208" s="5" t="s">
        <v>46</v>
      </c>
      <c r="C208" s="60">
        <v>184800</v>
      </c>
      <c r="D208" s="72">
        <v>0.63</v>
      </c>
      <c r="E208" s="37">
        <f t="shared" si="25"/>
        <v>116424</v>
      </c>
      <c r="F208" s="37">
        <f t="shared" si="26"/>
        <v>8149.6800000000012</v>
      </c>
      <c r="G208" s="8">
        <f t="shared" si="27"/>
        <v>124573.68000000001</v>
      </c>
      <c r="H208" s="30">
        <v>6902308</v>
      </c>
    </row>
    <row r="209" spans="1:8" ht="18" customHeight="1" thickBot="1" x14ac:dyDescent="0.45">
      <c r="A209" s="207"/>
      <c r="B209" s="73" t="s">
        <v>15</v>
      </c>
      <c r="C209" s="43">
        <f>SUM(C185:C208)</f>
        <v>4716000</v>
      </c>
      <c r="D209" s="51"/>
      <c r="E209" s="43">
        <f>SUM(E185:E208)</f>
        <v>2990520</v>
      </c>
      <c r="F209" s="43">
        <f>SUM(F185:F208)</f>
        <v>209336.4</v>
      </c>
      <c r="G209" s="43">
        <f>SUM(G185:G208)</f>
        <v>3199856.4000000008</v>
      </c>
    </row>
    <row r="210" spans="1:8" ht="15" customHeight="1" thickTop="1" x14ac:dyDescent="0.4">
      <c r="A210" s="208"/>
      <c r="B210" s="22"/>
      <c r="C210" s="308"/>
      <c r="D210" s="48"/>
      <c r="E210" s="22"/>
      <c r="F210" s="74"/>
      <c r="G210" s="22"/>
    </row>
    <row r="211" spans="1:8" ht="18" customHeight="1" x14ac:dyDescent="0.4">
      <c r="A211" s="1" t="s">
        <v>2</v>
      </c>
      <c r="B211" s="209" t="s">
        <v>3</v>
      </c>
      <c r="C211" s="309" t="s">
        <v>47</v>
      </c>
      <c r="D211" s="310"/>
      <c r="E211" s="54"/>
      <c r="F211" s="54"/>
      <c r="G211" s="54"/>
    </row>
    <row r="212" spans="1:8" s="30" customFormat="1" ht="18" customHeight="1" x14ac:dyDescent="0.5">
      <c r="A212" s="4" t="s">
        <v>478</v>
      </c>
      <c r="B212" s="5" t="s">
        <v>48</v>
      </c>
      <c r="C212" s="6">
        <v>1114.2</v>
      </c>
      <c r="E212"/>
      <c r="F212" s="22"/>
      <c r="G212" s="22"/>
      <c r="H212" s="30">
        <v>6902034</v>
      </c>
    </row>
    <row r="213" spans="1:8" s="30" customFormat="1" ht="18" customHeight="1" x14ac:dyDescent="0.5">
      <c r="A213" s="12" t="s">
        <v>480</v>
      </c>
      <c r="B213" s="5" t="s">
        <v>48</v>
      </c>
      <c r="C213" s="6">
        <v>1099</v>
      </c>
      <c r="E213"/>
      <c r="F213" s="22"/>
      <c r="G213" s="22"/>
      <c r="H213" s="30">
        <v>6902065</v>
      </c>
    </row>
    <row r="214" spans="1:8" s="30" customFormat="1" ht="18" customHeight="1" x14ac:dyDescent="0.5">
      <c r="A214" s="12" t="s">
        <v>477</v>
      </c>
      <c r="B214" s="5" t="s">
        <v>48</v>
      </c>
      <c r="C214" s="6">
        <v>1087.4000000000001</v>
      </c>
      <c r="E214"/>
      <c r="F214" s="22"/>
      <c r="G214" s="22"/>
      <c r="H214" s="30">
        <v>6902162</v>
      </c>
    </row>
    <row r="215" spans="1:8" s="30" customFormat="1" ht="18" customHeight="1" x14ac:dyDescent="0.5">
      <c r="A215" s="11" t="s">
        <v>459</v>
      </c>
      <c r="B215" s="5" t="s">
        <v>48</v>
      </c>
      <c r="C215" s="6">
        <v>1549.9</v>
      </c>
      <c r="F215" s="22"/>
      <c r="G215" s="22"/>
      <c r="H215" s="30">
        <v>6902141</v>
      </c>
    </row>
    <row r="216" spans="1:8" s="30" customFormat="1" ht="18" customHeight="1" x14ac:dyDescent="0.5">
      <c r="A216" s="11" t="s">
        <v>468</v>
      </c>
      <c r="B216" s="5" t="s">
        <v>48</v>
      </c>
      <c r="C216" s="6">
        <v>1088.5999999999999</v>
      </c>
      <c r="F216" s="22"/>
      <c r="G216" s="22"/>
      <c r="H216" s="30">
        <v>6902188</v>
      </c>
    </row>
    <row r="217" spans="1:8" s="30" customFormat="1" ht="18" customHeight="1" x14ac:dyDescent="0.5">
      <c r="A217" s="11" t="s">
        <v>487</v>
      </c>
      <c r="B217" s="5" t="s">
        <v>48</v>
      </c>
      <c r="C217" s="6">
        <v>1077.7</v>
      </c>
      <c r="F217" s="22"/>
      <c r="G217" s="22"/>
      <c r="H217" s="30">
        <v>6902204</v>
      </c>
    </row>
    <row r="218" spans="1:8" s="30" customFormat="1" ht="18" customHeight="1" x14ac:dyDescent="0.5">
      <c r="A218" s="11" t="s">
        <v>470</v>
      </c>
      <c r="B218" s="5" t="s">
        <v>48</v>
      </c>
      <c r="C218" s="6">
        <v>1112.5999999999999</v>
      </c>
      <c r="F218" s="22"/>
      <c r="G218" s="22"/>
      <c r="H218" s="30">
        <v>6902235</v>
      </c>
    </row>
    <row r="219" spans="1:8" s="30" customFormat="1" ht="18" customHeight="1" x14ac:dyDescent="0.5">
      <c r="A219" s="11" t="s">
        <v>473</v>
      </c>
      <c r="B219" s="5" t="s">
        <v>48</v>
      </c>
      <c r="C219" s="6">
        <v>1087.0999999999999</v>
      </c>
      <c r="F219" s="22"/>
      <c r="G219" s="22"/>
      <c r="H219" s="30">
        <v>6902273</v>
      </c>
    </row>
    <row r="220" spans="1:8" s="30" customFormat="1" ht="18" customHeight="1" x14ac:dyDescent="0.5">
      <c r="A220" s="11" t="s">
        <v>474</v>
      </c>
      <c r="B220" s="5" t="s">
        <v>48</v>
      </c>
      <c r="C220" s="6">
        <v>1122.8</v>
      </c>
      <c r="F220" s="22"/>
      <c r="G220" s="22"/>
      <c r="H220" s="30">
        <v>6902307</v>
      </c>
    </row>
    <row r="221" spans="1:8" s="30" customFormat="1" ht="18" customHeight="1" x14ac:dyDescent="0.5">
      <c r="A221" s="11" t="s">
        <v>478</v>
      </c>
      <c r="B221" s="5" t="s">
        <v>49</v>
      </c>
      <c r="C221" s="6">
        <v>2010.4</v>
      </c>
      <c r="D221" s="26"/>
      <c r="F221" s="22"/>
      <c r="G221" s="22"/>
      <c r="H221" s="30">
        <v>6902035</v>
      </c>
    </row>
    <row r="222" spans="1:8" s="30" customFormat="1" ht="18" customHeight="1" x14ac:dyDescent="0.5">
      <c r="A222" s="11" t="s">
        <v>480</v>
      </c>
      <c r="B222" s="5" t="s">
        <v>49</v>
      </c>
      <c r="C222" s="6">
        <v>4099.8</v>
      </c>
      <c r="D222" s="26"/>
      <c r="E222" s="30" t="s">
        <v>211</v>
      </c>
      <c r="F222" s="22"/>
      <c r="G222" s="22"/>
      <c r="H222" s="30">
        <v>6902066</v>
      </c>
    </row>
    <row r="223" spans="1:8" s="30" customFormat="1" ht="18" customHeight="1" x14ac:dyDescent="0.5">
      <c r="A223" s="11" t="s">
        <v>476</v>
      </c>
      <c r="B223" s="5" t="s">
        <v>49</v>
      </c>
      <c r="C223" s="6">
        <v>4115.3</v>
      </c>
      <c r="D223" s="26"/>
      <c r="F223" s="22"/>
      <c r="G223" s="22"/>
      <c r="H223" s="30">
        <v>6902085</v>
      </c>
    </row>
    <row r="224" spans="1:8" s="30" customFormat="1" ht="18" customHeight="1" x14ac:dyDescent="0.5">
      <c r="A224" s="11" t="s">
        <v>464</v>
      </c>
      <c r="B224" s="5" t="s">
        <v>49</v>
      </c>
      <c r="C224" s="6">
        <v>2044.5</v>
      </c>
      <c r="D224" s="26"/>
      <c r="F224" s="22"/>
      <c r="G224" s="22"/>
      <c r="H224" s="30">
        <v>6902109</v>
      </c>
    </row>
    <row r="225" spans="1:8" s="30" customFormat="1" ht="18" customHeight="1" x14ac:dyDescent="0.5">
      <c r="A225" s="11" t="s">
        <v>477</v>
      </c>
      <c r="B225" s="5" t="s">
        <v>49</v>
      </c>
      <c r="C225" s="6">
        <v>4292.8</v>
      </c>
      <c r="D225" s="26"/>
      <c r="F225" s="22"/>
      <c r="G225" s="22"/>
      <c r="H225" s="30">
        <v>6902151</v>
      </c>
    </row>
    <row r="226" spans="1:8" s="30" customFormat="1" ht="18" customHeight="1" x14ac:dyDescent="0.5">
      <c r="A226" s="11" t="s">
        <v>459</v>
      </c>
      <c r="B226" s="5" t="s">
        <v>49</v>
      </c>
      <c r="C226" s="6">
        <v>4139.6000000000004</v>
      </c>
      <c r="D226" s="26"/>
      <c r="F226" s="22"/>
      <c r="G226" s="22"/>
      <c r="H226" s="30">
        <v>6902140</v>
      </c>
    </row>
    <row r="227" spans="1:8" s="30" customFormat="1" ht="18" customHeight="1" x14ac:dyDescent="0.5">
      <c r="A227" s="11" t="s">
        <v>467</v>
      </c>
      <c r="B227" s="5" t="s">
        <v>49</v>
      </c>
      <c r="C227" s="6">
        <v>2091.6</v>
      </c>
      <c r="D227" s="26"/>
      <c r="F227" s="22"/>
      <c r="G227" s="22"/>
      <c r="H227" s="30">
        <v>6902168</v>
      </c>
    </row>
    <row r="228" spans="1:8" s="30" customFormat="1" ht="18" customHeight="1" x14ac:dyDescent="0.5">
      <c r="A228" s="11" t="s">
        <v>487</v>
      </c>
      <c r="B228" s="5" t="s">
        <v>49</v>
      </c>
      <c r="C228" s="6">
        <v>1266.8</v>
      </c>
      <c r="D228" s="26"/>
      <c r="F228" s="22"/>
      <c r="G228" s="22"/>
      <c r="H228" s="30">
        <v>6902205</v>
      </c>
    </row>
    <row r="229" spans="1:8" s="30" customFormat="1" ht="18" customHeight="1" x14ac:dyDescent="0.5">
      <c r="A229" s="11" t="s">
        <v>469</v>
      </c>
      <c r="B229" s="5" t="s">
        <v>49</v>
      </c>
      <c r="C229" s="6">
        <v>2022.4</v>
      </c>
      <c r="D229" s="26"/>
      <c r="F229" s="22"/>
      <c r="G229" s="22"/>
      <c r="H229" s="30">
        <v>6902216</v>
      </c>
    </row>
    <row r="230" spans="1:8" s="30" customFormat="1" ht="18" customHeight="1" x14ac:dyDescent="0.5">
      <c r="A230" s="11" t="s">
        <v>468</v>
      </c>
      <c r="B230" s="5" t="s">
        <v>49</v>
      </c>
      <c r="C230" s="6">
        <v>2067.3000000000002</v>
      </c>
      <c r="D230" s="26"/>
      <c r="F230" s="22"/>
      <c r="G230" s="22"/>
      <c r="H230" s="30">
        <v>6902187</v>
      </c>
    </row>
    <row r="231" spans="1:8" s="30" customFormat="1" ht="18" customHeight="1" x14ac:dyDescent="0.5">
      <c r="A231" s="11" t="s">
        <v>470</v>
      </c>
      <c r="B231" s="5" t="s">
        <v>49</v>
      </c>
      <c r="C231" s="6">
        <v>5594.5</v>
      </c>
      <c r="D231" s="26"/>
      <c r="F231" s="22"/>
      <c r="G231" s="22"/>
      <c r="H231" s="30">
        <v>6902236</v>
      </c>
    </row>
    <row r="232" spans="1:8" s="30" customFormat="1" ht="18" customHeight="1" x14ac:dyDescent="0.5">
      <c r="A232" s="11" t="s">
        <v>471</v>
      </c>
      <c r="B232" s="5" t="s">
        <v>49</v>
      </c>
      <c r="C232" s="6">
        <v>1373.7</v>
      </c>
      <c r="D232" s="26"/>
      <c r="F232" s="22"/>
      <c r="G232" s="22"/>
      <c r="H232" s="30">
        <v>6902227</v>
      </c>
    </row>
    <row r="233" spans="1:8" s="30" customFormat="1" ht="18" customHeight="1" x14ac:dyDescent="0.5">
      <c r="A233" s="11" t="s">
        <v>473</v>
      </c>
      <c r="B233" s="5" t="s">
        <v>49</v>
      </c>
      <c r="C233" s="6">
        <v>2125.9</v>
      </c>
      <c r="D233" s="26"/>
      <c r="F233" s="22"/>
      <c r="G233" s="22"/>
      <c r="H233" s="30">
        <v>6902272</v>
      </c>
    </row>
    <row r="234" spans="1:8" s="30" customFormat="1" ht="18" customHeight="1" x14ac:dyDescent="0.5">
      <c r="A234" s="11" t="s">
        <v>479</v>
      </c>
      <c r="B234" s="5" t="s">
        <v>49</v>
      </c>
      <c r="C234" s="6">
        <v>2111.8000000000002</v>
      </c>
      <c r="D234" s="26"/>
      <c r="F234" s="22"/>
      <c r="G234" s="22"/>
      <c r="H234" s="30">
        <v>6902289</v>
      </c>
    </row>
    <row r="235" spans="1:8" s="30" customFormat="1" ht="18" customHeight="1" x14ac:dyDescent="0.5">
      <c r="A235" s="11" t="s">
        <v>474</v>
      </c>
      <c r="B235" s="5" t="s">
        <v>49</v>
      </c>
      <c r="C235" s="6">
        <v>2121.3000000000002</v>
      </c>
      <c r="D235" s="26"/>
      <c r="F235" s="22"/>
      <c r="G235" s="22"/>
      <c r="H235" s="30">
        <v>6902308</v>
      </c>
    </row>
    <row r="236" spans="1:8" s="30" customFormat="1" ht="17.25" customHeight="1" thickBot="1" x14ac:dyDescent="0.55000000000000004">
      <c r="A236" s="75"/>
      <c r="B236" s="76" t="s">
        <v>50</v>
      </c>
      <c r="C236" s="77">
        <f>SUM(C212:C235)</f>
        <v>51817.000000000007</v>
      </c>
      <c r="E236" s="22"/>
      <c r="F236" s="22"/>
      <c r="G236" s="22"/>
    </row>
    <row r="237" spans="1:8" s="30" customFormat="1" ht="18" customHeight="1" thickTop="1" x14ac:dyDescent="0.5">
      <c r="A237" s="78"/>
      <c r="B237" s="79"/>
      <c r="C237" s="80"/>
      <c r="E237" s="22"/>
      <c r="F237" s="22"/>
      <c r="G237" s="22"/>
    </row>
    <row r="238" spans="1:8" ht="23.25" x14ac:dyDescent="0.5">
      <c r="A238" s="358" t="s">
        <v>51</v>
      </c>
      <c r="B238" s="358"/>
      <c r="C238" s="358"/>
      <c r="D238" s="358"/>
      <c r="E238" s="358"/>
      <c r="F238" s="358"/>
      <c r="G238" s="358"/>
    </row>
    <row r="239" spans="1:8" s="26" customFormat="1" ht="18" customHeight="1" x14ac:dyDescent="0.45">
      <c r="A239" s="57" t="s">
        <v>2</v>
      </c>
      <c r="B239" s="58" t="s">
        <v>3</v>
      </c>
      <c r="C239" s="58" t="s">
        <v>4</v>
      </c>
      <c r="D239" s="59" t="s">
        <v>5</v>
      </c>
      <c r="E239" s="58" t="s">
        <v>6</v>
      </c>
      <c r="F239" s="58" t="s">
        <v>7</v>
      </c>
      <c r="G239" s="58" t="s">
        <v>8</v>
      </c>
    </row>
    <row r="240" spans="1:8" s="26" customFormat="1" ht="18" customHeight="1" x14ac:dyDescent="0.45">
      <c r="A240" s="81" t="s">
        <v>565</v>
      </c>
      <c r="B240" s="5" t="s">
        <v>195</v>
      </c>
      <c r="C240" s="82">
        <v>997.5</v>
      </c>
      <c r="D240" s="83">
        <v>56</v>
      </c>
      <c r="E240" s="8">
        <f>+C240*D240</f>
        <v>55860</v>
      </c>
      <c r="F240" s="8">
        <f>+E240*7%</f>
        <v>3910.2000000000003</v>
      </c>
      <c r="G240" s="8">
        <f>+E240+F240</f>
        <v>59770.2</v>
      </c>
      <c r="H240" s="26">
        <v>6902206</v>
      </c>
    </row>
    <row r="241" spans="1:8" s="26" customFormat="1" ht="18" customHeight="1" x14ac:dyDescent="0.45">
      <c r="A241" s="81" t="s">
        <v>487</v>
      </c>
      <c r="B241" s="5" t="s">
        <v>52</v>
      </c>
      <c r="C241" s="82">
        <v>1004.8</v>
      </c>
      <c r="D241" s="83">
        <v>56</v>
      </c>
      <c r="E241" s="8">
        <f>+C241*D241</f>
        <v>56268.799999999996</v>
      </c>
      <c r="F241" s="8">
        <f>+E241*7%</f>
        <v>3938.8160000000003</v>
      </c>
      <c r="G241" s="8">
        <f>+E241+F241</f>
        <v>60207.615999999995</v>
      </c>
      <c r="H241" s="26">
        <v>6902206</v>
      </c>
    </row>
    <row r="242" spans="1:8" s="26" customFormat="1" ht="18" customHeight="1" x14ac:dyDescent="0.45">
      <c r="A242" s="81" t="s">
        <v>565</v>
      </c>
      <c r="B242" s="5" t="s">
        <v>566</v>
      </c>
      <c r="C242" s="82">
        <v>993.95</v>
      </c>
      <c r="D242" s="83">
        <v>56</v>
      </c>
      <c r="E242" s="8">
        <f>+C242*D242</f>
        <v>55661.200000000004</v>
      </c>
      <c r="F242" s="8">
        <f>+E242*7%</f>
        <v>3896.2840000000006</v>
      </c>
      <c r="G242" s="8">
        <f>+E242+F242</f>
        <v>59557.484000000004</v>
      </c>
      <c r="H242" s="26">
        <v>6902157</v>
      </c>
    </row>
    <row r="243" spans="1:8" s="26" customFormat="1" ht="17.25" customHeight="1" thickBot="1" x14ac:dyDescent="0.5">
      <c r="A243" s="84"/>
      <c r="B243" s="17" t="s">
        <v>15</v>
      </c>
      <c r="C243" s="18">
        <f>SUM(C240:C242)</f>
        <v>2996.25</v>
      </c>
      <c r="D243" s="19"/>
      <c r="E243" s="18">
        <f>SUM(E240:E242)</f>
        <v>167790</v>
      </c>
      <c r="F243" s="18">
        <f t="shared" ref="F243:G243" si="28">SUM(F240:F242)</f>
        <v>11745.300000000001</v>
      </c>
      <c r="G243" s="18">
        <f t="shared" si="28"/>
        <v>179535.3</v>
      </c>
    </row>
    <row r="244" spans="1:8" s="30" customFormat="1" ht="18" customHeight="1" thickTop="1" x14ac:dyDescent="0.5">
      <c r="A244" s="78"/>
      <c r="B244" s="79"/>
      <c r="C244" s="80"/>
      <c r="E244" s="22"/>
      <c r="F244" s="318"/>
      <c r="G244" s="22"/>
    </row>
    <row r="245" spans="1:8" s="30" customFormat="1" ht="18" customHeight="1" x14ac:dyDescent="0.5">
      <c r="A245" s="78"/>
      <c r="B245" s="79"/>
      <c r="C245" s="80"/>
      <c r="E245" s="22"/>
      <c r="F245" s="22"/>
      <c r="G245" s="22"/>
    </row>
    <row r="246" spans="1:8" ht="23.25" x14ac:dyDescent="0.5">
      <c r="A246" s="358" t="s">
        <v>500</v>
      </c>
      <c r="B246" s="358"/>
      <c r="C246" s="358"/>
      <c r="D246" s="358"/>
      <c r="E246" s="358"/>
      <c r="F246" s="358"/>
      <c r="G246" s="358"/>
    </row>
    <row r="247" spans="1:8" s="26" customFormat="1" ht="18" customHeight="1" x14ac:dyDescent="0.45">
      <c r="A247" s="57" t="s">
        <v>2</v>
      </c>
      <c r="B247" s="58" t="s">
        <v>3</v>
      </c>
      <c r="C247" s="58" t="s">
        <v>4</v>
      </c>
      <c r="D247" s="59" t="s">
        <v>5</v>
      </c>
      <c r="E247" s="58" t="s">
        <v>6</v>
      </c>
      <c r="F247" s="58" t="s">
        <v>7</v>
      </c>
      <c r="G247" s="58" t="s">
        <v>8</v>
      </c>
    </row>
    <row r="248" spans="1:8" s="26" customFormat="1" ht="18" customHeight="1" x14ac:dyDescent="0.45">
      <c r="A248" s="81" t="s">
        <v>501</v>
      </c>
      <c r="B248" s="5" t="s">
        <v>52</v>
      </c>
      <c r="C248" s="82">
        <v>296.35000000000002</v>
      </c>
      <c r="D248" s="83">
        <v>56</v>
      </c>
      <c r="E248" s="8">
        <f>+C248*D248</f>
        <v>16595.600000000002</v>
      </c>
      <c r="F248" s="8">
        <f>+E248*7%</f>
        <v>1161.6920000000002</v>
      </c>
      <c r="G248" s="8">
        <f>+E248+F248</f>
        <v>17757.292000000001</v>
      </c>
      <c r="H248" s="26">
        <v>6902186</v>
      </c>
    </row>
    <row r="249" spans="1:8" s="26" customFormat="1" ht="17.25" customHeight="1" thickBot="1" x14ac:dyDescent="0.5">
      <c r="A249" s="84"/>
      <c r="B249" s="17" t="s">
        <v>15</v>
      </c>
      <c r="C249" s="18">
        <f>SUM(C248)</f>
        <v>296.35000000000002</v>
      </c>
      <c r="D249" s="19"/>
      <c r="E249" s="18">
        <f>SUM(E248)</f>
        <v>16595.600000000002</v>
      </c>
      <c r="F249" s="18">
        <f>SUM(F248)</f>
        <v>1161.6920000000002</v>
      </c>
      <c r="G249" s="18">
        <f>SUM(G248)</f>
        <v>17757.292000000001</v>
      </c>
    </row>
    <row r="250" spans="1:8" s="26" customFormat="1" ht="13.5" customHeight="1" thickTop="1" x14ac:dyDescent="0.45">
      <c r="A250" s="85"/>
      <c r="B250" s="68"/>
      <c r="C250" s="69"/>
      <c r="D250" s="70"/>
      <c r="E250" s="69"/>
      <c r="F250" s="69"/>
      <c r="G250" s="69"/>
    </row>
    <row r="251" spans="1:8" s="26" customFormat="1" ht="13.5" customHeight="1" x14ac:dyDescent="0.45">
      <c r="A251" s="85"/>
      <c r="B251" s="68"/>
      <c r="C251" s="69"/>
      <c r="D251" s="70"/>
      <c r="E251" s="69"/>
      <c r="F251" s="69"/>
      <c r="G251" s="69"/>
    </row>
    <row r="252" spans="1:8" ht="23.25" x14ac:dyDescent="0.5">
      <c r="A252" s="358" t="s">
        <v>55</v>
      </c>
      <c r="B252" s="358"/>
      <c r="C252" s="358"/>
      <c r="D252" s="358"/>
      <c r="E252" s="358"/>
      <c r="F252" s="358"/>
      <c r="G252" s="358"/>
    </row>
    <row r="253" spans="1:8" s="26" customFormat="1" ht="18" customHeight="1" x14ac:dyDescent="0.45">
      <c r="A253" s="57" t="s">
        <v>2</v>
      </c>
      <c r="B253" s="58" t="s">
        <v>3</v>
      </c>
      <c r="C253" s="58" t="s">
        <v>4</v>
      </c>
      <c r="D253" s="64" t="s">
        <v>5</v>
      </c>
      <c r="E253" s="58" t="s">
        <v>6</v>
      </c>
      <c r="F253" s="58" t="s">
        <v>7</v>
      </c>
      <c r="G253" s="58" t="s">
        <v>8</v>
      </c>
    </row>
    <row r="254" spans="1:8" s="26" customFormat="1" ht="18" customHeight="1" x14ac:dyDescent="0.45">
      <c r="A254" s="16" t="s">
        <v>468</v>
      </c>
      <c r="B254" s="5" t="s">
        <v>54</v>
      </c>
      <c r="C254" s="86">
        <v>5069.3</v>
      </c>
      <c r="D254" s="87">
        <v>56</v>
      </c>
      <c r="E254" s="37">
        <f t="shared" ref="E254:E255" si="29">+C254*D254</f>
        <v>283880.8</v>
      </c>
      <c r="F254" s="37">
        <f t="shared" ref="F254:F255" si="30">+E254*7%</f>
        <v>19871.656000000003</v>
      </c>
      <c r="G254" s="37">
        <f t="shared" ref="G254:G255" si="31">+E254+F254</f>
        <v>303752.45600000001</v>
      </c>
      <c r="H254" s="26">
        <v>6902189</v>
      </c>
    </row>
    <row r="255" spans="1:8" s="26" customFormat="1" ht="18" customHeight="1" x14ac:dyDescent="0.45">
      <c r="A255" s="16" t="s">
        <v>479</v>
      </c>
      <c r="B255" s="5" t="s">
        <v>54</v>
      </c>
      <c r="C255" s="86">
        <v>4601.05</v>
      </c>
      <c r="D255" s="87">
        <v>56</v>
      </c>
      <c r="E255" s="37">
        <f t="shared" si="29"/>
        <v>257658.80000000002</v>
      </c>
      <c r="F255" s="37">
        <f t="shared" si="30"/>
        <v>18036.116000000002</v>
      </c>
      <c r="G255" s="37">
        <f t="shared" si="31"/>
        <v>275694.91600000003</v>
      </c>
      <c r="H255" s="26">
        <v>6902288</v>
      </c>
    </row>
    <row r="256" spans="1:8" s="26" customFormat="1" ht="17.25" customHeight="1" thickBot="1" x14ac:dyDescent="0.5">
      <c r="A256" s="84"/>
      <c r="B256" s="17" t="s">
        <v>15</v>
      </c>
      <c r="C256" s="18">
        <f>SUM(C254:C255)</f>
        <v>9670.35</v>
      </c>
      <c r="D256" s="66"/>
      <c r="E256" s="18">
        <f>SUM(E254:E255)</f>
        <v>541539.6</v>
      </c>
      <c r="F256" s="18">
        <f t="shared" ref="F256:G256" si="32">SUM(F254:F255)</f>
        <v>37907.772000000004</v>
      </c>
      <c r="G256" s="18">
        <f t="shared" si="32"/>
        <v>579447.37199999997</v>
      </c>
    </row>
    <row r="257" spans="1:8" s="26" customFormat="1" ht="17.25" customHeight="1" thickTop="1" x14ac:dyDescent="0.45">
      <c r="A257" s="85"/>
      <c r="B257" s="68"/>
      <c r="C257" s="69"/>
      <c r="D257" s="88"/>
      <c r="E257" s="69"/>
      <c r="F257" s="69"/>
      <c r="G257" s="69"/>
    </row>
    <row r="258" spans="1:8" s="26" customFormat="1" ht="17.25" customHeight="1" x14ac:dyDescent="0.45">
      <c r="A258" s="85"/>
      <c r="B258" s="68"/>
      <c r="C258" s="69"/>
      <c r="D258" s="88"/>
      <c r="E258" s="69"/>
      <c r="F258" s="69"/>
      <c r="G258" s="69"/>
    </row>
    <row r="259" spans="1:8" ht="24" thickTop="1" x14ac:dyDescent="0.5">
      <c r="A259" s="358" t="s">
        <v>502</v>
      </c>
      <c r="B259" s="358"/>
      <c r="C259" s="358"/>
      <c r="D259" s="358"/>
      <c r="E259" s="358"/>
      <c r="F259" s="358"/>
      <c r="G259" s="358"/>
    </row>
    <row r="260" spans="1:8" s="26" customFormat="1" ht="18" customHeight="1" x14ac:dyDescent="0.45">
      <c r="A260" s="57" t="s">
        <v>2</v>
      </c>
      <c r="B260" s="58" t="s">
        <v>3</v>
      </c>
      <c r="C260" s="58" t="s">
        <v>4</v>
      </c>
      <c r="D260" s="64" t="s">
        <v>5</v>
      </c>
      <c r="E260" s="58" t="s">
        <v>6</v>
      </c>
      <c r="F260" s="58" t="s">
        <v>7</v>
      </c>
      <c r="G260" s="58" t="s">
        <v>8</v>
      </c>
    </row>
    <row r="261" spans="1:8" s="26" customFormat="1" ht="18" customHeight="1" x14ac:dyDescent="0.45">
      <c r="A261" s="16" t="s">
        <v>499</v>
      </c>
      <c r="B261" s="5" t="s">
        <v>54</v>
      </c>
      <c r="C261" s="86">
        <v>3475.3</v>
      </c>
      <c r="D261" s="87">
        <v>56</v>
      </c>
      <c r="E261" s="37">
        <f t="shared" ref="E261" si="33">+C261*D261</f>
        <v>194616.80000000002</v>
      </c>
      <c r="F261" s="37">
        <f t="shared" ref="F261" si="34">+E261*7%</f>
        <v>13623.176000000003</v>
      </c>
      <c r="G261" s="37">
        <f t="shared" ref="G261" si="35">+E261+F261</f>
        <v>208239.97600000002</v>
      </c>
      <c r="H261" s="26">
        <v>6902106</v>
      </c>
    </row>
    <row r="262" spans="1:8" s="26" customFormat="1" ht="17.25" customHeight="1" thickBot="1" x14ac:dyDescent="0.5">
      <c r="A262" s="84"/>
      <c r="B262" s="17" t="s">
        <v>15</v>
      </c>
      <c r="C262" s="18">
        <f>SUM(C261:C261)</f>
        <v>3475.3</v>
      </c>
      <c r="D262" s="66"/>
      <c r="E262" s="18">
        <f>SUM(E261:E261)</f>
        <v>194616.80000000002</v>
      </c>
      <c r="F262" s="18">
        <f>SUM(F261:F261)</f>
        <v>13623.176000000003</v>
      </c>
      <c r="G262" s="18">
        <f>SUM(G261:G261)</f>
        <v>208239.97600000002</v>
      </c>
    </row>
    <row r="263" spans="1:8" s="26" customFormat="1" ht="17.25" customHeight="1" thickTop="1" x14ac:dyDescent="0.45">
      <c r="A263" s="85"/>
      <c r="B263" s="68"/>
      <c r="C263" s="69"/>
      <c r="D263" s="88"/>
      <c r="E263" s="69"/>
      <c r="F263" s="69"/>
      <c r="G263" s="69"/>
    </row>
    <row r="264" spans="1:8" ht="24" thickTop="1" x14ac:dyDescent="0.3">
      <c r="A264" s="359" t="s">
        <v>56</v>
      </c>
      <c r="B264" s="359"/>
      <c r="C264" s="359"/>
      <c r="D264" s="359"/>
      <c r="E264" s="359"/>
      <c r="F264" s="359"/>
      <c r="G264" s="359"/>
    </row>
    <row r="265" spans="1:8" ht="18" customHeight="1" x14ac:dyDescent="0.3">
      <c r="A265" s="1" t="s">
        <v>2</v>
      </c>
      <c r="B265" s="2" t="s">
        <v>3</v>
      </c>
      <c r="C265" s="2" t="s">
        <v>4</v>
      </c>
      <c r="D265" s="3" t="s">
        <v>5</v>
      </c>
      <c r="E265" s="2" t="s">
        <v>6</v>
      </c>
      <c r="F265" s="2" t="s">
        <v>7</v>
      </c>
      <c r="G265" s="2" t="s">
        <v>8</v>
      </c>
    </row>
    <row r="266" spans="1:8" ht="18" customHeight="1" x14ac:dyDescent="0.4">
      <c r="A266" s="16" t="s">
        <v>476</v>
      </c>
      <c r="B266" s="5" t="s">
        <v>503</v>
      </c>
      <c r="C266" s="6">
        <v>967.2</v>
      </c>
      <c r="D266" s="72">
        <v>59</v>
      </c>
      <c r="E266" s="60">
        <f t="shared" ref="E266:E270" si="36">+C266*D266</f>
        <v>57064.800000000003</v>
      </c>
      <c r="F266" s="60">
        <f t="shared" ref="F266:F270" si="37">+E266*7%</f>
        <v>3994.5360000000005</v>
      </c>
      <c r="G266" s="60">
        <f t="shared" ref="G266:G270" si="38">+E266+F266</f>
        <v>61059.336000000003</v>
      </c>
      <c r="H266">
        <v>6902082</v>
      </c>
    </row>
    <row r="267" spans="1:8" ht="18" customHeight="1" x14ac:dyDescent="0.4">
      <c r="A267" s="16" t="s">
        <v>467</v>
      </c>
      <c r="B267" s="5" t="s">
        <v>57</v>
      </c>
      <c r="C267" s="6">
        <v>1992.9</v>
      </c>
      <c r="D267" s="72">
        <v>59</v>
      </c>
      <c r="E267" s="60">
        <f t="shared" si="36"/>
        <v>117581.1</v>
      </c>
      <c r="F267" s="60">
        <f t="shared" si="37"/>
        <v>8230.6770000000015</v>
      </c>
      <c r="G267" s="60">
        <f t="shared" si="38"/>
        <v>125811.777</v>
      </c>
      <c r="H267">
        <v>6902170</v>
      </c>
    </row>
    <row r="268" spans="1:8" ht="18" customHeight="1" x14ac:dyDescent="0.4">
      <c r="A268" s="16" t="s">
        <v>467</v>
      </c>
      <c r="B268" s="5" t="s">
        <v>58</v>
      </c>
      <c r="C268" s="6">
        <v>1994.1</v>
      </c>
      <c r="D268" s="72">
        <v>59</v>
      </c>
      <c r="E268" s="60">
        <f t="shared" si="36"/>
        <v>117651.9</v>
      </c>
      <c r="F268" s="60">
        <f t="shared" si="37"/>
        <v>8235.6329999999998</v>
      </c>
      <c r="G268" s="60">
        <f t="shared" si="38"/>
        <v>125887.533</v>
      </c>
      <c r="H268">
        <v>6902170</v>
      </c>
    </row>
    <row r="269" spans="1:8" ht="18" customHeight="1" x14ac:dyDescent="0.4">
      <c r="A269" s="16" t="s">
        <v>479</v>
      </c>
      <c r="B269" s="5" t="s">
        <v>58</v>
      </c>
      <c r="C269" s="6">
        <v>1985.9</v>
      </c>
      <c r="D269" s="72">
        <v>59</v>
      </c>
      <c r="E269" s="60">
        <f t="shared" si="36"/>
        <v>117168.1</v>
      </c>
      <c r="F269" s="60">
        <f t="shared" si="37"/>
        <v>8201.7670000000016</v>
      </c>
      <c r="G269" s="60">
        <f t="shared" si="38"/>
        <v>125369.86700000001</v>
      </c>
      <c r="H269">
        <v>6902287</v>
      </c>
    </row>
    <row r="270" spans="1:8" ht="18" customHeight="1" x14ac:dyDescent="0.4">
      <c r="A270" s="16" t="s">
        <v>467</v>
      </c>
      <c r="B270" s="5" t="s">
        <v>201</v>
      </c>
      <c r="C270" s="6">
        <v>490.4</v>
      </c>
      <c r="D270" s="72">
        <v>82</v>
      </c>
      <c r="E270" s="60">
        <f t="shared" si="36"/>
        <v>40212.799999999996</v>
      </c>
      <c r="F270" s="60">
        <f t="shared" si="37"/>
        <v>2814.8960000000002</v>
      </c>
      <c r="G270" s="60">
        <f t="shared" si="38"/>
        <v>43027.695999999996</v>
      </c>
      <c r="H270">
        <v>6902171</v>
      </c>
    </row>
    <row r="271" spans="1:8" s="30" customFormat="1" ht="18" customHeight="1" thickBot="1" x14ac:dyDescent="0.55000000000000004">
      <c r="A271" s="16"/>
      <c r="B271" s="73" t="s">
        <v>15</v>
      </c>
      <c r="C271" s="89">
        <f>SUM(C266:C270)</f>
        <v>7430.5</v>
      </c>
      <c r="D271" s="51"/>
      <c r="E271" s="89">
        <f>SUM(E266:E270)</f>
        <v>449678.7</v>
      </c>
      <c r="F271" s="89">
        <f>SUM(F266:F270)</f>
        <v>31477.509000000005</v>
      </c>
      <c r="G271" s="89">
        <f>SUM(G266:G270)</f>
        <v>481156.20900000003</v>
      </c>
    </row>
    <row r="272" spans="1:8" s="30" customFormat="1" ht="18" customHeight="1" thickTop="1" x14ac:dyDescent="0.5">
      <c r="A272" s="90"/>
      <c r="B272" s="91"/>
      <c r="C272" s="92"/>
      <c r="D272" s="93"/>
      <c r="E272" s="92"/>
      <c r="F272" s="92"/>
      <c r="G272" s="92"/>
    </row>
    <row r="273" spans="1:8" ht="24" thickTop="1" x14ac:dyDescent="0.3">
      <c r="A273" s="362" t="s">
        <v>59</v>
      </c>
      <c r="B273" s="362"/>
      <c r="C273" s="362"/>
      <c r="D273" s="362"/>
      <c r="E273" s="362"/>
      <c r="F273" s="362"/>
      <c r="G273" s="362"/>
    </row>
    <row r="274" spans="1:8" ht="18" customHeight="1" x14ac:dyDescent="0.3">
      <c r="A274" s="94" t="s">
        <v>2</v>
      </c>
      <c r="B274" s="95" t="s">
        <v>3</v>
      </c>
      <c r="C274" s="95" t="s">
        <v>4</v>
      </c>
      <c r="D274" s="3" t="s">
        <v>5</v>
      </c>
      <c r="E274" s="95" t="s">
        <v>6</v>
      </c>
      <c r="F274" s="95" t="s">
        <v>7</v>
      </c>
      <c r="G274" s="95" t="s">
        <v>8</v>
      </c>
    </row>
    <row r="275" spans="1:8" ht="18" customHeight="1" x14ac:dyDescent="0.4">
      <c r="A275" s="96" t="s">
        <v>467</v>
      </c>
      <c r="B275" s="5" t="s">
        <v>60</v>
      </c>
      <c r="C275" s="97">
        <v>1043.25</v>
      </c>
      <c r="D275" s="83">
        <v>77</v>
      </c>
      <c r="E275" s="60">
        <f>+C275*D275</f>
        <v>80330.25</v>
      </c>
      <c r="F275" s="60">
        <f>+E275*7%</f>
        <v>5623.1175000000003</v>
      </c>
      <c r="G275" s="60">
        <f>+E275+F275</f>
        <v>85953.367499999993</v>
      </c>
      <c r="H275">
        <v>6902166</v>
      </c>
    </row>
    <row r="276" spans="1:8" ht="18" customHeight="1" thickBot="1" x14ac:dyDescent="0.35">
      <c r="A276" s="98"/>
      <c r="B276" s="28" t="s">
        <v>15</v>
      </c>
      <c r="C276" s="99">
        <f>SUM(C275)</f>
        <v>1043.25</v>
      </c>
      <c r="D276" s="19"/>
      <c r="E276" s="100">
        <f>SUM(E275)</f>
        <v>80330.25</v>
      </c>
      <c r="F276" s="100">
        <f>SUM(F275)</f>
        <v>5623.1175000000003</v>
      </c>
      <c r="G276" s="100">
        <f>SUM(G275)</f>
        <v>85953.367499999993</v>
      </c>
    </row>
    <row r="277" spans="1:8" ht="13.5" customHeight="1" thickTop="1" x14ac:dyDescent="0.4">
      <c r="A277" s="101"/>
      <c r="B277" s="53"/>
      <c r="C277" s="102"/>
      <c r="D277" s="48"/>
      <c r="E277" s="103"/>
      <c r="F277" s="103"/>
      <c r="G277" s="103"/>
    </row>
    <row r="278" spans="1:8" ht="24" thickTop="1" x14ac:dyDescent="0.3">
      <c r="A278" s="359" t="s">
        <v>61</v>
      </c>
      <c r="B278" s="359"/>
      <c r="C278" s="359"/>
      <c r="D278" s="359"/>
      <c r="E278" s="359"/>
      <c r="F278" s="359"/>
      <c r="G278" s="359"/>
    </row>
    <row r="279" spans="1:8" ht="18" customHeight="1" x14ac:dyDescent="0.4">
      <c r="A279" s="57" t="s">
        <v>2</v>
      </c>
      <c r="B279" s="58" t="s">
        <v>3</v>
      </c>
      <c r="C279" s="2" t="s">
        <v>62</v>
      </c>
      <c r="D279" s="59" t="s">
        <v>5</v>
      </c>
      <c r="E279" s="58" t="s">
        <v>6</v>
      </c>
      <c r="F279" s="58" t="s">
        <v>7</v>
      </c>
      <c r="G279" s="58" t="s">
        <v>8</v>
      </c>
    </row>
    <row r="280" spans="1:8" ht="18" customHeight="1" x14ac:dyDescent="0.4">
      <c r="A280" s="16" t="s">
        <v>464</v>
      </c>
      <c r="B280" s="5" t="s">
        <v>63</v>
      </c>
      <c r="C280" s="6">
        <v>2000</v>
      </c>
      <c r="D280" s="72">
        <v>74</v>
      </c>
      <c r="E280" s="60">
        <f>+C280*D280</f>
        <v>148000</v>
      </c>
      <c r="F280" s="60">
        <f>+E280*7%</f>
        <v>10360.000000000002</v>
      </c>
      <c r="G280" s="60">
        <f>+E280+F280</f>
        <v>158360</v>
      </c>
      <c r="H280">
        <v>6902125</v>
      </c>
    </row>
    <row r="281" spans="1:8" ht="18" customHeight="1" thickBot="1" x14ac:dyDescent="0.35">
      <c r="A281" s="84"/>
      <c r="B281" s="17" t="s">
        <v>15</v>
      </c>
      <c r="C281" s="18">
        <f>SUM(C280:C280)</f>
        <v>2000</v>
      </c>
      <c r="D281" s="19"/>
      <c r="E281" s="18">
        <f>SUM(E280:E280)</f>
        <v>148000</v>
      </c>
      <c r="F281" s="18">
        <f>SUM(F280:F280)</f>
        <v>10360.000000000002</v>
      </c>
      <c r="G281" s="18">
        <f>SUM(G280:G280)</f>
        <v>158360</v>
      </c>
    </row>
    <row r="282" spans="1:8" ht="13.5" customHeight="1" thickTop="1" x14ac:dyDescent="0.3">
      <c r="A282" s="85"/>
      <c r="B282" s="68"/>
      <c r="C282" s="69"/>
      <c r="D282" s="70"/>
      <c r="E282" s="69"/>
      <c r="F282" s="69"/>
      <c r="G282" s="69"/>
    </row>
    <row r="283" spans="1:8" s="108" customFormat="1" ht="18" customHeight="1" thickBot="1" x14ac:dyDescent="0.45">
      <c r="A283" s="104"/>
      <c r="B283" s="105" t="s">
        <v>63</v>
      </c>
      <c r="C283" s="69">
        <f>C281</f>
        <v>2000</v>
      </c>
      <c r="D283" s="106">
        <v>1.1080000000000001</v>
      </c>
      <c r="E283" s="107">
        <f>+C283*D283</f>
        <v>2216</v>
      </c>
      <c r="G283" s="109"/>
    </row>
    <row r="284" spans="1:8" ht="14.25" customHeight="1" thickTop="1" x14ac:dyDescent="0.3">
      <c r="A284" s="85"/>
      <c r="B284" s="68"/>
      <c r="C284" s="69"/>
      <c r="D284" s="70"/>
      <c r="E284" s="69"/>
      <c r="F284" s="69"/>
      <c r="G284" s="69"/>
    </row>
    <row r="285" spans="1:8" s="30" customFormat="1" ht="24" thickTop="1" x14ac:dyDescent="0.5">
      <c r="A285" s="360" t="s">
        <v>64</v>
      </c>
      <c r="B285" s="360"/>
      <c r="C285" s="360"/>
      <c r="D285" s="360"/>
      <c r="E285" s="360"/>
      <c r="F285" s="360"/>
      <c r="G285" s="360"/>
    </row>
    <row r="286" spans="1:8" s="30" customFormat="1" ht="18" customHeight="1" x14ac:dyDescent="0.5">
      <c r="A286" s="114" t="s">
        <v>2</v>
      </c>
      <c r="B286" s="115" t="s">
        <v>3</v>
      </c>
      <c r="C286" s="95" t="s">
        <v>4</v>
      </c>
      <c r="D286" s="3" t="s">
        <v>5</v>
      </c>
      <c r="E286" s="115" t="s">
        <v>6</v>
      </c>
      <c r="F286" s="115" t="s">
        <v>7</v>
      </c>
      <c r="G286" s="115" t="s">
        <v>8</v>
      </c>
    </row>
    <row r="287" spans="1:8" s="30" customFormat="1" ht="18" customHeight="1" x14ac:dyDescent="0.5">
      <c r="A287" s="16" t="s">
        <v>470</v>
      </c>
      <c r="B287" s="5" t="s">
        <v>504</v>
      </c>
      <c r="C287" s="6">
        <v>233.5</v>
      </c>
      <c r="D287" s="7">
        <v>52</v>
      </c>
      <c r="E287" s="60">
        <f t="shared" ref="E287:E288" si="39">+C287*D287</f>
        <v>12142</v>
      </c>
      <c r="F287" s="60">
        <f t="shared" ref="F287:F288" si="40">+E287*7%</f>
        <v>849.94</v>
      </c>
      <c r="G287" s="60">
        <f t="shared" ref="G287:G288" si="41">+E287+F287</f>
        <v>12991.94</v>
      </c>
      <c r="H287" s="30">
        <v>6902237</v>
      </c>
    </row>
    <row r="288" spans="1:8" s="30" customFormat="1" ht="18" customHeight="1" x14ac:dyDescent="0.5">
      <c r="A288" s="16" t="s">
        <v>479</v>
      </c>
      <c r="B288" s="5" t="s">
        <v>505</v>
      </c>
      <c r="C288" s="6">
        <v>991.8</v>
      </c>
      <c r="D288" s="7">
        <v>52</v>
      </c>
      <c r="E288" s="60">
        <f t="shared" si="39"/>
        <v>51573.599999999999</v>
      </c>
      <c r="F288" s="60">
        <f t="shared" si="40"/>
        <v>3610.152</v>
      </c>
      <c r="G288" s="60">
        <f t="shared" si="41"/>
        <v>55183.752</v>
      </c>
      <c r="H288" s="30">
        <v>6902290</v>
      </c>
    </row>
    <row r="289" spans="1:8" ht="18" customHeight="1" thickBot="1" x14ac:dyDescent="0.35">
      <c r="A289" s="116"/>
      <c r="B289" s="17" t="s">
        <v>15</v>
      </c>
      <c r="C289" s="18">
        <f>SUM(C287:C288)</f>
        <v>1225.3</v>
      </c>
      <c r="D289" s="19"/>
      <c r="E289" s="62">
        <f>SUM(E287:E288)</f>
        <v>63715.6</v>
      </c>
      <c r="F289" s="62">
        <f t="shared" ref="F289:G289" si="42">SUM(F287:F288)</f>
        <v>4460.0920000000006</v>
      </c>
      <c r="G289" s="62">
        <f t="shared" si="42"/>
        <v>68175.691999999995</v>
      </c>
    </row>
    <row r="290" spans="1:8" s="30" customFormat="1" ht="15.75" customHeight="1" thickTop="1" x14ac:dyDescent="0.5">
      <c r="A290" s="110"/>
      <c r="B290" s="111"/>
      <c r="C290" s="112"/>
      <c r="D290" s="70"/>
      <c r="E290" s="113"/>
      <c r="F290" s="113"/>
      <c r="G290" s="113"/>
    </row>
    <row r="291" spans="1:8" s="30" customFormat="1" ht="15.75" customHeight="1" x14ac:dyDescent="0.5">
      <c r="A291" s="110"/>
      <c r="B291" s="111"/>
      <c r="C291" s="112"/>
      <c r="D291" s="70"/>
      <c r="E291" s="113"/>
      <c r="F291" s="113"/>
      <c r="G291" s="113"/>
    </row>
    <row r="292" spans="1:8" s="30" customFormat="1" ht="23.25" x14ac:dyDescent="0.5">
      <c r="A292" s="360" t="s">
        <v>64</v>
      </c>
      <c r="B292" s="360"/>
      <c r="C292" s="360"/>
      <c r="D292" s="360"/>
      <c r="E292" s="360"/>
      <c r="F292" s="360"/>
      <c r="G292" s="360"/>
    </row>
    <row r="293" spans="1:8" s="30" customFormat="1" ht="18" customHeight="1" x14ac:dyDescent="0.5">
      <c r="A293" s="114" t="s">
        <v>2</v>
      </c>
      <c r="B293" s="115" t="s">
        <v>3</v>
      </c>
      <c r="C293" s="95" t="s">
        <v>506</v>
      </c>
      <c r="D293" s="3" t="s">
        <v>5</v>
      </c>
      <c r="E293" s="115" t="s">
        <v>6</v>
      </c>
      <c r="F293" s="115" t="s">
        <v>7</v>
      </c>
      <c r="G293" s="115" t="s">
        <v>8</v>
      </c>
    </row>
    <row r="294" spans="1:8" s="30" customFormat="1" ht="18" customHeight="1" x14ac:dyDescent="0.5">
      <c r="A294" s="16" t="s">
        <v>477</v>
      </c>
      <c r="B294" s="5" t="s">
        <v>507</v>
      </c>
      <c r="C294" s="6">
        <v>4500</v>
      </c>
      <c r="D294" s="7">
        <v>1.04</v>
      </c>
      <c r="E294" s="60">
        <f t="shared" ref="E294:E295" si="43">+C294*D294</f>
        <v>4680</v>
      </c>
      <c r="F294" s="60">
        <f t="shared" ref="F294:F295" si="44">+E294*7%</f>
        <v>327.60000000000002</v>
      </c>
      <c r="G294" s="60">
        <f>+E294+F294</f>
        <v>5007.6000000000004</v>
      </c>
      <c r="H294" s="30">
        <v>6902153</v>
      </c>
    </row>
    <row r="295" spans="1:8" s="30" customFormat="1" ht="18" customHeight="1" x14ac:dyDescent="0.5">
      <c r="A295" s="16" t="s">
        <v>459</v>
      </c>
      <c r="B295" s="5" t="s">
        <v>507</v>
      </c>
      <c r="C295" s="6">
        <v>25500</v>
      </c>
      <c r="D295" s="7">
        <v>1.04</v>
      </c>
      <c r="E295" s="60">
        <f t="shared" si="43"/>
        <v>26520</v>
      </c>
      <c r="F295" s="60">
        <f t="shared" si="44"/>
        <v>1856.4</v>
      </c>
      <c r="G295" s="60">
        <f>+E295+F295</f>
        <v>28376.400000000001</v>
      </c>
      <c r="H295" s="30">
        <v>6902139</v>
      </c>
    </row>
    <row r="296" spans="1:8" ht="18" customHeight="1" thickBot="1" x14ac:dyDescent="0.35">
      <c r="A296" s="116"/>
      <c r="B296" s="17" t="s">
        <v>15</v>
      </c>
      <c r="C296" s="18">
        <f>SUM(C294:C295)</f>
        <v>30000</v>
      </c>
      <c r="D296" s="19"/>
      <c r="E296" s="62">
        <f>SUM(E294:E295)</f>
        <v>31200</v>
      </c>
      <c r="F296" s="62">
        <f t="shared" ref="F296:G296" si="45">SUM(F294:F295)</f>
        <v>2184</v>
      </c>
      <c r="G296" s="62">
        <f t="shared" si="45"/>
        <v>33384</v>
      </c>
    </row>
    <row r="297" spans="1:8" ht="18" customHeight="1" thickTop="1" x14ac:dyDescent="0.3">
      <c r="A297" s="311"/>
      <c r="B297" s="68"/>
      <c r="C297" s="69"/>
      <c r="D297" s="70"/>
      <c r="E297" s="71"/>
      <c r="F297" s="71"/>
      <c r="G297" s="71"/>
    </row>
    <row r="298" spans="1:8" s="30" customFormat="1" ht="24" thickTop="1" x14ac:dyDescent="0.5">
      <c r="A298" s="372" t="s">
        <v>64</v>
      </c>
      <c r="B298" s="372"/>
      <c r="C298" s="372"/>
      <c r="D298" s="372"/>
      <c r="E298" s="372"/>
      <c r="F298" s="372"/>
      <c r="G298" s="372"/>
    </row>
    <row r="299" spans="1:8" s="30" customFormat="1" ht="18" customHeight="1" x14ac:dyDescent="0.5">
      <c r="A299" s="117" t="s">
        <v>2</v>
      </c>
      <c r="B299" s="118" t="s">
        <v>3</v>
      </c>
      <c r="C299" s="28" t="s">
        <v>4</v>
      </c>
      <c r="D299" s="119"/>
      <c r="E299" s="312"/>
      <c r="F299" s="312"/>
      <c r="G299" s="312"/>
    </row>
    <row r="300" spans="1:8" s="30" customFormat="1" ht="18" customHeight="1" x14ac:dyDescent="0.5">
      <c r="A300" s="16" t="s">
        <v>477</v>
      </c>
      <c r="B300" s="5" t="s">
        <v>507</v>
      </c>
      <c r="C300" s="6">
        <v>80.05</v>
      </c>
      <c r="D300" s="93"/>
      <c r="E300" s="120"/>
      <c r="F300" s="120"/>
      <c r="G300" s="120"/>
      <c r="H300" s="30">
        <v>6902153</v>
      </c>
    </row>
    <row r="301" spans="1:8" s="30" customFormat="1" ht="18" customHeight="1" x14ac:dyDescent="0.5">
      <c r="A301" s="16" t="s">
        <v>459</v>
      </c>
      <c r="B301" s="5" t="s">
        <v>507</v>
      </c>
      <c r="C301" s="6">
        <v>464.9</v>
      </c>
      <c r="D301" s="93"/>
      <c r="E301" s="120"/>
      <c r="F301" s="120"/>
      <c r="G301" s="120"/>
      <c r="H301" s="30">
        <v>6902139</v>
      </c>
    </row>
    <row r="302" spans="1:8" ht="18" customHeight="1" thickBot="1" x14ac:dyDescent="0.35">
      <c r="A302" s="116"/>
      <c r="B302" s="17" t="s">
        <v>15</v>
      </c>
      <c r="C302" s="18">
        <f>SUM(C300:C301)</f>
        <v>544.94999999999993</v>
      </c>
      <c r="D302" s="70"/>
      <c r="E302" s="71"/>
      <c r="F302" s="71"/>
      <c r="G302" s="71"/>
    </row>
    <row r="303" spans="1:8" ht="18" customHeight="1" thickTop="1" x14ac:dyDescent="0.3">
      <c r="A303" s="311"/>
      <c r="B303" s="68"/>
      <c r="C303" s="69"/>
      <c r="D303" s="70"/>
      <c r="E303" s="71"/>
      <c r="F303" s="71"/>
      <c r="G303" s="71"/>
    </row>
    <row r="304" spans="1:8" ht="12" customHeight="1" x14ac:dyDescent="0.3">
      <c r="A304" s="121"/>
      <c r="B304" s="68"/>
      <c r="C304" s="69"/>
      <c r="D304" s="70"/>
      <c r="E304" s="70"/>
      <c r="F304" s="71"/>
      <c r="G304" s="71"/>
    </row>
    <row r="305" spans="1:8" s="30" customFormat="1" ht="23.25" x14ac:dyDescent="0.5">
      <c r="A305" s="360" t="s">
        <v>64</v>
      </c>
      <c r="B305" s="360"/>
      <c r="C305" s="360"/>
      <c r="D305" s="360"/>
      <c r="E305" s="360"/>
      <c r="F305" s="360"/>
      <c r="G305" s="360"/>
    </row>
    <row r="306" spans="1:8" s="30" customFormat="1" ht="18" customHeight="1" x14ac:dyDescent="0.5">
      <c r="A306" s="114" t="s">
        <v>2</v>
      </c>
      <c r="B306" s="115" t="s">
        <v>3</v>
      </c>
      <c r="C306" s="95" t="s">
        <v>65</v>
      </c>
      <c r="D306" s="3" t="s">
        <v>5</v>
      </c>
      <c r="E306" s="115" t="s">
        <v>6</v>
      </c>
      <c r="F306" s="115" t="s">
        <v>7</v>
      </c>
      <c r="G306" s="115" t="s">
        <v>8</v>
      </c>
    </row>
    <row r="307" spans="1:8" ht="18" customHeight="1" x14ac:dyDescent="0.4">
      <c r="A307" s="16" t="s">
        <v>459</v>
      </c>
      <c r="B307" s="5" t="s">
        <v>251</v>
      </c>
      <c r="C307" s="37">
        <v>30008</v>
      </c>
      <c r="D307" s="51">
        <v>1.1100000000000001</v>
      </c>
      <c r="E307" s="8">
        <f t="shared" ref="E307:E315" si="46">+C307*D307</f>
        <v>33308.880000000005</v>
      </c>
      <c r="F307" s="8">
        <f t="shared" ref="F307:F315" si="47">+E307*7%</f>
        <v>2331.6216000000004</v>
      </c>
      <c r="G307" s="122">
        <f t="shared" ref="G307:G315" si="48">SUM(E307:F307)</f>
        <v>35640.501600000003</v>
      </c>
      <c r="H307">
        <v>6902135</v>
      </c>
    </row>
    <row r="308" spans="1:8" ht="18" customHeight="1" x14ac:dyDescent="0.4">
      <c r="A308" s="16" t="s">
        <v>459</v>
      </c>
      <c r="B308" s="5" t="s">
        <v>180</v>
      </c>
      <c r="C308" s="37">
        <v>30008</v>
      </c>
      <c r="D308" s="51">
        <v>1.1100000000000001</v>
      </c>
      <c r="E308" s="8">
        <f t="shared" si="46"/>
        <v>33308.880000000005</v>
      </c>
      <c r="F308" s="8">
        <f t="shared" si="47"/>
        <v>2331.6216000000004</v>
      </c>
      <c r="G308" s="122">
        <f t="shared" si="48"/>
        <v>35640.501600000003</v>
      </c>
      <c r="H308">
        <v>6902137</v>
      </c>
    </row>
    <row r="309" spans="1:8" ht="18" customHeight="1" x14ac:dyDescent="0.4">
      <c r="A309" s="16" t="s">
        <v>459</v>
      </c>
      <c r="B309" s="5" t="s">
        <v>508</v>
      </c>
      <c r="C309" s="37">
        <v>5456</v>
      </c>
      <c r="D309" s="51">
        <v>1.1100000000000001</v>
      </c>
      <c r="E309" s="8">
        <f t="shared" si="46"/>
        <v>6056.1600000000008</v>
      </c>
      <c r="F309" s="8">
        <f t="shared" si="47"/>
        <v>423.9312000000001</v>
      </c>
      <c r="G309" s="122">
        <f t="shared" si="48"/>
        <v>6480.0912000000008</v>
      </c>
      <c r="H309">
        <v>6902136</v>
      </c>
    </row>
    <row r="310" spans="1:8" ht="18" customHeight="1" x14ac:dyDescent="0.4">
      <c r="A310" s="16" t="s">
        <v>459</v>
      </c>
      <c r="B310" s="5" t="s">
        <v>508</v>
      </c>
      <c r="C310" s="37">
        <v>32736</v>
      </c>
      <c r="D310" s="51">
        <v>1.1100000000000001</v>
      </c>
      <c r="E310" s="8">
        <f t="shared" si="46"/>
        <v>36336.960000000006</v>
      </c>
      <c r="F310" s="8">
        <f t="shared" si="47"/>
        <v>2543.5872000000008</v>
      </c>
      <c r="G310" s="122">
        <f t="shared" si="48"/>
        <v>38880.547200000008</v>
      </c>
      <c r="H310">
        <v>6902135</v>
      </c>
    </row>
    <row r="311" spans="1:8" ht="18" customHeight="1" x14ac:dyDescent="0.4">
      <c r="A311" s="16" t="s">
        <v>467</v>
      </c>
      <c r="B311" s="5" t="s">
        <v>509</v>
      </c>
      <c r="C311" s="37">
        <v>32106</v>
      </c>
      <c r="D311" s="51">
        <v>1.1100000000000001</v>
      </c>
      <c r="E311" s="8">
        <f t="shared" si="46"/>
        <v>35637.660000000003</v>
      </c>
      <c r="F311" s="8">
        <f t="shared" si="47"/>
        <v>2494.6362000000004</v>
      </c>
      <c r="G311" s="122">
        <f t="shared" si="48"/>
        <v>38132.296200000004</v>
      </c>
      <c r="H311">
        <v>6902172</v>
      </c>
    </row>
    <row r="312" spans="1:8" ht="18" customHeight="1" x14ac:dyDescent="0.4">
      <c r="A312" s="16" t="s">
        <v>478</v>
      </c>
      <c r="B312" s="5" t="s">
        <v>510</v>
      </c>
      <c r="C312" s="37">
        <v>15522</v>
      </c>
      <c r="D312" s="51">
        <v>1.26</v>
      </c>
      <c r="E312" s="8">
        <f t="shared" si="46"/>
        <v>19557.72</v>
      </c>
      <c r="F312" s="8">
        <f t="shared" si="47"/>
        <v>1369.0404000000003</v>
      </c>
      <c r="G312" s="122">
        <f t="shared" si="48"/>
        <v>20926.760400000003</v>
      </c>
      <c r="H312">
        <v>6902041</v>
      </c>
    </row>
    <row r="313" spans="1:8" ht="18" customHeight="1" x14ac:dyDescent="0.4">
      <c r="A313" s="16" t="s">
        <v>477</v>
      </c>
      <c r="B313" s="5" t="s">
        <v>66</v>
      </c>
      <c r="C313" s="37">
        <v>107150</v>
      </c>
      <c r="D313" s="51">
        <v>1.38</v>
      </c>
      <c r="E313" s="8">
        <f t="shared" si="46"/>
        <v>147867</v>
      </c>
      <c r="F313" s="8">
        <f t="shared" si="47"/>
        <v>10350.69</v>
      </c>
      <c r="G313" s="122">
        <f t="shared" si="48"/>
        <v>158217.69</v>
      </c>
      <c r="H313">
        <v>6902152</v>
      </c>
    </row>
    <row r="314" spans="1:8" ht="18" customHeight="1" x14ac:dyDescent="0.4">
      <c r="A314" s="16" t="s">
        <v>459</v>
      </c>
      <c r="B314" s="5" t="s">
        <v>66</v>
      </c>
      <c r="C314" s="37">
        <v>107150</v>
      </c>
      <c r="D314" s="51">
        <v>1.38</v>
      </c>
      <c r="E314" s="8">
        <f t="shared" si="46"/>
        <v>147867</v>
      </c>
      <c r="F314" s="8">
        <f t="shared" si="47"/>
        <v>10350.69</v>
      </c>
      <c r="G314" s="122">
        <f t="shared" si="48"/>
        <v>158217.69</v>
      </c>
      <c r="H314">
        <v>6902138</v>
      </c>
    </row>
    <row r="315" spans="1:8" ht="18" customHeight="1" x14ac:dyDescent="0.4">
      <c r="A315" s="16" t="s">
        <v>458</v>
      </c>
      <c r="B315" s="5" t="s">
        <v>66</v>
      </c>
      <c r="C315" s="37">
        <v>107150</v>
      </c>
      <c r="D315" s="51">
        <v>1.38</v>
      </c>
      <c r="E315" s="8">
        <f t="shared" si="46"/>
        <v>147867</v>
      </c>
      <c r="F315" s="8">
        <f t="shared" si="47"/>
        <v>10350.69</v>
      </c>
      <c r="G315" s="122">
        <f t="shared" si="48"/>
        <v>158217.69</v>
      </c>
      <c r="H315">
        <v>6902316</v>
      </c>
    </row>
    <row r="316" spans="1:8" ht="18" customHeight="1" thickBot="1" x14ac:dyDescent="0.35">
      <c r="A316" s="116"/>
      <c r="B316" s="17" t="s">
        <v>15</v>
      </c>
      <c r="C316" s="18">
        <f>SUM(C307:C315)</f>
        <v>467286</v>
      </c>
      <c r="D316" s="19"/>
      <c r="E316" s="62">
        <f>SUM(E307:E315)</f>
        <v>607807.26</v>
      </c>
      <c r="F316" s="62">
        <f t="shared" ref="F316:G316" si="49">SUM(F307:F315)</f>
        <v>42546.508200000004</v>
      </c>
      <c r="G316" s="62">
        <f t="shared" si="49"/>
        <v>650353.76820000005</v>
      </c>
    </row>
    <row r="317" spans="1:8" ht="15.75" customHeight="1" thickTop="1" x14ac:dyDescent="0.3">
      <c r="A317" s="121"/>
      <c r="B317" s="68"/>
      <c r="C317" s="69"/>
      <c r="D317" s="70"/>
      <c r="E317" s="70"/>
      <c r="F317" s="71"/>
      <c r="G317" s="71"/>
    </row>
    <row r="318" spans="1:8" s="30" customFormat="1" ht="18" customHeight="1" x14ac:dyDescent="0.5">
      <c r="A318" s="117"/>
      <c r="B318" s="118" t="s">
        <v>3</v>
      </c>
      <c r="C318" s="73" t="s">
        <v>4</v>
      </c>
      <c r="F318"/>
      <c r="G318"/>
    </row>
    <row r="319" spans="1:8" ht="18" customHeight="1" x14ac:dyDescent="0.4">
      <c r="A319" s="16" t="s">
        <v>459</v>
      </c>
      <c r="B319" s="5" t="s">
        <v>251</v>
      </c>
      <c r="C319" s="37">
        <v>435.3</v>
      </c>
      <c r="D319" s="93"/>
      <c r="E319" s="120"/>
      <c r="F319" s="120"/>
      <c r="G319" s="123"/>
      <c r="H319">
        <v>6902135</v>
      </c>
    </row>
    <row r="320" spans="1:8" ht="18" customHeight="1" x14ac:dyDescent="0.4">
      <c r="A320" s="16" t="s">
        <v>459</v>
      </c>
      <c r="B320" s="5" t="s">
        <v>180</v>
      </c>
      <c r="C320" s="37">
        <v>399.1</v>
      </c>
      <c r="D320" s="93"/>
      <c r="E320" s="120"/>
      <c r="F320" s="120"/>
      <c r="G320" s="123"/>
      <c r="H320">
        <v>6902137</v>
      </c>
    </row>
    <row r="321" spans="1:8" ht="18" customHeight="1" x14ac:dyDescent="0.4">
      <c r="A321" s="16" t="s">
        <v>459</v>
      </c>
      <c r="B321" s="5" t="s">
        <v>508</v>
      </c>
      <c r="C321" s="37">
        <v>81.55</v>
      </c>
      <c r="D321" s="93"/>
      <c r="E321" s="120"/>
      <c r="F321" s="120"/>
      <c r="G321" s="123"/>
      <c r="H321">
        <v>6902136</v>
      </c>
    </row>
    <row r="322" spans="1:8" ht="18" customHeight="1" x14ac:dyDescent="0.4">
      <c r="A322" s="16" t="s">
        <v>459</v>
      </c>
      <c r="B322" s="5" t="s">
        <v>508</v>
      </c>
      <c r="C322" s="37">
        <v>467.05</v>
      </c>
      <c r="D322" s="93"/>
      <c r="E322" s="120"/>
      <c r="F322" s="120"/>
      <c r="G322" s="123"/>
      <c r="H322">
        <v>6902135</v>
      </c>
    </row>
    <row r="323" spans="1:8" ht="18" customHeight="1" x14ac:dyDescent="0.4">
      <c r="A323" s="16" t="s">
        <v>467</v>
      </c>
      <c r="B323" s="5" t="s">
        <v>509</v>
      </c>
      <c r="C323" s="37">
        <v>465.65</v>
      </c>
      <c r="D323" s="93"/>
      <c r="E323" s="120"/>
      <c r="F323" s="120"/>
      <c r="G323" s="123"/>
      <c r="H323">
        <v>6902172</v>
      </c>
    </row>
    <row r="324" spans="1:8" ht="18" customHeight="1" x14ac:dyDescent="0.4">
      <c r="A324" s="16" t="s">
        <v>478</v>
      </c>
      <c r="B324" s="5" t="s">
        <v>510</v>
      </c>
      <c r="C324" s="37">
        <v>242.4</v>
      </c>
      <c r="D324" s="93"/>
      <c r="E324" s="120"/>
      <c r="F324" s="120"/>
      <c r="G324" s="123"/>
      <c r="H324">
        <v>6902041</v>
      </c>
    </row>
    <row r="325" spans="1:8" ht="18" customHeight="1" x14ac:dyDescent="0.4">
      <c r="A325" s="16" t="s">
        <v>477</v>
      </c>
      <c r="B325" s="5" t="s">
        <v>66</v>
      </c>
      <c r="C325" s="37">
        <v>1966.15</v>
      </c>
      <c r="D325" s="93"/>
      <c r="E325" s="120"/>
      <c r="F325" s="120"/>
      <c r="G325" s="123"/>
      <c r="H325">
        <v>6902152</v>
      </c>
    </row>
    <row r="326" spans="1:8" ht="18" customHeight="1" x14ac:dyDescent="0.4">
      <c r="A326" s="16" t="s">
        <v>459</v>
      </c>
      <c r="B326" s="5" t="s">
        <v>66</v>
      </c>
      <c r="C326" s="37">
        <v>1942.05</v>
      </c>
      <c r="D326" s="93"/>
      <c r="E326" s="120"/>
      <c r="F326" s="120"/>
      <c r="G326" s="123"/>
      <c r="H326">
        <v>6902138</v>
      </c>
    </row>
    <row r="327" spans="1:8" ht="18" customHeight="1" x14ac:dyDescent="0.4">
      <c r="A327" s="16" t="s">
        <v>458</v>
      </c>
      <c r="B327" s="5" t="s">
        <v>66</v>
      </c>
      <c r="C327" s="37">
        <v>1993.4</v>
      </c>
      <c r="D327" s="93"/>
      <c r="E327" s="120"/>
      <c r="F327" s="120"/>
      <c r="G327" s="123"/>
      <c r="H327">
        <v>6902316</v>
      </c>
    </row>
    <row r="328" spans="1:8" ht="18" customHeight="1" thickBot="1" x14ac:dyDescent="0.35">
      <c r="A328" s="116"/>
      <c r="B328" s="17" t="s">
        <v>15</v>
      </c>
      <c r="C328" s="124">
        <f>SUM(C319:C327)</f>
        <v>7992.65</v>
      </c>
    </row>
    <row r="329" spans="1:8" ht="18" customHeight="1" thickTop="1" x14ac:dyDescent="0.3">
      <c r="A329" s="121"/>
      <c r="B329" s="68"/>
      <c r="C329" s="125"/>
    </row>
    <row r="330" spans="1:8" ht="24" thickTop="1" x14ac:dyDescent="0.3">
      <c r="A330" s="359" t="s">
        <v>67</v>
      </c>
      <c r="B330" s="359"/>
      <c r="C330" s="359"/>
      <c r="D330" s="359"/>
      <c r="E330" s="359"/>
      <c r="F330" s="359"/>
      <c r="G330" s="359"/>
    </row>
    <row r="331" spans="1:8" ht="18" customHeight="1" x14ac:dyDescent="0.4">
      <c r="A331" s="57" t="s">
        <v>2</v>
      </c>
      <c r="B331" s="58" t="s">
        <v>3</v>
      </c>
      <c r="C331" s="58" t="s">
        <v>4</v>
      </c>
      <c r="D331" s="59" t="s">
        <v>5</v>
      </c>
      <c r="E331" s="58" t="s">
        <v>6</v>
      </c>
      <c r="F331" s="58" t="s">
        <v>7</v>
      </c>
      <c r="G331" s="58" t="s">
        <v>8</v>
      </c>
    </row>
    <row r="332" spans="1:8" ht="18" customHeight="1" x14ac:dyDescent="0.4">
      <c r="A332" s="16" t="s">
        <v>461</v>
      </c>
      <c r="B332" s="5" t="s">
        <v>68</v>
      </c>
      <c r="C332" s="86">
        <v>212.45</v>
      </c>
      <c r="D332" s="87">
        <v>75</v>
      </c>
      <c r="E332" s="8">
        <f t="shared" ref="E332:E362" si="50">+C332*D332</f>
        <v>15933.75</v>
      </c>
      <c r="F332" s="8">
        <f t="shared" ref="F332:F362" si="51">+E332*7%</f>
        <v>1115.3625000000002</v>
      </c>
      <c r="G332" s="8">
        <f t="shared" ref="G332:G362" si="52">+E332+F332</f>
        <v>17049.112499999999</v>
      </c>
      <c r="H332">
        <v>6902025</v>
      </c>
    </row>
    <row r="333" spans="1:8" ht="18" customHeight="1" x14ac:dyDescent="0.4">
      <c r="A333" s="16" t="s">
        <v>464</v>
      </c>
      <c r="B333" s="5" t="s">
        <v>68</v>
      </c>
      <c r="C333" s="86">
        <v>432.3</v>
      </c>
      <c r="D333" s="38">
        <v>75</v>
      </c>
      <c r="E333" s="8">
        <f>+C333*D333</f>
        <v>32422.5</v>
      </c>
      <c r="F333" s="8">
        <f>+E333*7%</f>
        <v>2269.5750000000003</v>
      </c>
      <c r="G333" s="8">
        <f>+E333+F333</f>
        <v>34692.074999999997</v>
      </c>
      <c r="H333">
        <v>6902112</v>
      </c>
    </row>
    <row r="334" spans="1:8" ht="18" customHeight="1" x14ac:dyDescent="0.4">
      <c r="A334" s="16" t="s">
        <v>464</v>
      </c>
      <c r="B334" s="5" t="s">
        <v>68</v>
      </c>
      <c r="C334" s="86">
        <v>83.95</v>
      </c>
      <c r="D334" s="87">
        <v>75</v>
      </c>
      <c r="E334" s="8">
        <f t="shared" si="50"/>
        <v>6296.25</v>
      </c>
      <c r="F334" s="8">
        <f t="shared" si="51"/>
        <v>440.73750000000007</v>
      </c>
      <c r="G334" s="8">
        <f t="shared" si="52"/>
        <v>6736.9875000000002</v>
      </c>
      <c r="H334">
        <v>6902111</v>
      </c>
    </row>
    <row r="335" spans="1:8" ht="18" customHeight="1" x14ac:dyDescent="0.4">
      <c r="A335" s="16" t="s">
        <v>467</v>
      </c>
      <c r="B335" s="5" t="s">
        <v>68</v>
      </c>
      <c r="C335" s="86">
        <v>522.6</v>
      </c>
      <c r="D335" s="87">
        <v>75</v>
      </c>
      <c r="E335" s="8">
        <f t="shared" si="50"/>
        <v>39195</v>
      </c>
      <c r="F335" s="8">
        <f t="shared" si="51"/>
        <v>2743.65</v>
      </c>
      <c r="G335" s="8">
        <f t="shared" si="52"/>
        <v>41938.65</v>
      </c>
      <c r="H335">
        <v>6902174</v>
      </c>
    </row>
    <row r="336" spans="1:8" ht="18" customHeight="1" x14ac:dyDescent="0.4">
      <c r="A336" s="16" t="s">
        <v>467</v>
      </c>
      <c r="B336" s="5" t="s">
        <v>68</v>
      </c>
      <c r="C336" s="86">
        <v>522.79999999999995</v>
      </c>
      <c r="D336" s="87">
        <v>75</v>
      </c>
      <c r="E336" s="8">
        <f t="shared" si="50"/>
        <v>39210</v>
      </c>
      <c r="F336" s="8">
        <f t="shared" si="51"/>
        <v>2744.7000000000003</v>
      </c>
      <c r="G336" s="8">
        <f t="shared" si="52"/>
        <v>41954.7</v>
      </c>
      <c r="H336">
        <v>6902243</v>
      </c>
    </row>
    <row r="337" spans="1:8" ht="18" customHeight="1" x14ac:dyDescent="0.4">
      <c r="A337" s="16" t="s">
        <v>464</v>
      </c>
      <c r="B337" s="5" t="s">
        <v>69</v>
      </c>
      <c r="C337" s="86">
        <v>282.45</v>
      </c>
      <c r="D337" s="87">
        <v>75</v>
      </c>
      <c r="E337" s="8">
        <f t="shared" si="50"/>
        <v>21183.75</v>
      </c>
      <c r="F337" s="8">
        <f t="shared" si="51"/>
        <v>1482.8625000000002</v>
      </c>
      <c r="G337" s="8">
        <f t="shared" si="52"/>
        <v>22666.612499999999</v>
      </c>
      <c r="H337">
        <v>6902116</v>
      </c>
    </row>
    <row r="338" spans="1:8" ht="18" customHeight="1" x14ac:dyDescent="0.4">
      <c r="A338" s="16" t="s">
        <v>464</v>
      </c>
      <c r="B338" s="5" t="s">
        <v>69</v>
      </c>
      <c r="C338" s="86">
        <v>18.5</v>
      </c>
      <c r="D338" s="87">
        <v>75</v>
      </c>
      <c r="E338" s="8">
        <f t="shared" si="50"/>
        <v>1387.5</v>
      </c>
      <c r="F338" s="8">
        <f t="shared" si="51"/>
        <v>97.125000000000014</v>
      </c>
      <c r="G338" s="8">
        <f t="shared" si="52"/>
        <v>1484.625</v>
      </c>
      <c r="H338">
        <v>6902115</v>
      </c>
    </row>
    <row r="339" spans="1:8" ht="18" customHeight="1" x14ac:dyDescent="0.4">
      <c r="A339" s="16" t="s">
        <v>472</v>
      </c>
      <c r="B339" s="5" t="s">
        <v>69</v>
      </c>
      <c r="C339" s="86">
        <v>103.75</v>
      </c>
      <c r="D339" s="87">
        <v>75</v>
      </c>
      <c r="E339" s="8">
        <f t="shared" si="50"/>
        <v>7781.25</v>
      </c>
      <c r="F339" s="8">
        <f t="shared" si="51"/>
        <v>544.6875</v>
      </c>
      <c r="G339" s="8">
        <f t="shared" si="52"/>
        <v>8325.9375</v>
      </c>
      <c r="H339">
        <v>6902245</v>
      </c>
    </row>
    <row r="340" spans="1:8" ht="18" customHeight="1" x14ac:dyDescent="0.4">
      <c r="A340" s="16" t="s">
        <v>461</v>
      </c>
      <c r="B340" s="5" t="s">
        <v>70</v>
      </c>
      <c r="C340" s="86">
        <v>91.35</v>
      </c>
      <c r="D340" s="87">
        <v>78</v>
      </c>
      <c r="E340" s="8">
        <f t="shared" si="50"/>
        <v>7125.2999999999993</v>
      </c>
      <c r="F340" s="8">
        <f t="shared" si="51"/>
        <v>498.77100000000002</v>
      </c>
      <c r="G340" s="8">
        <f t="shared" si="52"/>
        <v>7624.070999999999</v>
      </c>
      <c r="H340">
        <v>6902026</v>
      </c>
    </row>
    <row r="341" spans="1:8" ht="18" customHeight="1" x14ac:dyDescent="0.4">
      <c r="A341" s="16" t="s">
        <v>478</v>
      </c>
      <c r="B341" s="5" t="s">
        <v>70</v>
      </c>
      <c r="C341" s="86">
        <v>308.45</v>
      </c>
      <c r="D341" s="87">
        <v>75</v>
      </c>
      <c r="E341" s="8">
        <f t="shared" si="50"/>
        <v>23133.75</v>
      </c>
      <c r="F341" s="8">
        <f t="shared" si="51"/>
        <v>1619.3625000000002</v>
      </c>
      <c r="G341" s="8">
        <f t="shared" si="52"/>
        <v>24753.112499999999</v>
      </c>
      <c r="H341">
        <v>6902042</v>
      </c>
    </row>
    <row r="342" spans="1:8" ht="18" customHeight="1" x14ac:dyDescent="0.4">
      <c r="A342" s="16" t="s">
        <v>464</v>
      </c>
      <c r="B342" s="5" t="s">
        <v>70</v>
      </c>
      <c r="C342" s="86">
        <v>191.7</v>
      </c>
      <c r="D342" s="87">
        <v>78</v>
      </c>
      <c r="E342" s="8">
        <f t="shared" si="50"/>
        <v>14952.599999999999</v>
      </c>
      <c r="F342" s="8">
        <f t="shared" si="51"/>
        <v>1046.682</v>
      </c>
      <c r="G342" s="8">
        <f t="shared" si="52"/>
        <v>15999.281999999999</v>
      </c>
      <c r="H342">
        <v>6902113</v>
      </c>
    </row>
    <row r="343" spans="1:8" ht="18" customHeight="1" x14ac:dyDescent="0.4">
      <c r="A343" s="16" t="s">
        <v>467</v>
      </c>
      <c r="B343" s="5" t="s">
        <v>70</v>
      </c>
      <c r="C343" s="86">
        <v>340.65</v>
      </c>
      <c r="D343" s="87">
        <v>75</v>
      </c>
      <c r="E343" s="8">
        <f t="shared" si="50"/>
        <v>25548.75</v>
      </c>
      <c r="F343" s="8">
        <f t="shared" si="51"/>
        <v>1788.4125000000001</v>
      </c>
      <c r="G343" s="8">
        <f t="shared" si="52"/>
        <v>27337.162499999999</v>
      </c>
      <c r="H343">
        <v>6902178</v>
      </c>
    </row>
    <row r="344" spans="1:8" ht="18" customHeight="1" x14ac:dyDescent="0.4">
      <c r="A344" s="16" t="s">
        <v>467</v>
      </c>
      <c r="B344" s="5" t="s">
        <v>70</v>
      </c>
      <c r="C344" s="86">
        <v>70.8</v>
      </c>
      <c r="D344" s="87">
        <v>75</v>
      </c>
      <c r="E344" s="8">
        <f t="shared" si="50"/>
        <v>5310</v>
      </c>
      <c r="F344" s="8">
        <f t="shared" si="51"/>
        <v>371.70000000000005</v>
      </c>
      <c r="G344" s="8">
        <f t="shared" si="52"/>
        <v>5681.7</v>
      </c>
      <c r="H344">
        <v>6902177</v>
      </c>
    </row>
    <row r="345" spans="1:8" ht="18" customHeight="1" x14ac:dyDescent="0.4">
      <c r="A345" s="16" t="s">
        <v>467</v>
      </c>
      <c r="B345" s="5" t="s">
        <v>70</v>
      </c>
      <c r="C345" s="86">
        <v>199</v>
      </c>
      <c r="D345" s="87">
        <v>78</v>
      </c>
      <c r="E345" s="8">
        <f t="shared" si="50"/>
        <v>15522</v>
      </c>
      <c r="F345" s="8">
        <f t="shared" si="51"/>
        <v>1086.5400000000002</v>
      </c>
      <c r="G345" s="8">
        <f t="shared" si="52"/>
        <v>16608.54</v>
      </c>
      <c r="H345">
        <v>6902175</v>
      </c>
    </row>
    <row r="346" spans="1:8" ht="18" customHeight="1" x14ac:dyDescent="0.4">
      <c r="A346" s="16" t="s">
        <v>472</v>
      </c>
      <c r="B346" s="5" t="s">
        <v>70</v>
      </c>
      <c r="C346" s="86">
        <v>103.5</v>
      </c>
      <c r="D346" s="87">
        <v>75</v>
      </c>
      <c r="E346" s="8">
        <f t="shared" si="50"/>
        <v>7762.5</v>
      </c>
      <c r="F346" s="8">
        <f t="shared" si="51"/>
        <v>543.375</v>
      </c>
      <c r="G346" s="8">
        <f>+E346+F346</f>
        <v>8305.875</v>
      </c>
      <c r="H346">
        <v>6902244</v>
      </c>
    </row>
    <row r="347" spans="1:8" ht="18" customHeight="1" x14ac:dyDescent="0.4">
      <c r="A347" s="16" t="s">
        <v>461</v>
      </c>
      <c r="B347" s="5" t="s">
        <v>71</v>
      </c>
      <c r="C347" s="86">
        <v>46.55</v>
      </c>
      <c r="D347" s="87">
        <v>75</v>
      </c>
      <c r="E347" s="8">
        <f t="shared" si="50"/>
        <v>3491.25</v>
      </c>
      <c r="F347" s="8">
        <f t="shared" si="51"/>
        <v>244.38750000000002</v>
      </c>
      <c r="G347" s="8">
        <f t="shared" si="52"/>
        <v>3735.6374999999998</v>
      </c>
      <c r="H347">
        <v>6902024</v>
      </c>
    </row>
    <row r="348" spans="1:8" ht="18" customHeight="1" x14ac:dyDescent="0.4">
      <c r="A348" s="16" t="s">
        <v>464</v>
      </c>
      <c r="B348" s="5" t="s">
        <v>71</v>
      </c>
      <c r="C348" s="86">
        <v>1041.5</v>
      </c>
      <c r="D348" s="87">
        <v>74</v>
      </c>
      <c r="E348" s="8">
        <f t="shared" si="50"/>
        <v>77071</v>
      </c>
      <c r="F348" s="8">
        <f t="shared" si="51"/>
        <v>5394.97</v>
      </c>
      <c r="G348" s="8">
        <f t="shared" si="52"/>
        <v>82465.97</v>
      </c>
      <c r="H348">
        <v>6902114</v>
      </c>
    </row>
    <row r="349" spans="1:8" ht="18" customHeight="1" x14ac:dyDescent="0.4">
      <c r="A349" s="16" t="s">
        <v>467</v>
      </c>
      <c r="B349" s="5" t="s">
        <v>71</v>
      </c>
      <c r="C349" s="86">
        <v>47.95</v>
      </c>
      <c r="D349" s="87">
        <v>75</v>
      </c>
      <c r="E349" s="8">
        <f t="shared" si="50"/>
        <v>3596.25</v>
      </c>
      <c r="F349" s="8">
        <f t="shared" si="51"/>
        <v>251.73750000000001</v>
      </c>
      <c r="G349" s="8">
        <f t="shared" si="52"/>
        <v>3847.9875000000002</v>
      </c>
      <c r="H349">
        <v>6902173</v>
      </c>
    </row>
    <row r="350" spans="1:8" ht="18" customHeight="1" x14ac:dyDescent="0.4">
      <c r="A350" s="16" t="s">
        <v>472</v>
      </c>
      <c r="B350" s="5" t="s">
        <v>71</v>
      </c>
      <c r="C350" s="86">
        <v>56.55</v>
      </c>
      <c r="D350" s="87">
        <v>74</v>
      </c>
      <c r="E350" s="8">
        <f t="shared" si="50"/>
        <v>4184.7</v>
      </c>
      <c r="F350" s="8">
        <f t="shared" si="51"/>
        <v>292.92900000000003</v>
      </c>
      <c r="G350" s="8">
        <f t="shared" si="52"/>
        <v>4477.6289999999999</v>
      </c>
      <c r="H350">
        <v>6902247</v>
      </c>
    </row>
    <row r="351" spans="1:8" ht="18" customHeight="1" x14ac:dyDescent="0.4">
      <c r="A351" s="16" t="s">
        <v>472</v>
      </c>
      <c r="B351" s="5" t="s">
        <v>71</v>
      </c>
      <c r="C351" s="86">
        <v>47.65</v>
      </c>
      <c r="D351" s="87">
        <v>75</v>
      </c>
      <c r="E351" s="8">
        <f t="shared" si="50"/>
        <v>3573.75</v>
      </c>
      <c r="F351" s="8">
        <f t="shared" si="51"/>
        <v>250.16250000000002</v>
      </c>
      <c r="G351" s="8">
        <f t="shared" si="52"/>
        <v>3823.9124999999999</v>
      </c>
      <c r="H351">
        <v>6902246</v>
      </c>
    </row>
    <row r="352" spans="1:8" ht="18" customHeight="1" x14ac:dyDescent="0.4">
      <c r="A352" s="16" t="s">
        <v>461</v>
      </c>
      <c r="B352" s="5" t="s">
        <v>72</v>
      </c>
      <c r="C352" s="86">
        <v>106.7</v>
      </c>
      <c r="D352" s="87">
        <v>75</v>
      </c>
      <c r="E352" s="8">
        <f t="shared" si="50"/>
        <v>8002.5</v>
      </c>
      <c r="F352" s="8">
        <f t="shared" si="51"/>
        <v>560.17500000000007</v>
      </c>
      <c r="G352" s="8">
        <f t="shared" si="52"/>
        <v>8562.6749999999993</v>
      </c>
      <c r="H352">
        <v>6902027</v>
      </c>
    </row>
    <row r="353" spans="1:8" ht="18" customHeight="1" x14ac:dyDescent="0.4">
      <c r="A353" s="16" t="s">
        <v>467</v>
      </c>
      <c r="B353" s="5" t="s">
        <v>72</v>
      </c>
      <c r="C353" s="86">
        <v>45.55</v>
      </c>
      <c r="D353" s="87">
        <v>75</v>
      </c>
      <c r="E353" s="8">
        <f t="shared" si="50"/>
        <v>3416.25</v>
      </c>
      <c r="F353" s="8">
        <f t="shared" si="51"/>
        <v>239.13750000000002</v>
      </c>
      <c r="G353" s="8">
        <f t="shared" si="52"/>
        <v>3655.3874999999998</v>
      </c>
      <c r="H353">
        <v>6902176</v>
      </c>
    </row>
    <row r="354" spans="1:8" ht="18" customHeight="1" x14ac:dyDescent="0.4">
      <c r="A354" s="16" t="s">
        <v>478</v>
      </c>
      <c r="B354" s="5" t="s">
        <v>73</v>
      </c>
      <c r="C354" s="86">
        <v>351.15</v>
      </c>
      <c r="D354" s="87">
        <v>75</v>
      </c>
      <c r="E354" s="8">
        <f t="shared" si="50"/>
        <v>26336.25</v>
      </c>
      <c r="F354" s="8">
        <f t="shared" si="51"/>
        <v>1843.5375000000001</v>
      </c>
      <c r="G354" s="8">
        <f t="shared" si="52"/>
        <v>28179.787499999999</v>
      </c>
      <c r="H354">
        <v>6902044</v>
      </c>
    </row>
    <row r="355" spans="1:8" ht="18" customHeight="1" x14ac:dyDescent="0.4">
      <c r="A355" s="16" t="s">
        <v>478</v>
      </c>
      <c r="B355" s="5" t="s">
        <v>73</v>
      </c>
      <c r="C355" s="86">
        <v>683.4</v>
      </c>
      <c r="D355" s="87">
        <v>75</v>
      </c>
      <c r="E355" s="8">
        <f t="shared" si="50"/>
        <v>51255</v>
      </c>
      <c r="F355" s="8">
        <f t="shared" si="51"/>
        <v>3587.8500000000004</v>
      </c>
      <c r="G355" s="8">
        <f t="shared" si="52"/>
        <v>54842.85</v>
      </c>
      <c r="H355">
        <v>6902043</v>
      </c>
    </row>
    <row r="356" spans="1:8" ht="18" customHeight="1" x14ac:dyDescent="0.4">
      <c r="A356" s="16" t="s">
        <v>464</v>
      </c>
      <c r="B356" s="5" t="s">
        <v>73</v>
      </c>
      <c r="C356" s="86">
        <v>726.65</v>
      </c>
      <c r="D356" s="87">
        <v>75</v>
      </c>
      <c r="E356" s="8">
        <f t="shared" si="50"/>
        <v>54498.75</v>
      </c>
      <c r="F356" s="8">
        <f t="shared" si="51"/>
        <v>3814.9125000000004</v>
      </c>
      <c r="G356" s="8">
        <f t="shared" si="52"/>
        <v>58313.662499999999</v>
      </c>
      <c r="H356">
        <v>6902117</v>
      </c>
    </row>
    <row r="357" spans="1:8" ht="18" customHeight="1" x14ac:dyDescent="0.4">
      <c r="A357" s="16" t="s">
        <v>472</v>
      </c>
      <c r="B357" s="5" t="s">
        <v>73</v>
      </c>
      <c r="C357" s="86">
        <v>87.55</v>
      </c>
      <c r="D357" s="87">
        <v>75</v>
      </c>
      <c r="E357" s="8">
        <f t="shared" si="50"/>
        <v>6566.25</v>
      </c>
      <c r="F357" s="8">
        <f t="shared" si="51"/>
        <v>459.63750000000005</v>
      </c>
      <c r="G357" s="8">
        <f t="shared" si="52"/>
        <v>7025.8874999999998</v>
      </c>
      <c r="H357">
        <v>6902249</v>
      </c>
    </row>
    <row r="358" spans="1:8" ht="18" customHeight="1" x14ac:dyDescent="0.4">
      <c r="A358" s="16" t="s">
        <v>472</v>
      </c>
      <c r="B358" s="5" t="s">
        <v>73</v>
      </c>
      <c r="C358" s="86">
        <v>424.9</v>
      </c>
      <c r="D358" s="87">
        <v>75</v>
      </c>
      <c r="E358" s="8">
        <f t="shared" si="50"/>
        <v>31867.5</v>
      </c>
      <c r="F358" s="8">
        <f t="shared" si="51"/>
        <v>2230.7250000000004</v>
      </c>
      <c r="G358" s="8">
        <f t="shared" si="52"/>
        <v>34098.224999999999</v>
      </c>
      <c r="H358">
        <v>6902248</v>
      </c>
    </row>
    <row r="359" spans="1:8" ht="18" customHeight="1" x14ac:dyDescent="0.4">
      <c r="A359" s="16" t="s">
        <v>472</v>
      </c>
      <c r="B359" s="5" t="s">
        <v>511</v>
      </c>
      <c r="C359" s="86">
        <v>19.850000000000001</v>
      </c>
      <c r="D359" s="87">
        <v>80</v>
      </c>
      <c r="E359" s="8">
        <f t="shared" si="50"/>
        <v>1588</v>
      </c>
      <c r="F359" s="8">
        <f t="shared" si="51"/>
        <v>111.16000000000001</v>
      </c>
      <c r="G359" s="8">
        <f t="shared" si="52"/>
        <v>1699.16</v>
      </c>
      <c r="H359">
        <v>6902244</v>
      </c>
    </row>
    <row r="360" spans="1:8" ht="18" customHeight="1" x14ac:dyDescent="0.4">
      <c r="A360" s="16" t="s">
        <v>461</v>
      </c>
      <c r="B360" s="5" t="s">
        <v>74</v>
      </c>
      <c r="C360" s="86">
        <v>19.350000000000001</v>
      </c>
      <c r="D360" s="87">
        <v>80</v>
      </c>
      <c r="E360" s="8">
        <f t="shared" si="50"/>
        <v>1548</v>
      </c>
      <c r="F360" s="8">
        <f t="shared" si="51"/>
        <v>108.36000000000001</v>
      </c>
      <c r="G360" s="8">
        <f t="shared" si="52"/>
        <v>1656.3600000000001</v>
      </c>
      <c r="H360">
        <v>6902023</v>
      </c>
    </row>
    <row r="361" spans="1:8" ht="18" customHeight="1" x14ac:dyDescent="0.4">
      <c r="A361" s="16" t="s">
        <v>461</v>
      </c>
      <c r="B361" s="5" t="s">
        <v>74</v>
      </c>
      <c r="C361" s="86">
        <v>19.75</v>
      </c>
      <c r="D361" s="87">
        <v>80</v>
      </c>
      <c r="E361" s="8">
        <f t="shared" si="50"/>
        <v>1580</v>
      </c>
      <c r="F361" s="8">
        <f t="shared" si="51"/>
        <v>110.60000000000001</v>
      </c>
      <c r="G361" s="8">
        <f t="shared" si="52"/>
        <v>1690.6</v>
      </c>
      <c r="H361">
        <v>6902022</v>
      </c>
    </row>
    <row r="362" spans="1:8" ht="18" customHeight="1" x14ac:dyDescent="0.4">
      <c r="A362" s="16" t="s">
        <v>464</v>
      </c>
      <c r="B362" s="5" t="s">
        <v>176</v>
      </c>
      <c r="C362" s="86">
        <v>48.4</v>
      </c>
      <c r="D362" s="87">
        <v>80</v>
      </c>
      <c r="E362" s="8">
        <f t="shared" si="50"/>
        <v>3872</v>
      </c>
      <c r="F362" s="8">
        <f t="shared" si="51"/>
        <v>271.04000000000002</v>
      </c>
      <c r="G362" s="8">
        <f t="shared" si="52"/>
        <v>4143.04</v>
      </c>
      <c r="H362">
        <v>6902110</v>
      </c>
    </row>
    <row r="363" spans="1:8" ht="18" customHeight="1" thickBot="1" x14ac:dyDescent="0.35">
      <c r="A363" s="84"/>
      <c r="B363" s="17" t="s">
        <v>15</v>
      </c>
      <c r="C363" s="18">
        <f>SUM(C332:C362)</f>
        <v>7257.6999999999989</v>
      </c>
      <c r="D363" s="19"/>
      <c r="E363" s="18">
        <f>SUM(E332:E362)</f>
        <v>545212.35000000009</v>
      </c>
      <c r="F363" s="18">
        <f>SUM(F332:F362)</f>
        <v>38164.864499999996</v>
      </c>
      <c r="G363" s="18">
        <f>SUM(G332:G362)</f>
        <v>583377.21449999989</v>
      </c>
    </row>
    <row r="364" spans="1:8" ht="11.25" customHeight="1" thickTop="1" x14ac:dyDescent="0.4">
      <c r="A364" s="21"/>
      <c r="B364" s="22"/>
      <c r="C364" s="23"/>
      <c r="D364" s="24"/>
      <c r="E364" s="23"/>
      <c r="F364" s="25"/>
      <c r="G364" s="23"/>
    </row>
    <row r="365" spans="1:8" ht="18" customHeight="1" x14ac:dyDescent="0.3">
      <c r="A365" s="126"/>
      <c r="B365" s="111"/>
      <c r="C365" s="112"/>
      <c r="D365" s="119"/>
      <c r="E365" s="113"/>
      <c r="F365" s="113"/>
      <c r="G365" s="113"/>
    </row>
    <row r="366" spans="1:8" ht="23.25" x14ac:dyDescent="0.5">
      <c r="A366" s="361" t="s">
        <v>75</v>
      </c>
      <c r="B366" s="361"/>
      <c r="C366" s="361"/>
      <c r="D366" s="361"/>
      <c r="E366" s="361"/>
      <c r="F366" s="361"/>
      <c r="G366" s="361"/>
    </row>
    <row r="367" spans="1:8" ht="18" customHeight="1" x14ac:dyDescent="0.3">
      <c r="A367" s="94" t="s">
        <v>2</v>
      </c>
      <c r="B367" s="95" t="s">
        <v>3</v>
      </c>
      <c r="C367" s="95" t="s">
        <v>76</v>
      </c>
      <c r="D367" s="3" t="s">
        <v>5</v>
      </c>
      <c r="E367" s="95" t="s">
        <v>6</v>
      </c>
      <c r="F367" s="95" t="s">
        <v>7</v>
      </c>
      <c r="G367" s="95" t="s">
        <v>8</v>
      </c>
    </row>
    <row r="368" spans="1:8" ht="18" customHeight="1" x14ac:dyDescent="0.4">
      <c r="A368" s="127" t="s">
        <v>478</v>
      </c>
      <c r="B368" s="5" t="s">
        <v>77</v>
      </c>
      <c r="C368" s="128">
        <v>80</v>
      </c>
      <c r="D368" s="40">
        <v>685</v>
      </c>
      <c r="E368" s="6">
        <f t="shared" ref="E368:E372" si="53">+C368*D368</f>
        <v>54800</v>
      </c>
      <c r="F368" s="6">
        <f t="shared" ref="F368:F372" si="54">+E368*7%</f>
        <v>3836.0000000000005</v>
      </c>
      <c r="G368" s="6">
        <f t="shared" ref="G368:G372" si="55">+E368+F368</f>
        <v>58636</v>
      </c>
      <c r="H368">
        <v>6902048</v>
      </c>
    </row>
    <row r="369" spans="1:8" ht="18" customHeight="1" x14ac:dyDescent="0.4">
      <c r="A369" s="127" t="s">
        <v>463</v>
      </c>
      <c r="B369" s="129" t="s">
        <v>78</v>
      </c>
      <c r="C369" s="130">
        <v>7</v>
      </c>
      <c r="D369" s="19">
        <v>685</v>
      </c>
      <c r="E369" s="60">
        <f t="shared" si="53"/>
        <v>4795</v>
      </c>
      <c r="F369" s="60">
        <f t="shared" si="54"/>
        <v>335.65000000000003</v>
      </c>
      <c r="G369" s="60">
        <f t="shared" si="55"/>
        <v>5130.6499999999996</v>
      </c>
      <c r="H369">
        <v>6902059</v>
      </c>
    </row>
    <row r="370" spans="1:8" ht="18" customHeight="1" x14ac:dyDescent="0.4">
      <c r="A370" s="127" t="s">
        <v>464</v>
      </c>
      <c r="B370" s="129" t="s">
        <v>78</v>
      </c>
      <c r="C370" s="130">
        <v>60</v>
      </c>
      <c r="D370" s="19">
        <v>685</v>
      </c>
      <c r="E370" s="60">
        <f t="shared" si="53"/>
        <v>41100</v>
      </c>
      <c r="F370" s="60">
        <f t="shared" si="54"/>
        <v>2877.0000000000005</v>
      </c>
      <c r="G370" s="60">
        <f t="shared" si="55"/>
        <v>43977</v>
      </c>
      <c r="H370">
        <v>6902124</v>
      </c>
    </row>
    <row r="371" spans="1:8" ht="18" customHeight="1" x14ac:dyDescent="0.4">
      <c r="A371" s="127" t="s">
        <v>468</v>
      </c>
      <c r="B371" s="129" t="s">
        <v>78</v>
      </c>
      <c r="C371" s="130">
        <v>100</v>
      </c>
      <c r="D371" s="19">
        <v>685</v>
      </c>
      <c r="E371" s="60">
        <f t="shared" si="53"/>
        <v>68500</v>
      </c>
      <c r="F371" s="60">
        <f t="shared" si="54"/>
        <v>4795.0000000000009</v>
      </c>
      <c r="G371" s="60">
        <f t="shared" si="55"/>
        <v>73295</v>
      </c>
      <c r="H371">
        <v>6902194</v>
      </c>
    </row>
    <row r="372" spans="1:8" ht="18" customHeight="1" x14ac:dyDescent="0.4">
      <c r="A372" s="127" t="s">
        <v>473</v>
      </c>
      <c r="B372" s="129" t="s">
        <v>78</v>
      </c>
      <c r="C372" s="130">
        <v>140</v>
      </c>
      <c r="D372" s="19">
        <v>685</v>
      </c>
      <c r="E372" s="60">
        <f t="shared" si="53"/>
        <v>95900</v>
      </c>
      <c r="F372" s="60">
        <f t="shared" si="54"/>
        <v>6713.0000000000009</v>
      </c>
      <c r="G372" s="60">
        <f t="shared" si="55"/>
        <v>102613</v>
      </c>
      <c r="H372">
        <v>6902276</v>
      </c>
    </row>
    <row r="373" spans="1:8" ht="18" customHeight="1" thickBot="1" x14ac:dyDescent="0.35">
      <c r="A373" s="131"/>
      <c r="B373" s="95" t="s">
        <v>15</v>
      </c>
      <c r="C373" s="132">
        <f>SUM(C368:C372)</f>
        <v>387</v>
      </c>
      <c r="D373" s="133"/>
      <c r="E373" s="134">
        <f>SUM(E368:E372)</f>
        <v>265095</v>
      </c>
      <c r="F373" s="134">
        <f>SUM(F368:F372)</f>
        <v>18556.650000000001</v>
      </c>
      <c r="G373" s="134">
        <f>SUM(G368:G372)</f>
        <v>283651.65000000002</v>
      </c>
    </row>
    <row r="374" spans="1:8" ht="18" customHeight="1" thickTop="1" x14ac:dyDescent="0.3">
      <c r="A374" s="126"/>
      <c r="B374" s="111"/>
      <c r="C374" s="112"/>
      <c r="D374" s="119"/>
      <c r="E374" s="113"/>
      <c r="F374" s="113"/>
      <c r="G374" s="113"/>
    </row>
    <row r="375" spans="1:8" ht="18" customHeight="1" x14ac:dyDescent="0.3">
      <c r="A375" s="27" t="s">
        <v>2</v>
      </c>
      <c r="B375" s="28" t="s">
        <v>3</v>
      </c>
      <c r="C375" s="28" t="s">
        <v>79</v>
      </c>
      <c r="D375" s="119"/>
      <c r="E375" s="111"/>
      <c r="F375" s="111"/>
      <c r="G375" s="111"/>
    </row>
    <row r="376" spans="1:8" ht="18" customHeight="1" x14ac:dyDescent="0.4">
      <c r="A376" s="127" t="s">
        <v>478</v>
      </c>
      <c r="B376" s="5" t="s">
        <v>80</v>
      </c>
      <c r="C376" s="128">
        <v>935.8</v>
      </c>
      <c r="D376" s="88"/>
      <c r="E376" s="135"/>
      <c r="F376" s="111"/>
      <c r="G376" s="135"/>
      <c r="H376">
        <v>6902048</v>
      </c>
    </row>
    <row r="377" spans="1:8" ht="18" customHeight="1" x14ac:dyDescent="0.4">
      <c r="A377" s="127" t="s">
        <v>463</v>
      </c>
      <c r="B377" s="5" t="s">
        <v>80</v>
      </c>
      <c r="C377" s="136">
        <v>82.15</v>
      </c>
      <c r="D377" s="70"/>
      <c r="E377" s="120"/>
      <c r="F377" s="120"/>
      <c r="G377" s="120"/>
      <c r="H377">
        <v>6902059</v>
      </c>
    </row>
    <row r="378" spans="1:8" ht="18" customHeight="1" x14ac:dyDescent="0.4">
      <c r="A378" s="127" t="s">
        <v>464</v>
      </c>
      <c r="B378" s="5" t="s">
        <v>80</v>
      </c>
      <c r="C378" s="136">
        <v>693.7</v>
      </c>
      <c r="D378" s="70"/>
      <c r="E378" s="120"/>
      <c r="F378" s="120"/>
      <c r="G378" s="120"/>
      <c r="H378">
        <v>6902124</v>
      </c>
    </row>
    <row r="379" spans="1:8" ht="18" customHeight="1" x14ac:dyDescent="0.4">
      <c r="A379" s="127" t="s">
        <v>468</v>
      </c>
      <c r="B379" s="5" t="s">
        <v>80</v>
      </c>
      <c r="C379" s="136">
        <v>1171.8499999999999</v>
      </c>
      <c r="D379" s="70"/>
      <c r="E379" s="120"/>
      <c r="F379" s="120"/>
      <c r="G379" s="120"/>
      <c r="H379">
        <v>6902194</v>
      </c>
    </row>
    <row r="380" spans="1:8" ht="18" customHeight="1" x14ac:dyDescent="0.4">
      <c r="A380" s="127" t="s">
        <v>473</v>
      </c>
      <c r="B380" s="5" t="s">
        <v>80</v>
      </c>
      <c r="C380" s="136">
        <v>1640.8</v>
      </c>
      <c r="D380" s="70"/>
      <c r="E380" s="120"/>
      <c r="F380" s="120"/>
      <c r="G380" s="120"/>
      <c r="H380">
        <v>6902276</v>
      </c>
    </row>
    <row r="381" spans="1:8" ht="18" customHeight="1" thickBot="1" x14ac:dyDescent="0.35">
      <c r="A381" s="131"/>
      <c r="B381" s="95" t="s">
        <v>15</v>
      </c>
      <c r="C381" s="132">
        <f>SUM(C376:C380)</f>
        <v>4524.3</v>
      </c>
      <c r="D381" s="119"/>
      <c r="E381" s="113"/>
      <c r="F381" s="113"/>
      <c r="G381" s="113"/>
    </row>
    <row r="382" spans="1:8" ht="18" customHeight="1" thickTop="1" x14ac:dyDescent="0.3">
      <c r="A382" s="126"/>
      <c r="B382" s="111"/>
      <c r="C382" s="112"/>
      <c r="D382" s="119"/>
      <c r="E382" s="113"/>
      <c r="F382" s="113"/>
      <c r="G382" s="113"/>
    </row>
    <row r="383" spans="1:8" ht="24" thickTop="1" x14ac:dyDescent="0.3">
      <c r="A383" s="359" t="s">
        <v>81</v>
      </c>
      <c r="B383" s="359"/>
      <c r="C383" s="359"/>
      <c r="D383" s="359"/>
      <c r="E383" s="359"/>
      <c r="F383" s="359"/>
      <c r="G383" s="359"/>
    </row>
    <row r="384" spans="1:8" ht="18" customHeight="1" x14ac:dyDescent="0.3">
      <c r="A384" s="1" t="s">
        <v>2</v>
      </c>
      <c r="B384" s="2" t="s">
        <v>3</v>
      </c>
      <c r="C384" s="2" t="s">
        <v>4</v>
      </c>
      <c r="D384" s="3" t="s">
        <v>5</v>
      </c>
      <c r="E384" s="2" t="s">
        <v>6</v>
      </c>
      <c r="F384" s="2" t="s">
        <v>7</v>
      </c>
      <c r="G384" s="2" t="s">
        <v>8</v>
      </c>
    </row>
    <row r="385" spans="1:8" ht="18" customHeight="1" x14ac:dyDescent="0.4">
      <c r="A385" s="4" t="s">
        <v>476</v>
      </c>
      <c r="B385" s="5" t="s">
        <v>250</v>
      </c>
      <c r="C385" s="128">
        <v>501.9</v>
      </c>
      <c r="D385" s="40">
        <v>57</v>
      </c>
      <c r="E385" s="6">
        <f t="shared" ref="E385:E389" si="56">+C385*D385</f>
        <v>28608.3</v>
      </c>
      <c r="F385" s="60">
        <f t="shared" ref="F385:F389" si="57">+E385*7%</f>
        <v>2002.5810000000001</v>
      </c>
      <c r="G385" s="60">
        <f t="shared" ref="G385:G389" si="58">+E385+F385</f>
        <v>30610.881000000001</v>
      </c>
      <c r="H385">
        <v>6902089</v>
      </c>
    </row>
    <row r="386" spans="1:8" ht="18" customHeight="1" x14ac:dyDescent="0.4">
      <c r="A386" s="4" t="s">
        <v>479</v>
      </c>
      <c r="B386" s="5" t="s">
        <v>250</v>
      </c>
      <c r="C386" s="128">
        <v>193.85</v>
      </c>
      <c r="D386" s="40">
        <v>57</v>
      </c>
      <c r="E386" s="6">
        <f t="shared" si="56"/>
        <v>11049.449999999999</v>
      </c>
      <c r="F386" s="60">
        <f t="shared" si="57"/>
        <v>773.4615</v>
      </c>
      <c r="G386" s="60">
        <f t="shared" si="58"/>
        <v>11822.911499999998</v>
      </c>
      <c r="H386">
        <v>6902291</v>
      </c>
    </row>
    <row r="387" spans="1:8" ht="18" customHeight="1" x14ac:dyDescent="0.4">
      <c r="A387" s="4" t="s">
        <v>479</v>
      </c>
      <c r="B387" s="5" t="s">
        <v>83</v>
      </c>
      <c r="C387" s="128">
        <v>129.65</v>
      </c>
      <c r="D387" s="40">
        <v>57</v>
      </c>
      <c r="E387" s="6">
        <f t="shared" si="56"/>
        <v>7390.05</v>
      </c>
      <c r="F387" s="60">
        <f t="shared" si="57"/>
        <v>517.3035000000001</v>
      </c>
      <c r="G387" s="60">
        <f t="shared" si="58"/>
        <v>7907.3535000000002</v>
      </c>
      <c r="H387">
        <v>6902292</v>
      </c>
    </row>
    <row r="388" spans="1:8" ht="18" customHeight="1" x14ac:dyDescent="0.4">
      <c r="A388" s="4" t="s">
        <v>476</v>
      </c>
      <c r="B388" s="5" t="s">
        <v>512</v>
      </c>
      <c r="C388" s="128">
        <v>193.65</v>
      </c>
      <c r="D388" s="40">
        <v>87</v>
      </c>
      <c r="E388" s="6">
        <f t="shared" si="56"/>
        <v>16847.55</v>
      </c>
      <c r="F388" s="60">
        <f t="shared" si="57"/>
        <v>1179.3285000000001</v>
      </c>
      <c r="G388" s="60">
        <f t="shared" si="58"/>
        <v>18026.878499999999</v>
      </c>
      <c r="H388">
        <v>6902088</v>
      </c>
    </row>
    <row r="389" spans="1:8" ht="18" customHeight="1" x14ac:dyDescent="0.4">
      <c r="A389" s="4" t="s">
        <v>476</v>
      </c>
      <c r="B389" s="5" t="s">
        <v>513</v>
      </c>
      <c r="C389" s="128">
        <v>203.2</v>
      </c>
      <c r="D389" s="40">
        <v>70</v>
      </c>
      <c r="E389" s="6">
        <f t="shared" si="56"/>
        <v>14224</v>
      </c>
      <c r="F389" s="60">
        <f t="shared" si="57"/>
        <v>995.68000000000006</v>
      </c>
      <c r="G389" s="60">
        <f t="shared" si="58"/>
        <v>15219.68</v>
      </c>
      <c r="H389">
        <v>6902087</v>
      </c>
    </row>
    <row r="390" spans="1:8" ht="18" customHeight="1" thickBot="1" x14ac:dyDescent="0.35">
      <c r="A390" s="61"/>
      <c r="B390" s="137" t="s">
        <v>15</v>
      </c>
      <c r="C390" s="18">
        <f>SUM(C385:C389)</f>
        <v>1222.25</v>
      </c>
      <c r="D390" s="66"/>
      <c r="E390" s="18">
        <f>SUM(E385:E389)</f>
        <v>78119.350000000006</v>
      </c>
      <c r="F390" s="18">
        <f>SUM(F385:F389)</f>
        <v>5468.3545000000004</v>
      </c>
      <c r="G390" s="18">
        <f>SUM(G385:G389)</f>
        <v>83587.704499999993</v>
      </c>
    </row>
    <row r="391" spans="1:8" ht="15" customHeight="1" thickTop="1" x14ac:dyDescent="0.4">
      <c r="A391" s="21"/>
      <c r="B391" s="22"/>
      <c r="C391" s="23"/>
      <c r="D391" s="24"/>
      <c r="E391" s="23"/>
      <c r="F391" s="23"/>
      <c r="G391" s="23"/>
    </row>
    <row r="392" spans="1:8" ht="24" thickTop="1" x14ac:dyDescent="0.3">
      <c r="A392" s="362" t="s">
        <v>84</v>
      </c>
      <c r="B392" s="362"/>
      <c r="C392" s="362"/>
      <c r="D392" s="362"/>
      <c r="E392" s="362"/>
      <c r="F392" s="362"/>
      <c r="G392" s="362"/>
    </row>
    <row r="393" spans="1:8" ht="18" customHeight="1" x14ac:dyDescent="0.3">
      <c r="A393" s="1" t="s">
        <v>2</v>
      </c>
      <c r="B393" s="2" t="s">
        <v>3</v>
      </c>
      <c r="C393" s="2" t="s">
        <v>62</v>
      </c>
      <c r="D393" s="3" t="s">
        <v>5</v>
      </c>
      <c r="E393" s="2" t="s">
        <v>6</v>
      </c>
      <c r="F393" s="2" t="s">
        <v>7</v>
      </c>
      <c r="G393" s="2" t="s">
        <v>8</v>
      </c>
    </row>
    <row r="394" spans="1:8" ht="18" customHeight="1" x14ac:dyDescent="0.4">
      <c r="A394" s="11" t="s">
        <v>474</v>
      </c>
      <c r="B394" s="5" t="s">
        <v>514</v>
      </c>
      <c r="C394" s="138">
        <v>500</v>
      </c>
      <c r="D394" s="40">
        <v>29.25</v>
      </c>
      <c r="E394" s="6">
        <f t="shared" ref="E394" si="59">+C394*D394</f>
        <v>14625</v>
      </c>
      <c r="F394" s="60">
        <f t="shared" ref="F394" si="60">+E394*7%</f>
        <v>1023.7500000000001</v>
      </c>
      <c r="G394" s="60">
        <f t="shared" ref="G394" si="61">+E394+F394</f>
        <v>15648.75</v>
      </c>
      <c r="H394">
        <v>6902311</v>
      </c>
    </row>
    <row r="395" spans="1:8" ht="18" customHeight="1" thickBot="1" x14ac:dyDescent="0.35">
      <c r="A395" s="139"/>
      <c r="B395" s="17" t="s">
        <v>15</v>
      </c>
      <c r="C395" s="18">
        <f>SUM(C394:C394)</f>
        <v>500</v>
      </c>
      <c r="D395" s="141"/>
      <c r="E395" s="18">
        <f>SUM(E394:E394)</f>
        <v>14625</v>
      </c>
      <c r="F395" s="18">
        <f>SUM(F394:F394)</f>
        <v>1023.7500000000001</v>
      </c>
      <c r="G395" s="18">
        <f>SUM(G394:G394)</f>
        <v>15648.75</v>
      </c>
    </row>
    <row r="396" spans="1:8" ht="15" customHeight="1" thickTop="1" x14ac:dyDescent="0.4">
      <c r="A396" s="21"/>
      <c r="B396" s="22"/>
      <c r="C396" s="23"/>
      <c r="D396" s="24"/>
      <c r="E396" s="23"/>
      <c r="F396" s="23"/>
      <c r="G396" s="23"/>
    </row>
    <row r="397" spans="1:8" ht="15" customHeight="1" thickBot="1" x14ac:dyDescent="0.45">
      <c r="A397" s="21"/>
      <c r="B397" s="22" t="s">
        <v>557</v>
      </c>
      <c r="C397" s="25">
        <f>C395</f>
        <v>500</v>
      </c>
      <c r="D397" s="140">
        <v>0.40600000000000003</v>
      </c>
      <c r="E397" s="317">
        <f>C397*D397</f>
        <v>203</v>
      </c>
      <c r="F397" s="23"/>
      <c r="G397" s="23"/>
    </row>
    <row r="398" spans="1:8" ht="15" customHeight="1" thickTop="1" x14ac:dyDescent="0.4">
      <c r="A398" s="21"/>
      <c r="B398" s="22"/>
      <c r="C398" s="23"/>
      <c r="D398" s="24"/>
      <c r="E398" s="23"/>
      <c r="F398" s="23"/>
      <c r="G398" s="23"/>
    </row>
    <row r="399" spans="1:8" ht="15" customHeight="1" x14ac:dyDescent="0.4">
      <c r="A399" s="21"/>
      <c r="B399" s="22"/>
      <c r="C399" s="23"/>
      <c r="D399" s="24"/>
      <c r="E399" s="23"/>
      <c r="F399" s="23"/>
      <c r="G399" s="23"/>
    </row>
    <row r="400" spans="1:8" ht="15" customHeight="1" x14ac:dyDescent="0.4">
      <c r="A400" s="21"/>
      <c r="B400" s="22"/>
      <c r="C400" s="23"/>
      <c r="D400" s="24"/>
      <c r="E400" s="23"/>
      <c r="F400" s="23"/>
      <c r="G400" s="23"/>
    </row>
    <row r="401" spans="1:8" ht="23.25" x14ac:dyDescent="0.3">
      <c r="A401" s="362" t="s">
        <v>84</v>
      </c>
      <c r="B401" s="362"/>
      <c r="C401" s="362"/>
      <c r="D401" s="362"/>
      <c r="E401" s="362"/>
      <c r="F401" s="362"/>
      <c r="G401" s="362"/>
    </row>
    <row r="402" spans="1:8" ht="18" customHeight="1" x14ac:dyDescent="0.3">
      <c r="A402" s="1" t="s">
        <v>2</v>
      </c>
      <c r="B402" s="2" t="s">
        <v>3</v>
      </c>
      <c r="C402" s="2" t="s">
        <v>4</v>
      </c>
      <c r="D402" s="3" t="s">
        <v>5</v>
      </c>
      <c r="E402" s="2" t="s">
        <v>6</v>
      </c>
      <c r="F402" s="2" t="s">
        <v>7</v>
      </c>
      <c r="G402" s="2" t="s">
        <v>8</v>
      </c>
    </row>
    <row r="403" spans="1:8" ht="18" customHeight="1" x14ac:dyDescent="0.4">
      <c r="A403" s="11" t="s">
        <v>464</v>
      </c>
      <c r="B403" s="5" t="s">
        <v>515</v>
      </c>
      <c r="C403" s="138">
        <v>484.3</v>
      </c>
      <c r="D403" s="40">
        <v>45</v>
      </c>
      <c r="E403" s="6">
        <f t="shared" ref="E403:E414" si="62">+C403*D403</f>
        <v>21793.5</v>
      </c>
      <c r="F403" s="60">
        <f t="shared" ref="F403:F414" si="63">+E403*7%</f>
        <v>1525.5450000000001</v>
      </c>
      <c r="G403" s="60">
        <f t="shared" ref="G403:G414" si="64">+E403+F403</f>
        <v>23319.044999999998</v>
      </c>
      <c r="H403">
        <v>6902127</v>
      </c>
    </row>
    <row r="404" spans="1:8" ht="18" customHeight="1" x14ac:dyDescent="0.4">
      <c r="A404" s="11" t="s">
        <v>476</v>
      </c>
      <c r="B404" s="5" t="s">
        <v>516</v>
      </c>
      <c r="C404" s="138">
        <v>517.4</v>
      </c>
      <c r="D404" s="40">
        <v>45</v>
      </c>
      <c r="E404" s="6">
        <f t="shared" si="62"/>
        <v>23283</v>
      </c>
      <c r="F404" s="60">
        <f t="shared" si="63"/>
        <v>1629.8100000000002</v>
      </c>
      <c r="G404" s="60">
        <f t="shared" si="64"/>
        <v>24912.81</v>
      </c>
      <c r="H404">
        <v>6902094</v>
      </c>
    </row>
    <row r="405" spans="1:8" ht="18" customHeight="1" x14ac:dyDescent="0.4">
      <c r="A405" s="11" t="s">
        <v>473</v>
      </c>
      <c r="B405" s="5" t="s">
        <v>516</v>
      </c>
      <c r="C405" s="138">
        <v>482.05</v>
      </c>
      <c r="D405" s="40">
        <v>45</v>
      </c>
      <c r="E405" s="6">
        <f t="shared" si="62"/>
        <v>21692.25</v>
      </c>
      <c r="F405" s="60">
        <f t="shared" si="63"/>
        <v>1518.4575000000002</v>
      </c>
      <c r="G405" s="60">
        <f t="shared" si="64"/>
        <v>23210.7075</v>
      </c>
      <c r="H405">
        <v>6902278</v>
      </c>
    </row>
    <row r="406" spans="1:8" ht="18" customHeight="1" x14ac:dyDescent="0.4">
      <c r="A406" s="11" t="s">
        <v>462</v>
      </c>
      <c r="B406" s="5" t="s">
        <v>85</v>
      </c>
      <c r="C406" s="138">
        <v>558.5</v>
      </c>
      <c r="D406" s="40">
        <v>45</v>
      </c>
      <c r="E406" s="6">
        <f t="shared" si="62"/>
        <v>25132.5</v>
      </c>
      <c r="F406" s="60">
        <f t="shared" si="63"/>
        <v>1759.2750000000001</v>
      </c>
      <c r="G406" s="60">
        <f t="shared" si="64"/>
        <v>26891.775000000001</v>
      </c>
      <c r="H406">
        <v>6902011</v>
      </c>
    </row>
    <row r="407" spans="1:8" ht="18" customHeight="1" x14ac:dyDescent="0.4">
      <c r="A407" s="11" t="s">
        <v>480</v>
      </c>
      <c r="B407" s="5" t="s">
        <v>85</v>
      </c>
      <c r="C407" s="138">
        <v>2964.55</v>
      </c>
      <c r="D407" s="40">
        <v>45</v>
      </c>
      <c r="E407" s="6">
        <f t="shared" si="62"/>
        <v>133404.75</v>
      </c>
      <c r="F407" s="60">
        <f t="shared" si="63"/>
        <v>9338.3325000000004</v>
      </c>
      <c r="G407" s="60">
        <f t="shared" si="64"/>
        <v>142743.08249999999</v>
      </c>
      <c r="H407">
        <v>6902067</v>
      </c>
    </row>
    <row r="408" spans="1:8" ht="18" customHeight="1" x14ac:dyDescent="0.4">
      <c r="A408" s="11" t="s">
        <v>476</v>
      </c>
      <c r="B408" s="5" t="s">
        <v>85</v>
      </c>
      <c r="C408" s="138">
        <v>1890.25</v>
      </c>
      <c r="D408" s="40">
        <v>44.5</v>
      </c>
      <c r="E408" s="6">
        <f t="shared" si="62"/>
        <v>84116.125</v>
      </c>
      <c r="F408" s="60">
        <f t="shared" si="63"/>
        <v>5888.1287500000008</v>
      </c>
      <c r="G408" s="60">
        <f t="shared" si="64"/>
        <v>90004.253750000003</v>
      </c>
      <c r="H408">
        <v>6902086</v>
      </c>
    </row>
    <row r="409" spans="1:8" ht="18" customHeight="1" x14ac:dyDescent="0.4">
      <c r="A409" s="11" t="s">
        <v>477</v>
      </c>
      <c r="B409" s="5" t="s">
        <v>85</v>
      </c>
      <c r="C409" s="138">
        <v>1003.8</v>
      </c>
      <c r="D409" s="40">
        <v>44.5</v>
      </c>
      <c r="E409" s="6">
        <f t="shared" si="62"/>
        <v>44669.1</v>
      </c>
      <c r="F409" s="60">
        <f t="shared" si="63"/>
        <v>3126.837</v>
      </c>
      <c r="G409" s="60">
        <f t="shared" si="64"/>
        <v>47795.936999999998</v>
      </c>
      <c r="H409">
        <v>6902155</v>
      </c>
    </row>
    <row r="410" spans="1:8" ht="18" customHeight="1" x14ac:dyDescent="0.4">
      <c r="A410" s="11" t="s">
        <v>477</v>
      </c>
      <c r="B410" s="5" t="s">
        <v>85</v>
      </c>
      <c r="C410" s="138">
        <v>2027.45</v>
      </c>
      <c r="D410" s="40">
        <v>44.5</v>
      </c>
      <c r="E410" s="6">
        <f t="shared" si="62"/>
        <v>90221.525000000009</v>
      </c>
      <c r="F410" s="60">
        <f t="shared" si="63"/>
        <v>6315.5067500000014</v>
      </c>
      <c r="G410" s="60">
        <f t="shared" si="64"/>
        <v>96537.031750000009</v>
      </c>
      <c r="H410">
        <v>6902154</v>
      </c>
    </row>
    <row r="411" spans="1:8" ht="18" customHeight="1" x14ac:dyDescent="0.4">
      <c r="A411" s="11" t="s">
        <v>469</v>
      </c>
      <c r="B411" s="5" t="s">
        <v>85</v>
      </c>
      <c r="C411" s="138">
        <v>1984.7</v>
      </c>
      <c r="D411" s="40">
        <v>44.5</v>
      </c>
      <c r="E411" s="6">
        <f t="shared" si="62"/>
        <v>88319.150000000009</v>
      </c>
      <c r="F411" s="60">
        <f t="shared" si="63"/>
        <v>6182.3405000000012</v>
      </c>
      <c r="G411" s="60">
        <f t="shared" si="64"/>
        <v>94501.490500000014</v>
      </c>
      <c r="H411">
        <v>6902217</v>
      </c>
    </row>
    <row r="412" spans="1:8" ht="18" customHeight="1" x14ac:dyDescent="0.4">
      <c r="A412" s="11" t="s">
        <v>477</v>
      </c>
      <c r="B412" s="5" t="s">
        <v>258</v>
      </c>
      <c r="C412" s="138">
        <v>1883.1</v>
      </c>
      <c r="D412" s="40">
        <v>44.5</v>
      </c>
      <c r="E412" s="6">
        <f t="shared" si="62"/>
        <v>83797.95</v>
      </c>
      <c r="F412" s="60">
        <f t="shared" si="63"/>
        <v>5865.8565000000008</v>
      </c>
      <c r="G412" s="60">
        <f t="shared" si="64"/>
        <v>89663.806499999992</v>
      </c>
      <c r="H412">
        <v>6902154</v>
      </c>
    </row>
    <row r="413" spans="1:8" ht="18" customHeight="1" x14ac:dyDescent="0.4">
      <c r="A413" s="11" t="s">
        <v>464</v>
      </c>
      <c r="B413" s="5" t="s">
        <v>258</v>
      </c>
      <c r="C413" s="138">
        <v>1536.1</v>
      </c>
      <c r="D413" s="40">
        <v>44.5</v>
      </c>
      <c r="E413" s="6">
        <f t="shared" si="62"/>
        <v>68356.45</v>
      </c>
      <c r="F413" s="60">
        <f t="shared" si="63"/>
        <v>4784.9515000000001</v>
      </c>
      <c r="G413" s="60">
        <f t="shared" si="64"/>
        <v>73141.401499999993</v>
      </c>
      <c r="H413">
        <v>6902126</v>
      </c>
    </row>
    <row r="414" spans="1:8" ht="18" customHeight="1" x14ac:dyDescent="0.4">
      <c r="A414" s="11" t="s">
        <v>469</v>
      </c>
      <c r="B414" s="5" t="s">
        <v>258</v>
      </c>
      <c r="C414" s="138">
        <v>2612.0500000000002</v>
      </c>
      <c r="D414" s="40">
        <v>44.5</v>
      </c>
      <c r="E414" s="6">
        <f t="shared" si="62"/>
        <v>116236.22500000001</v>
      </c>
      <c r="F414" s="60">
        <f t="shared" si="63"/>
        <v>8136.5357500000009</v>
      </c>
      <c r="G414" s="60">
        <f t="shared" si="64"/>
        <v>124372.76075</v>
      </c>
      <c r="H414">
        <v>6902217</v>
      </c>
    </row>
    <row r="415" spans="1:8" ht="18" customHeight="1" thickBot="1" x14ac:dyDescent="0.35">
      <c r="A415" s="139"/>
      <c r="B415" s="17" t="s">
        <v>15</v>
      </c>
      <c r="C415" s="18">
        <f>SUM(C403:C414)</f>
        <v>17944.250000000004</v>
      </c>
      <c r="D415" s="141"/>
      <c r="E415" s="18">
        <f>SUM(E403:E414)</f>
        <v>801022.52499999991</v>
      </c>
      <c r="F415" s="18">
        <f>SUM(F403:F414)</f>
        <v>56071.576750000007</v>
      </c>
      <c r="G415" s="18">
        <f>SUM(G403:G414)</f>
        <v>857094.10174999991</v>
      </c>
    </row>
    <row r="416" spans="1:8" ht="18" customHeight="1" thickTop="1" x14ac:dyDescent="0.4">
      <c r="A416" s="21"/>
      <c r="B416" s="22"/>
      <c r="C416" s="23"/>
      <c r="D416" s="140"/>
      <c r="E416" s="23"/>
      <c r="F416" s="25"/>
      <c r="G416" s="23"/>
    </row>
    <row r="417" spans="1:8" ht="18" customHeight="1" x14ac:dyDescent="0.4">
      <c r="A417" s="21"/>
      <c r="B417" s="22"/>
      <c r="C417" s="23"/>
      <c r="D417" s="140"/>
      <c r="E417" s="23"/>
      <c r="F417" s="25"/>
      <c r="G417" s="23"/>
    </row>
    <row r="418" spans="1:8" ht="24" thickTop="1" x14ac:dyDescent="0.3">
      <c r="A418" s="359" t="s">
        <v>517</v>
      </c>
      <c r="B418" s="359"/>
      <c r="C418" s="359"/>
      <c r="D418" s="359"/>
      <c r="E418" s="359"/>
      <c r="F418" s="359"/>
      <c r="G418" s="359"/>
    </row>
    <row r="419" spans="1:8" ht="18" customHeight="1" x14ac:dyDescent="0.3">
      <c r="A419" s="1" t="s">
        <v>2</v>
      </c>
      <c r="B419" s="2" t="s">
        <v>3</v>
      </c>
      <c r="C419" s="2" t="s">
        <v>92</v>
      </c>
      <c r="D419" s="3" t="s">
        <v>5</v>
      </c>
      <c r="E419" s="2" t="s">
        <v>6</v>
      </c>
      <c r="F419" s="2" t="s">
        <v>7</v>
      </c>
      <c r="G419" s="2" t="s">
        <v>8</v>
      </c>
    </row>
    <row r="420" spans="1:8" ht="18" customHeight="1" x14ac:dyDescent="0.4">
      <c r="A420" s="81" t="s">
        <v>487</v>
      </c>
      <c r="B420" s="5" t="s">
        <v>518</v>
      </c>
      <c r="C420" s="128">
        <v>5000</v>
      </c>
      <c r="D420" s="40">
        <v>8.5</v>
      </c>
      <c r="E420" s="6">
        <f>+C420*D420</f>
        <v>42500</v>
      </c>
      <c r="F420" s="60">
        <f>+E420*7%</f>
        <v>2975.0000000000005</v>
      </c>
      <c r="G420" s="60">
        <f>+E420+F420</f>
        <v>45475</v>
      </c>
      <c r="H420">
        <v>6902207</v>
      </c>
    </row>
    <row r="421" spans="1:8" ht="18" customHeight="1" x14ac:dyDescent="0.4">
      <c r="A421" s="81" t="s">
        <v>479</v>
      </c>
      <c r="B421" s="5" t="s">
        <v>518</v>
      </c>
      <c r="C421" s="128">
        <v>5000</v>
      </c>
      <c r="D421" s="40">
        <v>8.5</v>
      </c>
      <c r="E421" s="6">
        <f>+C421*D421</f>
        <v>42500</v>
      </c>
      <c r="F421" s="60">
        <f>+E421*7%</f>
        <v>2975.0000000000005</v>
      </c>
      <c r="G421" s="60">
        <f>+E421+F421</f>
        <v>45475</v>
      </c>
      <c r="H421">
        <v>6902296</v>
      </c>
    </row>
    <row r="422" spans="1:8" ht="18" customHeight="1" x14ac:dyDescent="0.4">
      <c r="A422" s="81" t="s">
        <v>479</v>
      </c>
      <c r="B422" s="5" t="s">
        <v>519</v>
      </c>
      <c r="C422" s="128">
        <v>5000</v>
      </c>
      <c r="D422" s="40">
        <v>11.5</v>
      </c>
      <c r="E422" s="6">
        <f>+C422*D422</f>
        <v>57500</v>
      </c>
      <c r="F422" s="60">
        <f>+E422*7%</f>
        <v>4025.0000000000005</v>
      </c>
      <c r="G422" s="60">
        <f>+E422+F422</f>
        <v>61525</v>
      </c>
      <c r="H422">
        <v>6902295</v>
      </c>
    </row>
    <row r="423" spans="1:8" ht="18" customHeight="1" thickBot="1" x14ac:dyDescent="0.45">
      <c r="A423" s="61"/>
      <c r="B423" s="137" t="s">
        <v>15</v>
      </c>
      <c r="C423" s="43">
        <f>SUM(C420:C422)</f>
        <v>15000</v>
      </c>
      <c r="D423" s="51"/>
      <c r="E423" s="89">
        <f>SUM(E420:E422)</f>
        <v>142500</v>
      </c>
      <c r="F423" s="89">
        <f>SUM(F420:F422)</f>
        <v>9975.0000000000018</v>
      </c>
      <c r="G423" s="89">
        <f>SUM(G420:G422)</f>
        <v>152475</v>
      </c>
    </row>
    <row r="424" spans="1:8" ht="19.5" customHeight="1" thickTop="1" x14ac:dyDescent="0.4">
      <c r="A424" s="21"/>
      <c r="B424" s="22"/>
      <c r="C424" s="23"/>
      <c r="D424" s="24"/>
      <c r="E424" s="23"/>
      <c r="F424" s="25"/>
      <c r="G424" s="23"/>
    </row>
    <row r="425" spans="1:8" ht="18" customHeight="1" x14ac:dyDescent="0.3">
      <c r="A425" s="85"/>
      <c r="B425" s="68"/>
      <c r="C425" s="69"/>
      <c r="D425" s="70"/>
      <c r="E425" s="71"/>
      <c r="F425" s="71"/>
      <c r="G425" s="71"/>
    </row>
    <row r="426" spans="1:8" s="108" customFormat="1" ht="18" customHeight="1" thickBot="1" x14ac:dyDescent="0.45">
      <c r="A426" s="143"/>
      <c r="B426" s="106" t="s">
        <v>558</v>
      </c>
      <c r="C426" s="318">
        <f>C422</f>
        <v>5000</v>
      </c>
      <c r="D426" s="144">
        <v>0.23580000000000001</v>
      </c>
      <c r="E426" s="189">
        <f>+C426*D426</f>
        <v>1179</v>
      </c>
      <c r="F426" s="145">
        <f>SUM(E426:E428)</f>
        <v>2829</v>
      </c>
      <c r="G426" s="316"/>
    </row>
    <row r="427" spans="1:8" s="108" customFormat="1" ht="18" customHeight="1" thickTop="1" x14ac:dyDescent="0.4">
      <c r="A427" s="143"/>
      <c r="B427" s="106" t="s">
        <v>559</v>
      </c>
      <c r="C427" s="318">
        <f>C420+C421</f>
        <v>10000</v>
      </c>
      <c r="D427" s="144">
        <v>0.16500000000000001</v>
      </c>
      <c r="E427" s="189">
        <f>+C427*D427</f>
        <v>1650</v>
      </c>
      <c r="F427" s="146"/>
      <c r="G427" s="316"/>
    </row>
    <row r="428" spans="1:8" s="108" customFormat="1" ht="18" customHeight="1" x14ac:dyDescent="0.4">
      <c r="A428" s="143"/>
      <c r="B428" s="106" t="s">
        <v>560</v>
      </c>
      <c r="C428" s="318">
        <v>0</v>
      </c>
      <c r="D428" s="55">
        <v>0.15559999999999999</v>
      </c>
      <c r="E428" s="189">
        <f>+C428*D428</f>
        <v>0</v>
      </c>
      <c r="F428" s="54"/>
      <c r="G428" s="316"/>
    </row>
    <row r="429" spans="1:8" s="108" customFormat="1" ht="12" customHeight="1" x14ac:dyDescent="0.4">
      <c r="A429" s="143"/>
      <c r="B429" s="106"/>
      <c r="C429" s="318"/>
      <c r="D429" s="55"/>
      <c r="E429" s="189"/>
      <c r="F429" s="54"/>
      <c r="G429" s="316"/>
    </row>
    <row r="430" spans="1:8" ht="18" customHeight="1" x14ac:dyDescent="0.3">
      <c r="A430" s="85"/>
      <c r="B430" s="68"/>
      <c r="C430" s="69"/>
      <c r="D430" s="70"/>
      <c r="E430" s="71"/>
      <c r="F430" s="71"/>
      <c r="G430" s="71"/>
    </row>
    <row r="431" spans="1:8" ht="18" customHeight="1" x14ac:dyDescent="0.3">
      <c r="A431" s="85"/>
      <c r="B431" s="68"/>
      <c r="C431" s="69"/>
      <c r="D431" s="70"/>
      <c r="E431" s="71"/>
      <c r="F431" s="71"/>
      <c r="G431" s="71"/>
    </row>
    <row r="432" spans="1:8" ht="23.25" x14ac:dyDescent="0.3">
      <c r="A432" s="359" t="s">
        <v>87</v>
      </c>
      <c r="B432" s="359"/>
      <c r="C432" s="359"/>
      <c r="D432" s="359"/>
      <c r="E432" s="359"/>
      <c r="F432" s="359"/>
      <c r="G432" s="359"/>
    </row>
    <row r="433" spans="1:8" ht="18" customHeight="1" x14ac:dyDescent="0.4">
      <c r="A433" s="57" t="s">
        <v>2</v>
      </c>
      <c r="B433" s="58" t="s">
        <v>3</v>
      </c>
      <c r="C433" s="2" t="s">
        <v>4</v>
      </c>
      <c r="D433" s="59" t="s">
        <v>5</v>
      </c>
      <c r="E433" s="58" t="s">
        <v>6</v>
      </c>
      <c r="F433" s="58" t="s">
        <v>7</v>
      </c>
      <c r="G433" s="58" t="s">
        <v>8</v>
      </c>
    </row>
    <row r="434" spans="1:8" ht="18" customHeight="1" x14ac:dyDescent="0.4">
      <c r="A434" s="16" t="s">
        <v>478</v>
      </c>
      <c r="B434" s="5" t="s">
        <v>90</v>
      </c>
      <c r="C434" s="37">
        <v>516.79999999999995</v>
      </c>
      <c r="D434" s="51">
        <v>52</v>
      </c>
      <c r="E434" s="60">
        <f t="shared" ref="E434:E438" si="65">+C434*D434</f>
        <v>26873.599999999999</v>
      </c>
      <c r="F434" s="60">
        <f t="shared" ref="F434:F438" si="66">+E434*7%</f>
        <v>1881.152</v>
      </c>
      <c r="G434" s="60">
        <f t="shared" ref="G434:G438" si="67">+E434+F434</f>
        <v>28754.752</v>
      </c>
      <c r="H434">
        <v>6902047</v>
      </c>
    </row>
    <row r="435" spans="1:8" ht="18" customHeight="1" x14ac:dyDescent="0.4">
      <c r="A435" s="16" t="s">
        <v>465</v>
      </c>
      <c r="B435" s="5" t="s">
        <v>90</v>
      </c>
      <c r="C435" s="37">
        <v>508.7</v>
      </c>
      <c r="D435" s="51">
        <v>52</v>
      </c>
      <c r="E435" s="60">
        <f t="shared" si="65"/>
        <v>26452.399999999998</v>
      </c>
      <c r="F435" s="60">
        <f t="shared" si="66"/>
        <v>1851.6680000000001</v>
      </c>
      <c r="G435" s="60">
        <f t="shared" si="67"/>
        <v>28304.067999999999</v>
      </c>
      <c r="H435">
        <v>6902103</v>
      </c>
    </row>
    <row r="436" spans="1:8" ht="18" customHeight="1" x14ac:dyDescent="0.4">
      <c r="A436" s="16" t="s">
        <v>468</v>
      </c>
      <c r="B436" s="5" t="s">
        <v>90</v>
      </c>
      <c r="C436" s="37">
        <v>501</v>
      </c>
      <c r="D436" s="51">
        <v>52</v>
      </c>
      <c r="E436" s="60">
        <f t="shared" si="65"/>
        <v>26052</v>
      </c>
      <c r="F436" s="60">
        <f t="shared" si="66"/>
        <v>1823.64</v>
      </c>
      <c r="G436" s="60">
        <f t="shared" si="67"/>
        <v>27875.64</v>
      </c>
      <c r="H436">
        <v>6902183</v>
      </c>
    </row>
    <row r="437" spans="1:8" ht="18" customHeight="1" x14ac:dyDescent="0.4">
      <c r="A437" s="16" t="s">
        <v>470</v>
      </c>
      <c r="B437" s="5" t="s">
        <v>90</v>
      </c>
      <c r="C437" s="37">
        <v>513.25</v>
      </c>
      <c r="D437" s="51">
        <v>52</v>
      </c>
      <c r="E437" s="60">
        <f t="shared" si="65"/>
        <v>26689</v>
      </c>
      <c r="F437" s="60">
        <f t="shared" si="66"/>
        <v>1868.2300000000002</v>
      </c>
      <c r="G437" s="60">
        <f t="shared" si="67"/>
        <v>28557.23</v>
      </c>
      <c r="H437">
        <v>6902239</v>
      </c>
    </row>
    <row r="438" spans="1:8" ht="18" customHeight="1" x14ac:dyDescent="0.4">
      <c r="A438" s="16" t="s">
        <v>474</v>
      </c>
      <c r="B438" s="5" t="s">
        <v>90</v>
      </c>
      <c r="C438" s="37">
        <v>501.8</v>
      </c>
      <c r="D438" s="51">
        <v>52</v>
      </c>
      <c r="E438" s="60">
        <f t="shared" si="65"/>
        <v>26093.600000000002</v>
      </c>
      <c r="F438" s="60">
        <f t="shared" si="66"/>
        <v>1826.5520000000004</v>
      </c>
      <c r="G438" s="60">
        <f t="shared" si="67"/>
        <v>27920.152000000002</v>
      </c>
      <c r="H438">
        <v>6902312</v>
      </c>
    </row>
    <row r="439" spans="1:8" ht="18" customHeight="1" thickBot="1" x14ac:dyDescent="0.35">
      <c r="A439" s="84"/>
      <c r="B439" s="17" t="s">
        <v>15</v>
      </c>
      <c r="C439" s="18">
        <f>SUM(C434:C438)</f>
        <v>2541.5500000000002</v>
      </c>
      <c r="D439" s="19"/>
      <c r="E439" s="18">
        <f>SUM(E434:E438)</f>
        <v>132160.6</v>
      </c>
      <c r="F439" s="18">
        <f>SUM(F434:F438)</f>
        <v>9251.2420000000002</v>
      </c>
      <c r="G439" s="18">
        <f>SUM(G434:G438)</f>
        <v>141411.842</v>
      </c>
    </row>
    <row r="440" spans="1:8" ht="18" customHeight="1" thickTop="1" x14ac:dyDescent="0.3">
      <c r="A440" s="85"/>
      <c r="B440" s="68"/>
      <c r="C440" s="69"/>
      <c r="D440" s="70"/>
      <c r="E440" s="69"/>
      <c r="F440" s="69"/>
      <c r="G440" s="69"/>
    </row>
    <row r="441" spans="1:8" s="30" customFormat="1" ht="18.75" customHeight="1" x14ac:dyDescent="0.5">
      <c r="A441" s="85"/>
      <c r="B441" s="68"/>
      <c r="C441" s="69"/>
      <c r="D441" s="313"/>
      <c r="E441" s="69"/>
      <c r="F441" s="69"/>
      <c r="G441" s="69"/>
    </row>
    <row r="442" spans="1:8" s="26" customFormat="1" ht="24" thickTop="1" x14ac:dyDescent="0.5">
      <c r="A442" s="361" t="s">
        <v>91</v>
      </c>
      <c r="B442" s="361"/>
      <c r="C442" s="361"/>
      <c r="D442" s="361"/>
      <c r="E442" s="361"/>
      <c r="F442" s="361"/>
      <c r="G442" s="361"/>
    </row>
    <row r="443" spans="1:8" s="26" customFormat="1" ht="16.5" customHeight="1" x14ac:dyDescent="0.45">
      <c r="A443" s="150" t="s">
        <v>2</v>
      </c>
      <c r="B443" s="151" t="s">
        <v>3</v>
      </c>
      <c r="C443" s="151" t="s">
        <v>92</v>
      </c>
      <c r="D443" s="59" t="s">
        <v>5</v>
      </c>
      <c r="E443" s="151" t="s">
        <v>6</v>
      </c>
      <c r="F443" s="151" t="s">
        <v>7</v>
      </c>
      <c r="G443" s="151" t="s">
        <v>8</v>
      </c>
    </row>
    <row r="444" spans="1:8" s="26" customFormat="1" ht="16.5" customHeight="1" x14ac:dyDescent="0.45">
      <c r="A444" s="12" t="s">
        <v>469</v>
      </c>
      <c r="B444" s="152" t="s">
        <v>93</v>
      </c>
      <c r="C444" s="153">
        <v>800</v>
      </c>
      <c r="D444" s="154">
        <v>19</v>
      </c>
      <c r="E444" s="60">
        <f t="shared" ref="E444:E448" si="68">+C444*D444</f>
        <v>15200</v>
      </c>
      <c r="F444" s="60">
        <f t="shared" ref="F444:F448" si="69">+E444*7%</f>
        <v>1064</v>
      </c>
      <c r="G444" s="60">
        <f t="shared" ref="G444:G448" si="70">+E444+F444</f>
        <v>16264</v>
      </c>
      <c r="H444" s="26">
        <v>6902222</v>
      </c>
    </row>
    <row r="445" spans="1:8" s="26" customFormat="1" ht="16.5" customHeight="1" x14ac:dyDescent="0.45">
      <c r="A445" s="12" t="s">
        <v>469</v>
      </c>
      <c r="B445" s="152" t="s">
        <v>218</v>
      </c>
      <c r="C445" s="153">
        <v>2500</v>
      </c>
      <c r="D445" s="154">
        <v>25</v>
      </c>
      <c r="E445" s="60">
        <f t="shared" si="68"/>
        <v>62500</v>
      </c>
      <c r="F445" s="60">
        <f t="shared" si="69"/>
        <v>4375</v>
      </c>
      <c r="G445" s="60">
        <f t="shared" si="70"/>
        <v>66875</v>
      </c>
      <c r="H445" s="26">
        <v>6902223</v>
      </c>
    </row>
    <row r="446" spans="1:8" s="26" customFormat="1" ht="16.5" customHeight="1" x14ac:dyDescent="0.45">
      <c r="A446" s="12" t="s">
        <v>463</v>
      </c>
      <c r="B446" s="152" t="s">
        <v>185</v>
      </c>
      <c r="C446" s="153">
        <v>8500</v>
      </c>
      <c r="D446" s="154">
        <v>7.5</v>
      </c>
      <c r="E446" s="60">
        <f t="shared" si="68"/>
        <v>63750</v>
      </c>
      <c r="F446" s="60">
        <f t="shared" si="69"/>
        <v>4462.5</v>
      </c>
      <c r="G446" s="60">
        <f t="shared" si="70"/>
        <v>68212.5</v>
      </c>
      <c r="H446" s="26">
        <v>6902052</v>
      </c>
    </row>
    <row r="447" spans="1:8" s="26" customFormat="1" ht="16.5" customHeight="1" x14ac:dyDescent="0.45">
      <c r="A447" s="12" t="s">
        <v>478</v>
      </c>
      <c r="B447" s="152" t="s">
        <v>94</v>
      </c>
      <c r="C447" s="153">
        <v>6500</v>
      </c>
      <c r="D447" s="154">
        <v>5</v>
      </c>
      <c r="E447" s="60">
        <f t="shared" si="68"/>
        <v>32500</v>
      </c>
      <c r="F447" s="60">
        <f t="shared" si="69"/>
        <v>2275</v>
      </c>
      <c r="G447" s="60">
        <f t="shared" si="70"/>
        <v>34775</v>
      </c>
      <c r="H447" s="26">
        <v>6902040</v>
      </c>
    </row>
    <row r="448" spans="1:8" s="26" customFormat="1" ht="16.5" customHeight="1" x14ac:dyDescent="0.45">
      <c r="A448" s="12" t="s">
        <v>487</v>
      </c>
      <c r="B448" s="152" t="s">
        <v>267</v>
      </c>
      <c r="C448" s="153">
        <v>3000</v>
      </c>
      <c r="D448" s="154">
        <v>10</v>
      </c>
      <c r="E448" s="60">
        <f t="shared" si="68"/>
        <v>30000</v>
      </c>
      <c r="F448" s="60">
        <f t="shared" si="69"/>
        <v>2100</v>
      </c>
      <c r="G448" s="60">
        <f t="shared" si="70"/>
        <v>32100</v>
      </c>
      <c r="H448" s="26">
        <v>6902209</v>
      </c>
    </row>
    <row r="449" spans="1:7" s="26" customFormat="1" ht="18" customHeight="1" thickBot="1" x14ac:dyDescent="0.5">
      <c r="A449" s="41"/>
      <c r="B449" s="151" t="s">
        <v>15</v>
      </c>
      <c r="C449" s="155">
        <f>SUM(C444:C448)</f>
        <v>21300</v>
      </c>
      <c r="D449" s="156"/>
      <c r="E449" s="157">
        <f>SUM(E444:E448)</f>
        <v>203950</v>
      </c>
      <c r="F449" s="157">
        <f>SUM(F444:F448)</f>
        <v>14276.5</v>
      </c>
      <c r="G449" s="157">
        <f>SUM(G444:G448)</f>
        <v>218226.5</v>
      </c>
    </row>
    <row r="450" spans="1:7" s="26" customFormat="1" ht="12.75" customHeight="1" thickTop="1" x14ac:dyDescent="0.45">
      <c r="A450" s="78"/>
      <c r="B450" s="91"/>
      <c r="C450" s="54"/>
      <c r="D450" s="158"/>
      <c r="E450" s="92"/>
      <c r="F450" s="92"/>
      <c r="G450" s="92"/>
    </row>
    <row r="451" spans="1:7" s="26" customFormat="1" ht="21" x14ac:dyDescent="0.45">
      <c r="A451" s="78"/>
      <c r="B451" s="22" t="s">
        <v>93</v>
      </c>
      <c r="C451" s="159">
        <f>C444</f>
        <v>800</v>
      </c>
      <c r="D451" s="93">
        <v>0.39800000000000002</v>
      </c>
      <c r="E451" s="160">
        <f t="shared" ref="E451:E459" si="71">+C451*D451</f>
        <v>318.40000000000003</v>
      </c>
      <c r="F451" s="120"/>
      <c r="G451" s="92"/>
    </row>
    <row r="452" spans="1:7" s="108" customFormat="1" ht="18" x14ac:dyDescent="0.4">
      <c r="A452" s="161"/>
      <c r="B452" s="162" t="s">
        <v>97</v>
      </c>
      <c r="C452" s="159">
        <f>C445</f>
        <v>2500</v>
      </c>
      <c r="D452" s="163">
        <v>0.53</v>
      </c>
      <c r="E452" s="160">
        <f t="shared" si="71"/>
        <v>1325</v>
      </c>
    </row>
    <row r="453" spans="1:7" s="108" customFormat="1" ht="18" x14ac:dyDescent="0.4">
      <c r="A453" s="161"/>
      <c r="B453" s="162" t="s">
        <v>125</v>
      </c>
      <c r="C453" s="159">
        <v>0</v>
      </c>
      <c r="D453" s="163">
        <v>0.64900000000000002</v>
      </c>
      <c r="E453" s="160">
        <f t="shared" si="71"/>
        <v>0</v>
      </c>
    </row>
    <row r="454" spans="1:7" s="108" customFormat="1" ht="18.75" thickBot="1" x14ac:dyDescent="0.45">
      <c r="A454" s="143"/>
      <c r="B454" s="106" t="s">
        <v>94</v>
      </c>
      <c r="C454" s="159">
        <f>C447</f>
        <v>6500</v>
      </c>
      <c r="D454" s="144">
        <v>8.6199999999999999E-2</v>
      </c>
      <c r="E454" s="160">
        <f t="shared" si="71"/>
        <v>560.29999999999995</v>
      </c>
      <c r="F454" s="145">
        <f>SUM(E451:E459)</f>
        <v>3945.4579999999996</v>
      </c>
      <c r="G454" s="109"/>
    </row>
    <row r="455" spans="1:7" s="108" customFormat="1" ht="18.75" thickTop="1" x14ac:dyDescent="0.4">
      <c r="A455" s="143"/>
      <c r="B455" s="106" t="s">
        <v>98</v>
      </c>
      <c r="C455" s="159">
        <f>C448</f>
        <v>3000</v>
      </c>
      <c r="D455" s="144">
        <f>120*120*150*0.921/10000000</f>
        <v>0.198936</v>
      </c>
      <c r="E455" s="160">
        <f t="shared" si="71"/>
        <v>596.80799999999999</v>
      </c>
      <c r="F455" s="146"/>
      <c r="G455" s="109"/>
    </row>
    <row r="456" spans="1:7" s="108" customFormat="1" ht="18" x14ac:dyDescent="0.4">
      <c r="A456" s="143"/>
      <c r="B456" s="106" t="s">
        <v>95</v>
      </c>
      <c r="C456" s="159">
        <v>0</v>
      </c>
      <c r="D456" s="144">
        <v>0.77900000000000003</v>
      </c>
      <c r="E456" s="160">
        <f t="shared" si="71"/>
        <v>0</v>
      </c>
      <c r="F456" s="146"/>
      <c r="G456" s="109"/>
    </row>
    <row r="457" spans="1:7" s="108" customFormat="1" ht="18" x14ac:dyDescent="0.4">
      <c r="A457" s="143"/>
      <c r="B457" s="106" t="s">
        <v>99</v>
      </c>
      <c r="C457" s="159">
        <v>0</v>
      </c>
      <c r="D457" s="144">
        <v>1.7789999999999999</v>
      </c>
      <c r="E457" s="160">
        <f t="shared" si="71"/>
        <v>0</v>
      </c>
      <c r="F457" s="146"/>
      <c r="G457" s="109"/>
    </row>
    <row r="458" spans="1:7" s="166" customFormat="1" ht="18" x14ac:dyDescent="0.4">
      <c r="A458" s="164"/>
      <c r="B458" s="105" t="s">
        <v>96</v>
      </c>
      <c r="C458" s="159">
        <f>C446</f>
        <v>8500</v>
      </c>
      <c r="D458" s="165">
        <v>0.13469999999999999</v>
      </c>
      <c r="E458" s="160">
        <f t="shared" si="71"/>
        <v>1144.9499999999998</v>
      </c>
      <c r="F458" s="105"/>
      <c r="G458" s="105"/>
    </row>
    <row r="459" spans="1:7" s="166" customFormat="1" ht="18" x14ac:dyDescent="0.4">
      <c r="A459" s="164"/>
      <c r="B459" s="105" t="s">
        <v>100</v>
      </c>
      <c r="C459" s="159">
        <v>0</v>
      </c>
      <c r="D459" s="165">
        <v>0.57199999999999995</v>
      </c>
      <c r="E459" s="160">
        <f t="shared" si="71"/>
        <v>0</v>
      </c>
      <c r="F459" s="105"/>
      <c r="G459" s="105"/>
    </row>
    <row r="460" spans="1:7" s="30" customFormat="1" ht="13.5" customHeight="1" x14ac:dyDescent="0.5">
      <c r="A460" s="85"/>
      <c r="B460" s="68"/>
      <c r="C460" s="69"/>
      <c r="D460" s="70"/>
      <c r="E460" s="71"/>
      <c r="F460" s="71"/>
      <c r="G460" s="71"/>
    </row>
    <row r="461" spans="1:7" s="30" customFormat="1" ht="13.5" customHeight="1" x14ac:dyDescent="0.5">
      <c r="A461" s="85"/>
      <c r="B461" s="68"/>
      <c r="C461" s="69"/>
      <c r="D461" s="70"/>
      <c r="E461" s="71"/>
      <c r="F461" s="71"/>
      <c r="G461" s="71"/>
    </row>
    <row r="462" spans="1:7" s="166" customFormat="1" ht="18" customHeight="1" x14ac:dyDescent="0.4">
      <c r="A462" s="164"/>
      <c r="B462" s="105"/>
      <c r="C462" s="159"/>
      <c r="D462" s="165"/>
      <c r="E462" s="314"/>
      <c r="F462" s="105"/>
      <c r="G462" s="105"/>
    </row>
    <row r="463" spans="1:7" s="30" customFormat="1" ht="18" customHeight="1" x14ac:dyDescent="0.5">
      <c r="A463" s="85"/>
      <c r="B463" s="68"/>
      <c r="C463" s="69"/>
      <c r="D463" s="70"/>
      <c r="E463" s="71"/>
      <c r="F463" s="71"/>
      <c r="G463" s="71"/>
    </row>
    <row r="464" spans="1:7" ht="23.25" x14ac:dyDescent="0.3">
      <c r="A464" s="359" t="s">
        <v>101</v>
      </c>
      <c r="B464" s="359"/>
      <c r="C464" s="359"/>
      <c r="D464" s="359"/>
      <c r="E464" s="359"/>
      <c r="F464" s="359"/>
      <c r="G464" s="359"/>
    </row>
    <row r="465" spans="1:8" ht="18" customHeight="1" x14ac:dyDescent="0.4">
      <c r="A465" s="57" t="s">
        <v>2</v>
      </c>
      <c r="B465" s="58" t="s">
        <v>3</v>
      </c>
      <c r="C465" s="2" t="s">
        <v>4</v>
      </c>
      <c r="D465" s="59" t="s">
        <v>5</v>
      </c>
      <c r="E465" s="58" t="s">
        <v>6</v>
      </c>
      <c r="F465" s="58" t="s">
        <v>7</v>
      </c>
      <c r="G465" s="58" t="s">
        <v>8</v>
      </c>
    </row>
    <row r="466" spans="1:8" ht="18" customHeight="1" x14ac:dyDescent="0.4">
      <c r="A466" s="81" t="s">
        <v>474</v>
      </c>
      <c r="B466" s="5" t="s">
        <v>207</v>
      </c>
      <c r="C466" s="167">
        <v>284.3</v>
      </c>
      <c r="D466" s="154">
        <v>60</v>
      </c>
      <c r="E466" s="60">
        <f t="shared" ref="E466:E467" si="72">+C466*D466</f>
        <v>17058</v>
      </c>
      <c r="F466" s="60">
        <f t="shared" ref="F466:F467" si="73">+E466*7%</f>
        <v>1194.0600000000002</v>
      </c>
      <c r="G466" s="60">
        <f t="shared" ref="G466:G467" si="74">+E466+F466</f>
        <v>18252.060000000001</v>
      </c>
      <c r="H466">
        <v>6902309</v>
      </c>
    </row>
    <row r="467" spans="1:8" ht="18" customHeight="1" x14ac:dyDescent="0.4">
      <c r="A467" s="81" t="s">
        <v>474</v>
      </c>
      <c r="B467" s="5" t="s">
        <v>165</v>
      </c>
      <c r="C467" s="167">
        <v>417.8</v>
      </c>
      <c r="D467" s="154">
        <v>60</v>
      </c>
      <c r="E467" s="60">
        <f t="shared" si="72"/>
        <v>25068</v>
      </c>
      <c r="F467" s="60">
        <f t="shared" si="73"/>
        <v>1754.7600000000002</v>
      </c>
      <c r="G467" s="60">
        <f t="shared" si="74"/>
        <v>26822.760000000002</v>
      </c>
      <c r="H467">
        <v>6902309</v>
      </c>
    </row>
    <row r="468" spans="1:8" s="30" customFormat="1" ht="18" customHeight="1" thickBot="1" x14ac:dyDescent="0.55000000000000004">
      <c r="A468" s="84"/>
      <c r="B468" s="17" t="s">
        <v>15</v>
      </c>
      <c r="C468" s="18">
        <f>SUM(C466:C467)</f>
        <v>702.1</v>
      </c>
      <c r="D468" s="19"/>
      <c r="E468" s="18">
        <f>SUM(E466:E467)</f>
        <v>42126</v>
      </c>
      <c r="F468" s="18">
        <f>SUM(F466:F467)</f>
        <v>2948.8200000000006</v>
      </c>
      <c r="G468" s="18">
        <f>SUM(G466:G467)</f>
        <v>45074.820000000007</v>
      </c>
    </row>
    <row r="469" spans="1:8" s="30" customFormat="1" ht="12.75" customHeight="1" thickTop="1" x14ac:dyDescent="0.5">
      <c r="A469" s="85"/>
      <c r="B469" s="68"/>
      <c r="C469" s="69"/>
      <c r="D469" s="70"/>
      <c r="E469" s="69"/>
      <c r="F469" s="69"/>
      <c r="G469" s="69"/>
    </row>
    <row r="470" spans="1:8" s="30" customFormat="1" ht="24" thickTop="1" x14ac:dyDescent="0.5">
      <c r="A470" s="359" t="s">
        <v>102</v>
      </c>
      <c r="B470" s="359"/>
      <c r="C470" s="359"/>
      <c r="D470" s="359"/>
      <c r="E470" s="359"/>
      <c r="F470" s="359"/>
      <c r="G470" s="359"/>
    </row>
    <row r="471" spans="1:8" s="30" customFormat="1" ht="18" customHeight="1" x14ac:dyDescent="0.5">
      <c r="A471" s="57" t="s">
        <v>2</v>
      </c>
      <c r="B471" s="58" t="s">
        <v>3</v>
      </c>
      <c r="C471" s="2" t="s">
        <v>4</v>
      </c>
      <c r="D471" s="59" t="s">
        <v>5</v>
      </c>
      <c r="E471" s="58" t="s">
        <v>6</v>
      </c>
      <c r="F471" s="58" t="s">
        <v>7</v>
      </c>
      <c r="G471" s="58" t="s">
        <v>8</v>
      </c>
    </row>
    <row r="472" spans="1:8" s="26" customFormat="1" ht="18" customHeight="1" x14ac:dyDescent="0.45">
      <c r="A472" s="16" t="s">
        <v>461</v>
      </c>
      <c r="B472" s="5" t="s">
        <v>520</v>
      </c>
      <c r="C472" s="37">
        <v>288.39999999999998</v>
      </c>
      <c r="D472" s="51">
        <v>49</v>
      </c>
      <c r="E472" s="60">
        <f t="shared" ref="E472" si="75">+C472*D472</f>
        <v>14131.599999999999</v>
      </c>
      <c r="F472" s="60">
        <f t="shared" ref="F472" si="76">+E472*7%</f>
        <v>989.21199999999999</v>
      </c>
      <c r="G472" s="60">
        <f t="shared" ref="G472" si="77">+E472+F472</f>
        <v>15120.811999999998</v>
      </c>
      <c r="H472" s="26">
        <v>6902032</v>
      </c>
    </row>
    <row r="473" spans="1:8" s="30" customFormat="1" ht="18" customHeight="1" thickBot="1" x14ac:dyDescent="0.55000000000000004">
      <c r="A473" s="84"/>
      <c r="B473" s="17" t="s">
        <v>15</v>
      </c>
      <c r="C473" s="18">
        <f>SUM(C472:C472)</f>
        <v>288.39999999999998</v>
      </c>
      <c r="D473" s="19"/>
      <c r="E473" s="18">
        <f>SUM(E472:E472)</f>
        <v>14131.599999999999</v>
      </c>
      <c r="F473" s="18">
        <f>SUM(F472:F472)</f>
        <v>989.21199999999999</v>
      </c>
      <c r="G473" s="18">
        <f>SUM(G472:G472)</f>
        <v>15120.811999999998</v>
      </c>
    </row>
    <row r="474" spans="1:8" s="30" customFormat="1" ht="18" customHeight="1" thickTop="1" x14ac:dyDescent="0.5">
      <c r="A474" s="85"/>
      <c r="B474" s="68"/>
      <c r="C474" s="69"/>
      <c r="D474" s="70"/>
      <c r="E474" s="69"/>
      <c r="F474" s="69"/>
      <c r="G474" s="69"/>
    </row>
    <row r="475" spans="1:8" s="30" customFormat="1" ht="18" customHeight="1" x14ac:dyDescent="0.5">
      <c r="A475" s="85"/>
      <c r="B475" s="68"/>
      <c r="C475" s="69"/>
      <c r="D475" s="70"/>
      <c r="E475" s="69"/>
      <c r="F475" s="69"/>
      <c r="G475" s="69"/>
    </row>
    <row r="476" spans="1:8" s="30" customFormat="1" ht="23.25" x14ac:dyDescent="0.5">
      <c r="A476" s="359" t="s">
        <v>246</v>
      </c>
      <c r="B476" s="359"/>
      <c r="C476" s="359"/>
      <c r="D476" s="359"/>
      <c r="E476" s="359"/>
      <c r="F476" s="359"/>
      <c r="G476" s="359"/>
    </row>
    <row r="477" spans="1:8" s="30" customFormat="1" ht="18" customHeight="1" x14ac:dyDescent="0.5">
      <c r="A477" s="57" t="s">
        <v>2</v>
      </c>
      <c r="B477" s="58" t="s">
        <v>3</v>
      </c>
      <c r="C477" s="2" t="s">
        <v>86</v>
      </c>
      <c r="D477" s="59" t="s">
        <v>5</v>
      </c>
      <c r="E477" s="58" t="s">
        <v>6</v>
      </c>
      <c r="F477" s="58" t="s">
        <v>7</v>
      </c>
      <c r="G477" s="58" t="s">
        <v>8</v>
      </c>
    </row>
    <row r="478" spans="1:8" s="26" customFormat="1" ht="18" customHeight="1" x14ac:dyDescent="0.45">
      <c r="A478" s="16" t="s">
        <v>487</v>
      </c>
      <c r="B478" s="5" t="s">
        <v>127</v>
      </c>
      <c r="C478" s="37">
        <v>1000</v>
      </c>
      <c r="D478" s="51">
        <v>19.5</v>
      </c>
      <c r="E478" s="60">
        <f>+C478*D478</f>
        <v>19500</v>
      </c>
      <c r="F478" s="60">
        <f>+E478*7%</f>
        <v>1365.0000000000002</v>
      </c>
      <c r="G478" s="60">
        <f>+E478+F478</f>
        <v>20865</v>
      </c>
      <c r="H478" s="26">
        <v>6902203</v>
      </c>
    </row>
    <row r="479" spans="1:8" s="30" customFormat="1" ht="18" customHeight="1" thickBot="1" x14ac:dyDescent="0.55000000000000004">
      <c r="A479" s="84"/>
      <c r="B479" s="17" t="s">
        <v>15</v>
      </c>
      <c r="C479" s="18">
        <f>SUM(C478:C478)</f>
        <v>1000</v>
      </c>
      <c r="D479" s="19"/>
      <c r="E479" s="18">
        <f>SUM(E478:E478)</f>
        <v>19500</v>
      </c>
      <c r="F479" s="18">
        <f>SUM(F478:F478)</f>
        <v>1365.0000000000002</v>
      </c>
      <c r="G479" s="18">
        <f>SUM(G478:G478)</f>
        <v>20865</v>
      </c>
    </row>
    <row r="480" spans="1:8" s="30" customFormat="1" ht="18" customHeight="1" thickTop="1" x14ac:dyDescent="0.5">
      <c r="A480" s="85"/>
      <c r="B480" s="68"/>
      <c r="C480" s="69"/>
      <c r="D480" s="70"/>
      <c r="E480" s="69"/>
      <c r="F480" s="69"/>
      <c r="G480" s="69"/>
    </row>
    <row r="481" spans="1:11" ht="18" customHeight="1" x14ac:dyDescent="0.45">
      <c r="A481" s="22"/>
      <c r="B481" s="22" t="s">
        <v>293</v>
      </c>
      <c r="C481" s="189">
        <f>C479</f>
        <v>1000</v>
      </c>
      <c r="D481" s="190">
        <v>0.36480000000000001</v>
      </c>
      <c r="E481" s="189">
        <f>+C481*D481</f>
        <v>364.8</v>
      </c>
      <c r="F481" s="22"/>
      <c r="G481" s="22"/>
      <c r="K481" s="191"/>
    </row>
    <row r="482" spans="1:11" ht="18" customHeight="1" thickBot="1" x14ac:dyDescent="0.5">
      <c r="A482" s="22"/>
      <c r="B482" s="22" t="s">
        <v>294</v>
      </c>
      <c r="C482" s="189">
        <v>0</v>
      </c>
      <c r="D482" s="190">
        <v>0.32979999999999998</v>
      </c>
      <c r="E482" s="189">
        <f t="shared" ref="E482:E486" si="78">+C482*D482</f>
        <v>0</v>
      </c>
      <c r="F482" s="192">
        <f>SUM(E481:E486)</f>
        <v>364.8</v>
      </c>
      <c r="G482" s="22"/>
      <c r="K482" s="191"/>
    </row>
    <row r="483" spans="1:11" ht="18" customHeight="1" thickTop="1" x14ac:dyDescent="0.45">
      <c r="A483" s="22"/>
      <c r="B483" s="22" t="s">
        <v>295</v>
      </c>
      <c r="C483" s="189">
        <v>0</v>
      </c>
      <c r="D483" s="193">
        <v>0.26569999999999999</v>
      </c>
      <c r="E483" s="189">
        <f t="shared" si="78"/>
        <v>0</v>
      </c>
      <c r="F483" s="54"/>
      <c r="G483" s="22"/>
      <c r="K483" s="191"/>
    </row>
    <row r="484" spans="1:11" ht="18" customHeight="1" x14ac:dyDescent="0.45">
      <c r="A484" s="22"/>
      <c r="B484" s="22" t="s">
        <v>296</v>
      </c>
      <c r="C484" s="189">
        <v>0</v>
      </c>
      <c r="D484" s="193">
        <v>0.1832</v>
      </c>
      <c r="E484" s="189">
        <f t="shared" si="78"/>
        <v>0</v>
      </c>
      <c r="F484" s="54"/>
      <c r="G484" s="22"/>
      <c r="K484" s="191"/>
    </row>
    <row r="485" spans="1:11" ht="18" customHeight="1" x14ac:dyDescent="0.45">
      <c r="A485" s="22"/>
      <c r="B485" s="22" t="s">
        <v>297</v>
      </c>
      <c r="C485" s="189">
        <v>0</v>
      </c>
      <c r="D485" s="193">
        <v>0.2268</v>
      </c>
      <c r="E485" s="189">
        <f t="shared" si="78"/>
        <v>0</v>
      </c>
      <c r="F485" s="54"/>
      <c r="G485" s="22"/>
      <c r="K485" s="191"/>
    </row>
    <row r="486" spans="1:11" ht="18" customHeight="1" x14ac:dyDescent="0.45">
      <c r="A486" s="22"/>
      <c r="B486" s="22" t="s">
        <v>298</v>
      </c>
      <c r="C486" s="189">
        <v>0</v>
      </c>
      <c r="D486" s="193">
        <v>0.23469999999999999</v>
      </c>
      <c r="E486" s="189">
        <f t="shared" si="78"/>
        <v>0</v>
      </c>
      <c r="F486" s="54"/>
      <c r="G486" s="22"/>
      <c r="K486" s="191"/>
    </row>
    <row r="487" spans="1:11" s="30" customFormat="1" ht="18" customHeight="1" x14ac:dyDescent="0.5">
      <c r="A487" s="85"/>
      <c r="B487" s="68"/>
      <c r="C487" s="69"/>
      <c r="D487" s="70"/>
      <c r="E487" s="69"/>
      <c r="F487" s="69"/>
      <c r="G487" s="69"/>
    </row>
    <row r="488" spans="1:11" s="30" customFormat="1" ht="18" customHeight="1" x14ac:dyDescent="0.5">
      <c r="A488" s="85"/>
      <c r="B488" s="68"/>
      <c r="C488" s="69"/>
      <c r="D488" s="70"/>
      <c r="E488" s="69"/>
      <c r="F488" s="69"/>
      <c r="G488" s="69"/>
    </row>
    <row r="489" spans="1:11" s="30" customFormat="1" ht="23.25" x14ac:dyDescent="0.5">
      <c r="A489" s="359" t="s">
        <v>103</v>
      </c>
      <c r="B489" s="359"/>
      <c r="C489" s="359"/>
      <c r="D489" s="359"/>
      <c r="E489" s="359"/>
      <c r="F489" s="359"/>
      <c r="G489" s="359"/>
    </row>
    <row r="490" spans="1:11" s="30" customFormat="1" ht="18" customHeight="1" x14ac:dyDescent="0.5">
      <c r="A490" s="57" t="s">
        <v>2</v>
      </c>
      <c r="B490" s="58" t="s">
        <v>3</v>
      </c>
      <c r="C490" s="2" t="s">
        <v>4</v>
      </c>
      <c r="D490" s="59" t="s">
        <v>5</v>
      </c>
      <c r="E490" s="58" t="s">
        <v>6</v>
      </c>
      <c r="F490" s="58" t="s">
        <v>7</v>
      </c>
      <c r="G490" s="58" t="s">
        <v>8</v>
      </c>
    </row>
    <row r="491" spans="1:11" ht="18" customHeight="1" x14ac:dyDescent="0.4">
      <c r="A491" s="81" t="s">
        <v>480</v>
      </c>
      <c r="B491" s="5" t="s">
        <v>104</v>
      </c>
      <c r="C491" s="168">
        <v>521.25</v>
      </c>
      <c r="D491" s="87">
        <v>47</v>
      </c>
      <c r="E491" s="6">
        <f>+C491*D491</f>
        <v>24498.75</v>
      </c>
      <c r="F491" s="6">
        <f>+E491*7%</f>
        <v>1714.9125000000001</v>
      </c>
      <c r="G491" s="6">
        <f>+E491+F491</f>
        <v>26213.662499999999</v>
      </c>
      <c r="H491">
        <v>6902068</v>
      </c>
    </row>
    <row r="492" spans="1:11" ht="18" customHeight="1" x14ac:dyDescent="0.4">
      <c r="A492" s="81" t="s">
        <v>459</v>
      </c>
      <c r="B492" s="5" t="s">
        <v>104</v>
      </c>
      <c r="C492" s="168">
        <v>505.1</v>
      </c>
      <c r="D492" s="87">
        <v>47</v>
      </c>
      <c r="E492" s="6">
        <f t="shared" ref="E492:E494" si="79">+C492*D492</f>
        <v>23739.7</v>
      </c>
      <c r="F492" s="6">
        <f t="shared" ref="F492:F494" si="80">+E492*7%</f>
        <v>1661.7790000000002</v>
      </c>
      <c r="G492" s="6">
        <f t="shared" ref="G492:G494" si="81">+E492+F492</f>
        <v>25401.478999999999</v>
      </c>
      <c r="H492">
        <v>6902144</v>
      </c>
    </row>
    <row r="493" spans="1:11" ht="18" customHeight="1" x14ac:dyDescent="0.4">
      <c r="A493" s="81" t="s">
        <v>469</v>
      </c>
      <c r="B493" s="5" t="s">
        <v>104</v>
      </c>
      <c r="C493" s="168">
        <v>443.55</v>
      </c>
      <c r="D493" s="87">
        <v>47</v>
      </c>
      <c r="E493" s="6">
        <f t="shared" si="79"/>
        <v>20846.850000000002</v>
      </c>
      <c r="F493" s="6">
        <f t="shared" si="80"/>
        <v>1459.2795000000003</v>
      </c>
      <c r="G493" s="6">
        <f t="shared" si="81"/>
        <v>22306.129500000003</v>
      </c>
      <c r="H493">
        <v>6902218</v>
      </c>
    </row>
    <row r="494" spans="1:11" ht="18" customHeight="1" x14ac:dyDescent="0.4">
      <c r="A494" s="81" t="s">
        <v>474</v>
      </c>
      <c r="B494" s="5" t="s">
        <v>104</v>
      </c>
      <c r="C494" s="168">
        <v>505.35</v>
      </c>
      <c r="D494" s="87">
        <v>47</v>
      </c>
      <c r="E494" s="6">
        <f t="shared" si="79"/>
        <v>23751.45</v>
      </c>
      <c r="F494" s="6">
        <f t="shared" si="80"/>
        <v>1662.6015000000002</v>
      </c>
      <c r="G494" s="6">
        <f t="shared" si="81"/>
        <v>25414.051500000001</v>
      </c>
      <c r="H494">
        <v>6902310</v>
      </c>
    </row>
    <row r="495" spans="1:11" ht="18" customHeight="1" thickBot="1" x14ac:dyDescent="0.35">
      <c r="A495" s="84"/>
      <c r="B495" s="17" t="s">
        <v>15</v>
      </c>
      <c r="C495" s="18">
        <f>SUM(C491:C494)</f>
        <v>1975.25</v>
      </c>
      <c r="D495" s="19"/>
      <c r="E495" s="18">
        <f>SUM(E491:E494)</f>
        <v>92836.75</v>
      </c>
      <c r="F495" s="18">
        <f>SUM(F491:F494)</f>
        <v>6498.5725000000002</v>
      </c>
      <c r="G495" s="18">
        <f>SUM(G491:G494)</f>
        <v>99335.322500000009</v>
      </c>
    </row>
    <row r="496" spans="1:11" ht="18" customHeight="1" thickTop="1" x14ac:dyDescent="0.3">
      <c r="A496" s="85"/>
      <c r="B496" s="68"/>
      <c r="C496" s="69"/>
      <c r="D496" s="70"/>
      <c r="E496" s="69"/>
      <c r="F496" s="69"/>
      <c r="G496" s="69"/>
    </row>
    <row r="497" spans="1:8" ht="18" customHeight="1" x14ac:dyDescent="0.3">
      <c r="A497" s="85"/>
      <c r="C497" s="69"/>
      <c r="D497" s="70"/>
      <c r="E497" s="69"/>
      <c r="F497" s="69"/>
      <c r="G497" s="69"/>
    </row>
    <row r="498" spans="1:8" ht="30" customHeight="1" x14ac:dyDescent="0.3">
      <c r="A498" s="359" t="s">
        <v>107</v>
      </c>
      <c r="B498" s="359"/>
      <c r="C498" s="359"/>
      <c r="D498" s="359"/>
      <c r="E498" s="359"/>
      <c r="F498" s="359"/>
      <c r="G498" s="359"/>
    </row>
    <row r="499" spans="1:8" ht="18" customHeight="1" x14ac:dyDescent="0.3">
      <c r="A499" s="1" t="s">
        <v>2</v>
      </c>
      <c r="B499" s="2" t="s">
        <v>3</v>
      </c>
      <c r="C499" s="2" t="s">
        <v>108</v>
      </c>
      <c r="D499" s="3" t="s">
        <v>5</v>
      </c>
      <c r="E499" s="2" t="s">
        <v>6</v>
      </c>
      <c r="F499" s="2" t="s">
        <v>7</v>
      </c>
      <c r="G499" s="2" t="s">
        <v>8</v>
      </c>
    </row>
    <row r="500" spans="1:8" ht="18" customHeight="1" x14ac:dyDescent="0.4">
      <c r="A500" s="16" t="s">
        <v>473</v>
      </c>
      <c r="B500" s="5" t="s">
        <v>109</v>
      </c>
      <c r="C500" s="50">
        <v>297.25</v>
      </c>
      <c r="D500" s="142">
        <v>50</v>
      </c>
      <c r="E500" s="6">
        <f>+C500*D500</f>
        <v>14862.5</v>
      </c>
      <c r="F500" s="60">
        <f>+E500*7%</f>
        <v>1040.375</v>
      </c>
      <c r="G500" s="60">
        <f>+E500+F500</f>
        <v>15902.875</v>
      </c>
      <c r="H500">
        <v>6902281</v>
      </c>
    </row>
    <row r="501" spans="1:8" ht="18" customHeight="1" x14ac:dyDescent="0.4">
      <c r="A501" s="16" t="s">
        <v>479</v>
      </c>
      <c r="B501" s="5" t="s">
        <v>109</v>
      </c>
      <c r="C501" s="50">
        <v>1067.5999999999999</v>
      </c>
      <c r="D501" s="142">
        <v>50</v>
      </c>
      <c r="E501" s="6">
        <f>+C501*D501</f>
        <v>53379.999999999993</v>
      </c>
      <c r="F501" s="60">
        <f>+E501*7%</f>
        <v>3736.6</v>
      </c>
      <c r="G501" s="60">
        <f>+E501+F501</f>
        <v>57116.599999999991</v>
      </c>
      <c r="H501">
        <v>6902299</v>
      </c>
    </row>
    <row r="502" spans="1:8" ht="18" customHeight="1" thickBot="1" x14ac:dyDescent="0.35">
      <c r="A502" s="139"/>
      <c r="B502" s="17" t="s">
        <v>15</v>
      </c>
      <c r="C502" s="18">
        <f>SUM(C500:C501)</f>
        <v>1364.85</v>
      </c>
      <c r="D502" s="133"/>
      <c r="E502" s="18">
        <f>SUM(E500:E501)</f>
        <v>68242.5</v>
      </c>
      <c r="F502" s="18">
        <f>SUM(F500:F501)</f>
        <v>4776.9750000000004</v>
      </c>
      <c r="G502" s="18">
        <f>SUM(G500:G501)</f>
        <v>73019.474999999991</v>
      </c>
    </row>
    <row r="503" spans="1:8" ht="17.25" thickBot="1" x14ac:dyDescent="0.35"/>
    <row r="504" spans="1:8" s="30" customFormat="1" ht="18.75" customHeight="1" x14ac:dyDescent="0.5">
      <c r="A504" s="85"/>
      <c r="B504" s="68"/>
      <c r="C504" s="69"/>
      <c r="D504" s="70"/>
      <c r="E504" s="71"/>
      <c r="F504" s="71"/>
      <c r="G504" s="71"/>
    </row>
    <row r="505" spans="1:8" s="30" customFormat="1" ht="18.75" customHeight="1" x14ac:dyDescent="0.5">
      <c r="A505" s="85"/>
      <c r="B505" s="68"/>
      <c r="C505" s="69"/>
      <c r="D505" s="70"/>
      <c r="E505" s="71"/>
      <c r="F505" s="71"/>
      <c r="G505" s="71"/>
    </row>
    <row r="506" spans="1:8" s="30" customFormat="1" ht="23.25" x14ac:dyDescent="0.5">
      <c r="A506" s="359" t="s">
        <v>521</v>
      </c>
      <c r="B506" s="359"/>
      <c r="C506" s="359"/>
      <c r="D506" s="359"/>
      <c r="E506" s="359"/>
      <c r="F506" s="359"/>
      <c r="G506" s="359"/>
    </row>
    <row r="507" spans="1:8" s="30" customFormat="1" ht="18" customHeight="1" x14ac:dyDescent="0.5">
      <c r="A507" s="1" t="s">
        <v>2</v>
      </c>
      <c r="B507" s="2" t="s">
        <v>3</v>
      </c>
      <c r="C507" s="2" t="s">
        <v>88</v>
      </c>
      <c r="D507" s="3" t="s">
        <v>5</v>
      </c>
      <c r="E507" s="2" t="s">
        <v>6</v>
      </c>
      <c r="F507" s="2" t="s">
        <v>7</v>
      </c>
      <c r="G507" s="2" t="s">
        <v>8</v>
      </c>
    </row>
    <row r="508" spans="1:8" s="30" customFormat="1" ht="18" customHeight="1" x14ac:dyDescent="0.5">
      <c r="A508" s="81" t="s">
        <v>473</v>
      </c>
      <c r="B508" s="171" t="s">
        <v>89</v>
      </c>
      <c r="C508" s="169">
        <v>60</v>
      </c>
      <c r="D508" s="142">
        <v>110</v>
      </c>
      <c r="E508" s="60">
        <f>+C508*D508</f>
        <v>6600</v>
      </c>
      <c r="F508" s="60">
        <f>+E508*7%</f>
        <v>462.00000000000006</v>
      </c>
      <c r="G508" s="60">
        <f>+E508+F508</f>
        <v>7062</v>
      </c>
      <c r="H508" s="30">
        <v>6902277</v>
      </c>
    </row>
    <row r="509" spans="1:8" s="30" customFormat="1" ht="18" customHeight="1" thickBot="1" x14ac:dyDescent="0.55000000000000004">
      <c r="A509" s="84"/>
      <c r="B509" s="17" t="s">
        <v>15</v>
      </c>
      <c r="C509" s="18">
        <f>SUM(C508:C508)</f>
        <v>60</v>
      </c>
      <c r="D509" s="19"/>
      <c r="E509" s="62">
        <f>SUM(E508:E508)</f>
        <v>6600</v>
      </c>
      <c r="F509" s="62">
        <f>SUM(F508:F508)</f>
        <v>462.00000000000006</v>
      </c>
      <c r="G509" s="62">
        <f>SUM(G508:G508)</f>
        <v>7062</v>
      </c>
    </row>
    <row r="510" spans="1:8" ht="17.25" thickBot="1" x14ac:dyDescent="0.35"/>
    <row r="511" spans="1:8" s="30" customFormat="1" ht="12" customHeight="1" thickBot="1" x14ac:dyDescent="0.55000000000000004">
      <c r="A511" s="21"/>
      <c r="B511" s="147" t="s">
        <v>89</v>
      </c>
      <c r="C511" s="148">
        <f>+C509</f>
        <v>60</v>
      </c>
      <c r="D511" s="149">
        <v>2.0699999999999998</v>
      </c>
      <c r="E511" s="188">
        <f>+C511*D511</f>
        <v>124.19999999999999</v>
      </c>
      <c r="F511" s="23"/>
      <c r="G511" s="23"/>
    </row>
    <row r="512" spans="1:8" s="30" customFormat="1" ht="18.75" customHeight="1" thickTop="1" x14ac:dyDescent="0.5">
      <c r="A512" s="85"/>
      <c r="B512" s="68"/>
      <c r="C512" s="69"/>
      <c r="D512" s="70"/>
      <c r="E512" s="71"/>
      <c r="F512" s="71"/>
      <c r="G512" s="71"/>
    </row>
    <row r="514" spans="1:8" s="30" customFormat="1" ht="23.25" x14ac:dyDescent="0.5">
      <c r="A514" s="359" t="s">
        <v>110</v>
      </c>
      <c r="B514" s="359"/>
      <c r="C514" s="359"/>
      <c r="D514" s="359"/>
      <c r="E514" s="359"/>
      <c r="F514" s="359"/>
      <c r="G514" s="359"/>
    </row>
    <row r="515" spans="1:8" s="30" customFormat="1" ht="18" customHeight="1" x14ac:dyDescent="0.5">
      <c r="A515" s="1" t="s">
        <v>2</v>
      </c>
      <c r="B515" s="2" t="s">
        <v>3</v>
      </c>
      <c r="C515" s="2" t="s">
        <v>88</v>
      </c>
      <c r="D515" s="3" t="s">
        <v>5</v>
      </c>
      <c r="E515" s="2" t="s">
        <v>6</v>
      </c>
      <c r="F515" s="2" t="s">
        <v>7</v>
      </c>
      <c r="G515" s="2" t="s">
        <v>8</v>
      </c>
    </row>
    <row r="516" spans="1:8" s="30" customFormat="1" ht="18" customHeight="1" x14ac:dyDescent="0.5">
      <c r="A516" s="81" t="s">
        <v>477</v>
      </c>
      <c r="B516" s="171" t="s">
        <v>522</v>
      </c>
      <c r="C516" s="168">
        <v>120</v>
      </c>
      <c r="D516" s="83">
        <v>92.75</v>
      </c>
      <c r="E516" s="6">
        <f t="shared" ref="E516:E518" si="82">+C516*D516</f>
        <v>11130</v>
      </c>
      <c r="F516" s="60">
        <f t="shared" ref="F516:F518" si="83">+E516*7%</f>
        <v>779.1</v>
      </c>
      <c r="G516" s="60">
        <f t="shared" ref="G516:G518" si="84">+E516+F516</f>
        <v>11909.1</v>
      </c>
      <c r="H516" s="30">
        <v>6902164</v>
      </c>
    </row>
    <row r="517" spans="1:8" s="30" customFormat="1" ht="18" customHeight="1" x14ac:dyDescent="0.5">
      <c r="A517" s="81" t="s">
        <v>479</v>
      </c>
      <c r="B517" s="171" t="s">
        <v>522</v>
      </c>
      <c r="C517" s="168">
        <v>60</v>
      </c>
      <c r="D517" s="83">
        <v>92.75</v>
      </c>
      <c r="E517" s="6">
        <f t="shared" si="82"/>
        <v>5565</v>
      </c>
      <c r="F517" s="60">
        <f t="shared" si="83"/>
        <v>389.55</v>
      </c>
      <c r="G517" s="60">
        <f t="shared" si="84"/>
        <v>5954.55</v>
      </c>
      <c r="H517" s="30">
        <v>6902298</v>
      </c>
    </row>
    <row r="518" spans="1:8" s="30" customFormat="1" ht="18" customHeight="1" x14ac:dyDescent="0.5">
      <c r="A518" s="81" t="s">
        <v>476</v>
      </c>
      <c r="B518" s="171" t="s">
        <v>307</v>
      </c>
      <c r="C518" s="168">
        <v>240</v>
      </c>
      <c r="D518" s="83">
        <v>87.45</v>
      </c>
      <c r="E518" s="6">
        <f t="shared" si="82"/>
        <v>20988</v>
      </c>
      <c r="F518" s="60">
        <f t="shared" si="83"/>
        <v>1469.16</v>
      </c>
      <c r="G518" s="60">
        <f t="shared" si="84"/>
        <v>22457.16</v>
      </c>
      <c r="H518" s="30">
        <v>6902093</v>
      </c>
    </row>
    <row r="519" spans="1:8" s="30" customFormat="1" ht="18" customHeight="1" thickBot="1" x14ac:dyDescent="0.55000000000000004">
      <c r="A519" s="84"/>
      <c r="B519" s="17" t="s">
        <v>15</v>
      </c>
      <c r="C519" s="18">
        <f>SUM(C516:C518)</f>
        <v>420</v>
      </c>
      <c r="D519" s="19"/>
      <c r="E519" s="62">
        <f>SUM(E516:E518)</f>
        <v>37683</v>
      </c>
      <c r="F519" s="62">
        <f>SUM(F516:F518)</f>
        <v>2637.8100000000004</v>
      </c>
      <c r="G519" s="62">
        <f>SUM(G516:G518)</f>
        <v>40320.81</v>
      </c>
    </row>
    <row r="520" spans="1:8" ht="17.25" thickTop="1" x14ac:dyDescent="0.3"/>
    <row r="521" spans="1:8" ht="18" x14ac:dyDescent="0.4">
      <c r="B521" s="22" t="s">
        <v>299</v>
      </c>
      <c r="C521" s="194">
        <v>0</v>
      </c>
      <c r="D521" s="195">
        <f>50*11600*15*0.921/10000000</f>
        <v>0.80127000000000004</v>
      </c>
      <c r="E521" s="172">
        <f>+C521*D521</f>
        <v>0</v>
      </c>
    </row>
    <row r="522" spans="1:8" ht="18" x14ac:dyDescent="0.4">
      <c r="B522" s="22" t="s">
        <v>300</v>
      </c>
      <c r="C522" s="194">
        <v>0</v>
      </c>
      <c r="D522" s="195">
        <v>1.2</v>
      </c>
      <c r="E522" s="172">
        <f t="shared" ref="E522:E532" si="85">+C522*D522</f>
        <v>0</v>
      </c>
    </row>
    <row r="523" spans="1:8" ht="18" x14ac:dyDescent="0.4">
      <c r="B523" s="22" t="s">
        <v>301</v>
      </c>
      <c r="C523" s="194">
        <v>0</v>
      </c>
      <c r="D523" s="195">
        <f>50*18100*15*0.921/10000000</f>
        <v>1.2502575</v>
      </c>
      <c r="E523" s="172">
        <f t="shared" si="85"/>
        <v>0</v>
      </c>
    </row>
    <row r="524" spans="1:8" ht="18" x14ac:dyDescent="0.4">
      <c r="B524" s="22" t="s">
        <v>302</v>
      </c>
      <c r="C524" s="194">
        <v>0</v>
      </c>
      <c r="D524" s="195">
        <f>50*19800*17*0.921/10000000</f>
        <v>1.5500430000000001</v>
      </c>
      <c r="E524" s="172">
        <f t="shared" si="85"/>
        <v>0</v>
      </c>
    </row>
    <row r="525" spans="1:8" ht="18" x14ac:dyDescent="0.4">
      <c r="B525" s="22" t="s">
        <v>303</v>
      </c>
      <c r="C525" s="194">
        <v>0</v>
      </c>
      <c r="D525" s="195">
        <v>1.59</v>
      </c>
      <c r="E525" s="172">
        <f t="shared" si="85"/>
        <v>0</v>
      </c>
    </row>
    <row r="526" spans="1:8" ht="18" x14ac:dyDescent="0.4">
      <c r="B526" s="22" t="s">
        <v>241</v>
      </c>
      <c r="C526" s="194">
        <v>0</v>
      </c>
      <c r="D526" s="195">
        <v>1.45</v>
      </c>
      <c r="E526" s="172">
        <f t="shared" si="85"/>
        <v>0</v>
      </c>
    </row>
    <row r="527" spans="1:8" ht="18" x14ac:dyDescent="0.35">
      <c r="B527" s="147" t="s">
        <v>304</v>
      </c>
      <c r="C527" s="194">
        <v>0</v>
      </c>
      <c r="D527" s="149">
        <f>50*22400*15*0.921/10000000</f>
        <v>1.54728</v>
      </c>
      <c r="E527" s="172">
        <f t="shared" si="85"/>
        <v>0</v>
      </c>
      <c r="F527" s="173"/>
    </row>
    <row r="528" spans="1:8" ht="18" x14ac:dyDescent="0.35">
      <c r="B528" s="147" t="s">
        <v>522</v>
      </c>
      <c r="C528" s="194">
        <f>C516+C517</f>
        <v>180</v>
      </c>
      <c r="D528" s="149">
        <v>1.76</v>
      </c>
      <c r="E528" s="172">
        <f t="shared" si="85"/>
        <v>316.8</v>
      </c>
      <c r="F528" s="173"/>
    </row>
    <row r="529" spans="1:8" ht="18" x14ac:dyDescent="0.35">
      <c r="B529" s="147" t="s">
        <v>305</v>
      </c>
      <c r="C529" s="194">
        <v>0</v>
      </c>
      <c r="D529" s="149">
        <v>1.6</v>
      </c>
      <c r="E529" s="172">
        <f t="shared" si="85"/>
        <v>0</v>
      </c>
      <c r="F529" s="173"/>
    </row>
    <row r="530" spans="1:8" ht="18" x14ac:dyDescent="0.35">
      <c r="B530" s="147" t="s">
        <v>306</v>
      </c>
      <c r="C530" s="194">
        <v>0</v>
      </c>
      <c r="D530" s="149">
        <f>50*23600*17*0.921/10000000</f>
        <v>1.847526</v>
      </c>
      <c r="E530" s="172">
        <f t="shared" si="85"/>
        <v>0</v>
      </c>
      <c r="F530" s="173"/>
    </row>
    <row r="531" spans="1:8" ht="18" x14ac:dyDescent="0.35">
      <c r="B531" s="147" t="s">
        <v>307</v>
      </c>
      <c r="C531" s="194">
        <f>C518</f>
        <v>240</v>
      </c>
      <c r="D531" s="149">
        <f>50*23900*15*0.921/10000000</f>
        <v>1.6508925000000001</v>
      </c>
      <c r="E531" s="172">
        <f t="shared" si="85"/>
        <v>396.21420000000001</v>
      </c>
      <c r="F531" s="173"/>
    </row>
    <row r="532" spans="1:8" ht="18" x14ac:dyDescent="0.35">
      <c r="B532" s="147" t="s">
        <v>111</v>
      </c>
      <c r="C532" s="194">
        <v>0</v>
      </c>
      <c r="D532" s="149">
        <v>1.74</v>
      </c>
      <c r="E532" s="172">
        <f t="shared" si="85"/>
        <v>0</v>
      </c>
      <c r="F532" s="173"/>
    </row>
    <row r="533" spans="1:8" ht="18" x14ac:dyDescent="0.35">
      <c r="B533" s="147" t="s">
        <v>308</v>
      </c>
      <c r="C533" s="194">
        <v>0</v>
      </c>
      <c r="D533" s="149">
        <f>50*28300*15*0.921/10000000</f>
        <v>1.9548224999999999</v>
      </c>
      <c r="E533" s="172">
        <f t="shared" ref="E533:E534" si="86">+C533*D533</f>
        <v>0</v>
      </c>
      <c r="F533" s="173"/>
    </row>
    <row r="534" spans="1:8" ht="18" x14ac:dyDescent="0.35">
      <c r="B534" s="147" t="s">
        <v>309</v>
      </c>
      <c r="C534" s="194">
        <v>0</v>
      </c>
      <c r="D534" s="149">
        <f>50*29000*15*0.921/10000000</f>
        <v>2.0031750000000001</v>
      </c>
      <c r="E534" s="172">
        <f t="shared" si="86"/>
        <v>0</v>
      </c>
      <c r="F534" s="173"/>
    </row>
    <row r="535" spans="1:8" ht="18.75" thickBot="1" x14ac:dyDescent="0.4">
      <c r="B535" s="147" t="s">
        <v>89</v>
      </c>
      <c r="C535" s="194">
        <v>0</v>
      </c>
      <c r="D535" s="149">
        <v>2.0699999999999998</v>
      </c>
      <c r="E535" s="172">
        <f>+C535*D535</f>
        <v>0</v>
      </c>
      <c r="F535" s="174">
        <f>SUM(E521:E535)</f>
        <v>713.01420000000007</v>
      </c>
    </row>
    <row r="536" spans="1:8" ht="12" customHeight="1" thickTop="1" x14ac:dyDescent="0.4">
      <c r="B536" s="147"/>
      <c r="C536" s="148"/>
      <c r="D536" s="149"/>
      <c r="E536" s="23"/>
    </row>
    <row r="537" spans="1:8" ht="18" customHeight="1" x14ac:dyDescent="0.3">
      <c r="A537" s="85"/>
      <c r="B537" s="68"/>
      <c r="C537" s="69"/>
      <c r="D537" s="70"/>
      <c r="E537" s="71"/>
      <c r="F537" s="71"/>
      <c r="G537" s="71"/>
    </row>
    <row r="538" spans="1:8" ht="18" customHeight="1" x14ac:dyDescent="0.3">
      <c r="A538" s="85"/>
      <c r="B538" s="68"/>
      <c r="C538" s="69"/>
      <c r="D538" s="70"/>
      <c r="E538" s="71"/>
      <c r="F538" s="71"/>
      <c r="G538" s="71"/>
    </row>
    <row r="539" spans="1:8" ht="23.25" x14ac:dyDescent="0.3">
      <c r="A539" s="359" t="s">
        <v>112</v>
      </c>
      <c r="B539" s="359"/>
      <c r="C539" s="359"/>
      <c r="D539" s="359"/>
      <c r="E539" s="359"/>
      <c r="F539" s="359"/>
      <c r="G539" s="359"/>
    </row>
    <row r="540" spans="1:8" ht="18" customHeight="1" x14ac:dyDescent="0.3">
      <c r="A540" s="1" t="s">
        <v>2</v>
      </c>
      <c r="B540" s="2" t="s">
        <v>3</v>
      </c>
      <c r="C540" s="2" t="s">
        <v>108</v>
      </c>
      <c r="D540" s="3" t="s">
        <v>5</v>
      </c>
      <c r="E540" s="2" t="s">
        <v>6</v>
      </c>
      <c r="F540" s="2" t="s">
        <v>7</v>
      </c>
      <c r="G540" s="2" t="s">
        <v>8</v>
      </c>
    </row>
    <row r="541" spans="1:8" ht="18" customHeight="1" x14ac:dyDescent="0.4">
      <c r="A541" s="81" t="s">
        <v>467</v>
      </c>
      <c r="B541" s="171" t="s">
        <v>260</v>
      </c>
      <c r="C541" s="169">
        <v>4972.95</v>
      </c>
      <c r="D541" s="142">
        <v>74</v>
      </c>
      <c r="E541" s="60">
        <f t="shared" ref="E541:E542" si="87">+C541*D541</f>
        <v>367998.3</v>
      </c>
      <c r="F541" s="60">
        <f t="shared" ref="F541:F542" si="88">+E541*7%</f>
        <v>25759.881000000001</v>
      </c>
      <c r="G541" s="60">
        <f t="shared" ref="G541:G542" si="89">+E541+F541</f>
        <v>393758.18099999998</v>
      </c>
      <c r="H541">
        <v>6902179</v>
      </c>
    </row>
    <row r="542" spans="1:8" ht="18" customHeight="1" x14ac:dyDescent="0.4">
      <c r="A542" s="81" t="s">
        <v>474</v>
      </c>
      <c r="B542" s="171" t="s">
        <v>260</v>
      </c>
      <c r="C542" s="169">
        <v>4983.25</v>
      </c>
      <c r="D542" s="142">
        <v>74</v>
      </c>
      <c r="E542" s="60">
        <f t="shared" si="87"/>
        <v>368760.5</v>
      </c>
      <c r="F542" s="60">
        <f t="shared" si="88"/>
        <v>25813.235000000004</v>
      </c>
      <c r="G542" s="60">
        <f t="shared" si="89"/>
        <v>394573.73499999999</v>
      </c>
      <c r="H542">
        <v>6902302</v>
      </c>
    </row>
    <row r="543" spans="1:8" ht="18" customHeight="1" thickBot="1" x14ac:dyDescent="0.35">
      <c r="A543" s="84"/>
      <c r="B543" s="17" t="s">
        <v>15</v>
      </c>
      <c r="C543" s="18">
        <f>SUM(C541:C542)</f>
        <v>9956.2000000000007</v>
      </c>
      <c r="D543" s="19"/>
      <c r="E543" s="62">
        <f>SUM(E541:E542)</f>
        <v>736758.8</v>
      </c>
      <c r="F543" s="62">
        <f t="shared" ref="F543:G543" si="90">SUM(F541:F542)</f>
        <v>51573.116000000009</v>
      </c>
      <c r="G543" s="62">
        <f t="shared" si="90"/>
        <v>788331.91599999997</v>
      </c>
    </row>
    <row r="544" spans="1:8" ht="18" customHeight="1" thickTop="1" x14ac:dyDescent="0.3">
      <c r="A544" s="85"/>
      <c r="B544" s="68"/>
      <c r="C544" s="69"/>
      <c r="D544" s="70"/>
      <c r="E544" s="71"/>
      <c r="F544" s="71"/>
      <c r="G544" s="71"/>
    </row>
    <row r="545" spans="1:8" ht="18" customHeight="1" x14ac:dyDescent="0.3">
      <c r="A545" s="85"/>
      <c r="B545" s="68"/>
      <c r="C545" s="69"/>
      <c r="D545" s="70"/>
      <c r="E545" s="71"/>
      <c r="F545" s="71"/>
      <c r="G545" s="71"/>
    </row>
    <row r="546" spans="1:8" ht="23.25" x14ac:dyDescent="0.3">
      <c r="A546" s="359" t="s">
        <v>115</v>
      </c>
      <c r="B546" s="359"/>
      <c r="C546" s="359"/>
      <c r="D546" s="359"/>
      <c r="E546" s="359"/>
      <c r="F546" s="359"/>
      <c r="G546" s="359"/>
    </row>
    <row r="547" spans="1:8" ht="18" customHeight="1" x14ac:dyDescent="0.3">
      <c r="A547" s="1" t="s">
        <v>2</v>
      </c>
      <c r="B547" s="2" t="s">
        <v>3</v>
      </c>
      <c r="C547" s="2" t="s">
        <v>4</v>
      </c>
      <c r="D547" s="3" t="s">
        <v>5</v>
      </c>
      <c r="E547" s="2" t="s">
        <v>6</v>
      </c>
      <c r="F547" s="2" t="s">
        <v>7</v>
      </c>
      <c r="G547" s="2" t="s">
        <v>8</v>
      </c>
    </row>
    <row r="548" spans="1:8" ht="18" customHeight="1" x14ac:dyDescent="0.4">
      <c r="A548" s="81" t="s">
        <v>468</v>
      </c>
      <c r="B548" s="171" t="s">
        <v>116</v>
      </c>
      <c r="C548" s="169">
        <v>602.95000000000005</v>
      </c>
      <c r="D548" s="142">
        <v>76</v>
      </c>
      <c r="E548" s="60">
        <f t="shared" ref="E548:E575" si="91">+C548*D548</f>
        <v>45824.200000000004</v>
      </c>
      <c r="F548" s="60">
        <f t="shared" ref="F548:F575" si="92">+E548*7%</f>
        <v>3207.6940000000004</v>
      </c>
      <c r="G548" s="60">
        <f t="shared" ref="G548:G575" si="93">+E548+F548</f>
        <v>49031.894000000008</v>
      </c>
      <c r="H548">
        <v>6902193</v>
      </c>
    </row>
    <row r="549" spans="1:8" ht="18" customHeight="1" x14ac:dyDescent="0.4">
      <c r="A549" s="81" t="s">
        <v>468</v>
      </c>
      <c r="B549" s="171" t="s">
        <v>116</v>
      </c>
      <c r="C549" s="169">
        <v>596</v>
      </c>
      <c r="D549" s="142">
        <v>76</v>
      </c>
      <c r="E549" s="60">
        <f t="shared" si="91"/>
        <v>45296</v>
      </c>
      <c r="F549" s="60">
        <f t="shared" si="92"/>
        <v>3170.7200000000003</v>
      </c>
      <c r="G549" s="60">
        <f t="shared" si="93"/>
        <v>48466.720000000001</v>
      </c>
      <c r="H549">
        <v>6902192</v>
      </c>
    </row>
    <row r="550" spans="1:8" ht="18" customHeight="1" x14ac:dyDescent="0.4">
      <c r="A550" s="81" t="s">
        <v>468</v>
      </c>
      <c r="B550" s="171" t="s">
        <v>116</v>
      </c>
      <c r="C550" s="169">
        <v>590.15</v>
      </c>
      <c r="D550" s="142">
        <v>76</v>
      </c>
      <c r="E550" s="60">
        <f t="shared" si="91"/>
        <v>44851.4</v>
      </c>
      <c r="F550" s="60">
        <f>+E550*7%</f>
        <v>3139.5980000000004</v>
      </c>
      <c r="G550" s="60">
        <f t="shared" si="93"/>
        <v>47990.998</v>
      </c>
      <c r="H550">
        <v>6902192</v>
      </c>
    </row>
    <row r="551" spans="1:8" ht="18" customHeight="1" x14ac:dyDescent="0.4">
      <c r="A551" s="81" t="s">
        <v>468</v>
      </c>
      <c r="B551" s="171" t="s">
        <v>116</v>
      </c>
      <c r="C551" s="169">
        <v>600.1</v>
      </c>
      <c r="D551" s="142">
        <v>76</v>
      </c>
      <c r="E551" s="60">
        <f t="shared" si="91"/>
        <v>45607.6</v>
      </c>
      <c r="F551" s="60">
        <f t="shared" si="92"/>
        <v>3192.5320000000002</v>
      </c>
      <c r="G551" s="60">
        <f t="shared" si="93"/>
        <v>48800.131999999998</v>
      </c>
      <c r="H551">
        <v>6902191</v>
      </c>
    </row>
    <row r="552" spans="1:8" ht="18" customHeight="1" x14ac:dyDescent="0.4">
      <c r="A552" s="81" t="s">
        <v>468</v>
      </c>
      <c r="B552" s="171" t="s">
        <v>116</v>
      </c>
      <c r="C552" s="169">
        <v>599.5</v>
      </c>
      <c r="D552" s="142">
        <v>76</v>
      </c>
      <c r="E552" s="60">
        <f t="shared" si="91"/>
        <v>45562</v>
      </c>
      <c r="F552" s="60">
        <f t="shared" si="92"/>
        <v>3189.34</v>
      </c>
      <c r="G552" s="60">
        <f t="shared" si="93"/>
        <v>48751.34</v>
      </c>
      <c r="H552">
        <v>6902191</v>
      </c>
    </row>
    <row r="553" spans="1:8" ht="18" customHeight="1" x14ac:dyDescent="0.4">
      <c r="A553" s="81" t="s">
        <v>468</v>
      </c>
      <c r="B553" s="171" t="s">
        <v>116</v>
      </c>
      <c r="C553" s="169">
        <v>594.70000000000005</v>
      </c>
      <c r="D553" s="142">
        <v>76</v>
      </c>
      <c r="E553" s="60">
        <f t="shared" si="91"/>
        <v>45197.200000000004</v>
      </c>
      <c r="F553" s="60">
        <f t="shared" si="92"/>
        <v>3163.8040000000005</v>
      </c>
      <c r="G553" s="60">
        <f t="shared" si="93"/>
        <v>48361.004000000008</v>
      </c>
      <c r="H553">
        <v>6902190</v>
      </c>
    </row>
    <row r="554" spans="1:8" ht="18" customHeight="1" x14ac:dyDescent="0.4">
      <c r="A554" s="81" t="s">
        <v>468</v>
      </c>
      <c r="B554" s="171" t="s">
        <v>116</v>
      </c>
      <c r="C554" s="169">
        <v>598.1</v>
      </c>
      <c r="D554" s="142">
        <v>76</v>
      </c>
      <c r="E554" s="60">
        <f t="shared" si="91"/>
        <v>45455.6</v>
      </c>
      <c r="F554" s="60">
        <f t="shared" si="92"/>
        <v>3181.8920000000003</v>
      </c>
      <c r="G554" s="60">
        <f t="shared" si="93"/>
        <v>48637.491999999998</v>
      </c>
      <c r="H554">
        <v>6902190</v>
      </c>
    </row>
    <row r="555" spans="1:8" ht="18" customHeight="1" x14ac:dyDescent="0.4">
      <c r="A555" s="81" t="s">
        <v>465</v>
      </c>
      <c r="B555" s="171" t="s">
        <v>167</v>
      </c>
      <c r="C555" s="169">
        <v>583</v>
      </c>
      <c r="D555" s="142">
        <v>76</v>
      </c>
      <c r="E555" s="60">
        <f t="shared" si="91"/>
        <v>44308</v>
      </c>
      <c r="F555" s="60">
        <f t="shared" si="92"/>
        <v>3101.5600000000004</v>
      </c>
      <c r="G555" s="60">
        <f t="shared" si="93"/>
        <v>47409.56</v>
      </c>
      <c r="H555">
        <v>6902099</v>
      </c>
    </row>
    <row r="556" spans="1:8" ht="18" customHeight="1" x14ac:dyDescent="0.4">
      <c r="A556" s="81" t="s">
        <v>465</v>
      </c>
      <c r="B556" s="171" t="s">
        <v>167</v>
      </c>
      <c r="C556" s="169">
        <v>596.15</v>
      </c>
      <c r="D556" s="142">
        <v>76</v>
      </c>
      <c r="E556" s="60">
        <f t="shared" si="91"/>
        <v>45307.4</v>
      </c>
      <c r="F556" s="60">
        <f t="shared" si="92"/>
        <v>3171.5180000000005</v>
      </c>
      <c r="G556" s="60">
        <f t="shared" si="93"/>
        <v>48478.918000000005</v>
      </c>
      <c r="H556">
        <v>6902099</v>
      </c>
    </row>
    <row r="557" spans="1:8" ht="18" customHeight="1" x14ac:dyDescent="0.4">
      <c r="A557" s="81" t="s">
        <v>472</v>
      </c>
      <c r="B557" s="171" t="s">
        <v>186</v>
      </c>
      <c r="C557" s="169">
        <v>594.9</v>
      </c>
      <c r="D557" s="142">
        <v>76</v>
      </c>
      <c r="E557" s="60">
        <f t="shared" si="91"/>
        <v>45212.4</v>
      </c>
      <c r="F557" s="60">
        <f t="shared" si="92"/>
        <v>3164.8680000000004</v>
      </c>
      <c r="G557" s="60">
        <f t="shared" si="93"/>
        <v>48377.268000000004</v>
      </c>
      <c r="H557">
        <v>6902252</v>
      </c>
    </row>
    <row r="558" spans="1:8" ht="18" customHeight="1" x14ac:dyDescent="0.4">
      <c r="A558" s="81" t="s">
        <v>463</v>
      </c>
      <c r="B558" s="171" t="s">
        <v>117</v>
      </c>
      <c r="C558" s="169">
        <v>594.01</v>
      </c>
      <c r="D558" s="142">
        <v>76</v>
      </c>
      <c r="E558" s="60">
        <f t="shared" si="91"/>
        <v>45144.76</v>
      </c>
      <c r="F558" s="60">
        <f t="shared" si="92"/>
        <v>3160.1332000000007</v>
      </c>
      <c r="G558" s="60">
        <f t="shared" si="93"/>
        <v>48304.893200000006</v>
      </c>
      <c r="H558">
        <v>6902054</v>
      </c>
    </row>
    <row r="559" spans="1:8" ht="18" customHeight="1" x14ac:dyDescent="0.4">
      <c r="A559" s="81" t="s">
        <v>463</v>
      </c>
      <c r="B559" s="171" t="s">
        <v>117</v>
      </c>
      <c r="C559" s="169">
        <v>590.96</v>
      </c>
      <c r="D559" s="142">
        <v>76</v>
      </c>
      <c r="E559" s="60">
        <f t="shared" si="91"/>
        <v>44912.960000000006</v>
      </c>
      <c r="F559" s="60">
        <f t="shared" si="92"/>
        <v>3143.9072000000006</v>
      </c>
      <c r="G559" s="60">
        <f t="shared" si="93"/>
        <v>48056.867200000008</v>
      </c>
      <c r="H559">
        <v>6902054</v>
      </c>
    </row>
    <row r="560" spans="1:8" ht="18" customHeight="1" x14ac:dyDescent="0.4">
      <c r="A560" s="81" t="s">
        <v>463</v>
      </c>
      <c r="B560" s="171" t="s">
        <v>117</v>
      </c>
      <c r="C560" s="169">
        <v>608.29999999999995</v>
      </c>
      <c r="D560" s="142">
        <v>76</v>
      </c>
      <c r="E560" s="60">
        <f t="shared" si="91"/>
        <v>46230.799999999996</v>
      </c>
      <c r="F560" s="60">
        <f t="shared" si="92"/>
        <v>3236.1559999999999</v>
      </c>
      <c r="G560" s="60">
        <f t="shared" si="93"/>
        <v>49466.955999999998</v>
      </c>
      <c r="H560">
        <v>6902053</v>
      </c>
    </row>
    <row r="561" spans="1:8" ht="18" customHeight="1" x14ac:dyDescent="0.4">
      <c r="A561" s="81" t="s">
        <v>463</v>
      </c>
      <c r="B561" s="171" t="s">
        <v>117</v>
      </c>
      <c r="C561" s="169">
        <v>605.54999999999995</v>
      </c>
      <c r="D561" s="142">
        <v>76</v>
      </c>
      <c r="E561" s="60">
        <f t="shared" si="91"/>
        <v>46021.799999999996</v>
      </c>
      <c r="F561" s="60">
        <f t="shared" si="92"/>
        <v>3221.5259999999998</v>
      </c>
      <c r="G561" s="60">
        <f t="shared" si="93"/>
        <v>49243.325999999994</v>
      </c>
      <c r="H561">
        <v>6902053</v>
      </c>
    </row>
    <row r="562" spans="1:8" ht="18" customHeight="1" x14ac:dyDescent="0.4">
      <c r="A562" s="81" t="s">
        <v>470</v>
      </c>
      <c r="B562" s="171" t="s">
        <v>117</v>
      </c>
      <c r="C562" s="169">
        <v>594.91</v>
      </c>
      <c r="D562" s="142">
        <v>76</v>
      </c>
      <c r="E562" s="60">
        <f t="shared" si="91"/>
        <v>45213.159999999996</v>
      </c>
      <c r="F562" s="60">
        <f t="shared" si="92"/>
        <v>3164.9212000000002</v>
      </c>
      <c r="G562" s="60">
        <f t="shared" si="93"/>
        <v>48378.081199999993</v>
      </c>
      <c r="H562">
        <v>6902234</v>
      </c>
    </row>
    <row r="563" spans="1:8" ht="18" customHeight="1" x14ac:dyDescent="0.4">
      <c r="A563" s="81" t="s">
        <v>470</v>
      </c>
      <c r="B563" s="171" t="s">
        <v>117</v>
      </c>
      <c r="C563" s="169">
        <v>594.05999999999995</v>
      </c>
      <c r="D563" s="142">
        <v>76</v>
      </c>
      <c r="E563" s="60">
        <f t="shared" si="91"/>
        <v>45148.56</v>
      </c>
      <c r="F563" s="60">
        <f t="shared" si="92"/>
        <v>3160.3992000000003</v>
      </c>
      <c r="G563" s="60">
        <f t="shared" si="93"/>
        <v>48308.959199999998</v>
      </c>
      <c r="H563">
        <v>6902234</v>
      </c>
    </row>
    <row r="564" spans="1:8" ht="18" customHeight="1" x14ac:dyDescent="0.4">
      <c r="A564" s="81" t="s">
        <v>470</v>
      </c>
      <c r="B564" s="171" t="s">
        <v>117</v>
      </c>
      <c r="C564" s="169">
        <v>609.75</v>
      </c>
      <c r="D564" s="142">
        <v>76</v>
      </c>
      <c r="E564" s="60">
        <f t="shared" si="91"/>
        <v>46341</v>
      </c>
      <c r="F564" s="60">
        <f t="shared" si="92"/>
        <v>3243.8700000000003</v>
      </c>
      <c r="G564" s="60">
        <f t="shared" si="93"/>
        <v>49584.87</v>
      </c>
      <c r="H564">
        <v>6902233</v>
      </c>
    </row>
    <row r="565" spans="1:8" ht="18" customHeight="1" x14ac:dyDescent="0.4">
      <c r="A565" s="81" t="s">
        <v>523</v>
      </c>
      <c r="B565" s="171" t="s">
        <v>117</v>
      </c>
      <c r="C565" s="169">
        <v>589.96</v>
      </c>
      <c r="D565" s="142">
        <v>76</v>
      </c>
      <c r="E565" s="60">
        <f t="shared" si="91"/>
        <v>44836.960000000006</v>
      </c>
      <c r="F565" s="60">
        <f t="shared" si="92"/>
        <v>3138.5872000000008</v>
      </c>
      <c r="G565" s="60">
        <f t="shared" si="93"/>
        <v>47975.547200000008</v>
      </c>
      <c r="H565">
        <v>6902233</v>
      </c>
    </row>
    <row r="566" spans="1:8" ht="18" customHeight="1" x14ac:dyDescent="0.4">
      <c r="A566" s="81" t="s">
        <v>472</v>
      </c>
      <c r="B566" s="171" t="s">
        <v>196</v>
      </c>
      <c r="C566" s="169">
        <v>590.80999999999995</v>
      </c>
      <c r="D566" s="142">
        <v>76</v>
      </c>
      <c r="E566" s="60">
        <f t="shared" si="91"/>
        <v>44901.56</v>
      </c>
      <c r="F566" s="60">
        <f t="shared" si="92"/>
        <v>3143.1092000000003</v>
      </c>
      <c r="G566" s="60">
        <f t="shared" si="93"/>
        <v>48044.669199999997</v>
      </c>
      <c r="H566">
        <v>6902255</v>
      </c>
    </row>
    <row r="567" spans="1:8" ht="18" customHeight="1" x14ac:dyDescent="0.4">
      <c r="A567" s="81" t="s">
        <v>472</v>
      </c>
      <c r="B567" s="171" t="s">
        <v>133</v>
      </c>
      <c r="C567" s="169">
        <v>580.21</v>
      </c>
      <c r="D567" s="142">
        <v>76</v>
      </c>
      <c r="E567" s="60">
        <f t="shared" si="91"/>
        <v>44095.960000000006</v>
      </c>
      <c r="F567" s="60">
        <f t="shared" si="92"/>
        <v>3086.717200000001</v>
      </c>
      <c r="G567" s="60">
        <f t="shared" si="93"/>
        <v>47182.677200000006</v>
      </c>
      <c r="H567">
        <v>6902254</v>
      </c>
    </row>
    <row r="568" spans="1:8" ht="18" customHeight="1" x14ac:dyDescent="0.4">
      <c r="A568" s="81" t="s">
        <v>477</v>
      </c>
      <c r="B568" s="171" t="s">
        <v>118</v>
      </c>
      <c r="C568" s="169">
        <v>593.91</v>
      </c>
      <c r="D568" s="142">
        <v>76</v>
      </c>
      <c r="E568" s="60">
        <f t="shared" si="91"/>
        <v>45137.159999999996</v>
      </c>
      <c r="F568" s="60">
        <f t="shared" si="92"/>
        <v>3159.6012000000001</v>
      </c>
      <c r="G568" s="60">
        <f t="shared" si="93"/>
        <v>48296.761199999994</v>
      </c>
      <c r="H568">
        <v>6902159</v>
      </c>
    </row>
    <row r="569" spans="1:8" ht="18" customHeight="1" x14ac:dyDescent="0.4">
      <c r="A569" s="81" t="s">
        <v>477</v>
      </c>
      <c r="B569" s="171" t="s">
        <v>118</v>
      </c>
      <c r="C569" s="169">
        <v>591.80999999999995</v>
      </c>
      <c r="D569" s="142">
        <v>76</v>
      </c>
      <c r="E569" s="60">
        <f t="shared" si="91"/>
        <v>44977.56</v>
      </c>
      <c r="F569" s="60">
        <f t="shared" si="92"/>
        <v>3148.4292</v>
      </c>
      <c r="G569" s="60">
        <f t="shared" si="93"/>
        <v>48125.989199999996</v>
      </c>
      <c r="H569">
        <v>6902158</v>
      </c>
    </row>
    <row r="570" spans="1:8" ht="18" customHeight="1" x14ac:dyDescent="0.4">
      <c r="A570" s="81" t="s">
        <v>477</v>
      </c>
      <c r="B570" s="171" t="s">
        <v>118</v>
      </c>
      <c r="C570" s="169">
        <v>589.61</v>
      </c>
      <c r="D570" s="142">
        <v>76</v>
      </c>
      <c r="E570" s="60">
        <f t="shared" si="91"/>
        <v>44810.36</v>
      </c>
      <c r="F570" s="60">
        <f t="shared" si="92"/>
        <v>3136.7252000000003</v>
      </c>
      <c r="G570" s="60">
        <f t="shared" si="93"/>
        <v>47947.085200000001</v>
      </c>
      <c r="H570">
        <v>6902158</v>
      </c>
    </row>
    <row r="571" spans="1:8" ht="18" customHeight="1" x14ac:dyDescent="0.4">
      <c r="A571" s="81" t="s">
        <v>459</v>
      </c>
      <c r="B571" s="171" t="s">
        <v>118</v>
      </c>
      <c r="C571" s="169">
        <v>595.16</v>
      </c>
      <c r="D571" s="142">
        <v>76</v>
      </c>
      <c r="E571" s="60">
        <f t="shared" si="91"/>
        <v>45232.159999999996</v>
      </c>
      <c r="F571" s="60">
        <f t="shared" si="92"/>
        <v>3166.2512000000002</v>
      </c>
      <c r="G571" s="60">
        <f t="shared" si="93"/>
        <v>48398.411199999995</v>
      </c>
      <c r="H571">
        <v>6902143</v>
      </c>
    </row>
    <row r="572" spans="1:8" ht="18" customHeight="1" x14ac:dyDescent="0.4">
      <c r="A572" s="81" t="s">
        <v>459</v>
      </c>
      <c r="B572" s="171" t="s">
        <v>118</v>
      </c>
      <c r="C572" s="169">
        <v>590.11</v>
      </c>
      <c r="D572" s="142">
        <v>76</v>
      </c>
      <c r="E572" s="60">
        <f t="shared" si="91"/>
        <v>44848.36</v>
      </c>
      <c r="F572" s="60">
        <f t="shared" si="92"/>
        <v>3139.3852000000002</v>
      </c>
      <c r="G572" s="60">
        <f t="shared" si="93"/>
        <v>47987.745199999998</v>
      </c>
      <c r="H572">
        <v>6902143</v>
      </c>
    </row>
    <row r="573" spans="1:8" ht="18" customHeight="1" x14ac:dyDescent="0.4">
      <c r="A573" s="81" t="s">
        <v>459</v>
      </c>
      <c r="B573" s="171" t="s">
        <v>118</v>
      </c>
      <c r="C573" s="169">
        <v>608.25</v>
      </c>
      <c r="D573" s="142">
        <v>76</v>
      </c>
      <c r="E573" s="60">
        <f t="shared" si="91"/>
        <v>46227</v>
      </c>
      <c r="F573" s="60">
        <f t="shared" si="92"/>
        <v>3235.8900000000003</v>
      </c>
      <c r="G573" s="60">
        <f t="shared" si="93"/>
        <v>49462.89</v>
      </c>
      <c r="H573">
        <v>6902142</v>
      </c>
    </row>
    <row r="574" spans="1:8" ht="18" customHeight="1" x14ac:dyDescent="0.4">
      <c r="A574" s="81" t="s">
        <v>459</v>
      </c>
      <c r="B574" s="171" t="s">
        <v>118</v>
      </c>
      <c r="C574" s="169">
        <v>588.36</v>
      </c>
      <c r="D574" s="142">
        <v>76</v>
      </c>
      <c r="E574" s="60">
        <f t="shared" si="91"/>
        <v>44715.360000000001</v>
      </c>
      <c r="F574" s="60">
        <f t="shared" si="92"/>
        <v>3130.0752000000002</v>
      </c>
      <c r="G574" s="60">
        <f t="shared" si="93"/>
        <v>47845.4352</v>
      </c>
      <c r="H574">
        <v>6902142</v>
      </c>
    </row>
    <row r="575" spans="1:8" ht="18" customHeight="1" x14ac:dyDescent="0.4">
      <c r="A575" s="81" t="s">
        <v>472</v>
      </c>
      <c r="B575" s="171" t="s">
        <v>157</v>
      </c>
      <c r="C575" s="169">
        <v>587.05999999999995</v>
      </c>
      <c r="D575" s="142">
        <v>76</v>
      </c>
      <c r="E575" s="60">
        <f t="shared" si="91"/>
        <v>44616.56</v>
      </c>
      <c r="F575" s="60">
        <f t="shared" si="92"/>
        <v>3123.1592000000001</v>
      </c>
      <c r="G575" s="60">
        <f t="shared" si="93"/>
        <v>47739.7192</v>
      </c>
      <c r="H575">
        <v>6902253</v>
      </c>
    </row>
    <row r="576" spans="1:8" ht="18" customHeight="1" thickBot="1" x14ac:dyDescent="0.35">
      <c r="A576" s="84"/>
      <c r="B576" s="17" t="s">
        <v>15</v>
      </c>
      <c r="C576" s="18">
        <f>SUM(C548:C575)</f>
        <v>16658.34</v>
      </c>
      <c r="D576" s="19"/>
      <c r="E576" s="62">
        <f>SUM(E548:E575)</f>
        <v>1266033.8400000003</v>
      </c>
      <c r="F576" s="62">
        <f t="shared" ref="F576:G576" si="94">SUM(F548:F575)</f>
        <v>88622.368800000011</v>
      </c>
      <c r="G576" s="62">
        <f t="shared" si="94"/>
        <v>1354656.2087999999</v>
      </c>
    </row>
    <row r="577" spans="1:8" ht="18" customHeight="1" thickTop="1" x14ac:dyDescent="0.3">
      <c r="A577" s="85"/>
      <c r="B577" s="68"/>
      <c r="C577" s="69"/>
      <c r="D577" s="70"/>
      <c r="E577" s="71"/>
      <c r="F577" s="71"/>
      <c r="G577" s="71"/>
    </row>
    <row r="578" spans="1:8" ht="18" customHeight="1" x14ac:dyDescent="0.3">
      <c r="A578" s="85"/>
      <c r="B578" s="68"/>
      <c r="C578" s="69"/>
      <c r="D578" s="70"/>
      <c r="E578" s="71"/>
      <c r="F578" s="71"/>
      <c r="G578" s="71"/>
    </row>
    <row r="579" spans="1:8" ht="23.25" x14ac:dyDescent="0.3">
      <c r="A579" s="359" t="s">
        <v>119</v>
      </c>
      <c r="B579" s="359"/>
      <c r="C579" s="359"/>
      <c r="D579" s="359"/>
      <c r="E579" s="359"/>
      <c r="F579" s="359"/>
      <c r="G579" s="359"/>
    </row>
    <row r="580" spans="1:8" ht="18" customHeight="1" x14ac:dyDescent="0.3">
      <c r="A580" s="1" t="s">
        <v>2</v>
      </c>
      <c r="B580" s="2" t="s">
        <v>3</v>
      </c>
      <c r="C580" s="2" t="s">
        <v>108</v>
      </c>
      <c r="D580" s="3" t="s">
        <v>5</v>
      </c>
      <c r="E580" s="2" t="s">
        <v>6</v>
      </c>
      <c r="F580" s="2" t="s">
        <v>7</v>
      </c>
      <c r="G580" s="2" t="s">
        <v>8</v>
      </c>
    </row>
    <row r="581" spans="1:8" ht="18" customHeight="1" x14ac:dyDescent="0.4">
      <c r="A581" s="81" t="s">
        <v>480</v>
      </c>
      <c r="B581" s="171" t="s">
        <v>135</v>
      </c>
      <c r="C581" s="169">
        <v>5243.8</v>
      </c>
      <c r="D581" s="142">
        <v>48</v>
      </c>
      <c r="E581" s="60">
        <f>+C581*D581</f>
        <v>251702.40000000002</v>
      </c>
      <c r="F581" s="60">
        <f>+E581*7%</f>
        <v>17619.168000000005</v>
      </c>
      <c r="G581" s="60">
        <f>+E581+F581</f>
        <v>269321.56800000003</v>
      </c>
      <c r="H581">
        <v>6902064</v>
      </c>
    </row>
    <row r="582" spans="1:8" ht="18" customHeight="1" x14ac:dyDescent="0.4">
      <c r="A582" s="81" t="s">
        <v>465</v>
      </c>
      <c r="B582" s="171" t="s">
        <v>135</v>
      </c>
      <c r="C582" s="169">
        <v>4945.8500000000004</v>
      </c>
      <c r="D582" s="142">
        <v>48</v>
      </c>
      <c r="E582" s="60">
        <f>+C582*D582</f>
        <v>237400.80000000002</v>
      </c>
      <c r="F582" s="60">
        <f>+E582*7%</f>
        <v>16618.056000000004</v>
      </c>
      <c r="G582" s="60">
        <f>+E582+F582</f>
        <v>254018.85600000003</v>
      </c>
      <c r="H582">
        <v>6902104</v>
      </c>
    </row>
    <row r="583" spans="1:8" ht="18" customHeight="1" x14ac:dyDescent="0.4">
      <c r="A583" s="81" t="s">
        <v>477</v>
      </c>
      <c r="B583" s="171" t="s">
        <v>135</v>
      </c>
      <c r="C583" s="169">
        <v>5055.3999999999996</v>
      </c>
      <c r="D583" s="142">
        <v>48</v>
      </c>
      <c r="E583" s="60">
        <f>+C583*D583</f>
        <v>242659.19999999998</v>
      </c>
      <c r="F583" s="60">
        <f>+E583*7%</f>
        <v>16986.144</v>
      </c>
      <c r="G583" s="60">
        <f>+E583+F583</f>
        <v>259645.34399999998</v>
      </c>
      <c r="H583">
        <v>6902161</v>
      </c>
    </row>
    <row r="584" spans="1:8" ht="18" customHeight="1" x14ac:dyDescent="0.4">
      <c r="A584" s="81" t="s">
        <v>473</v>
      </c>
      <c r="B584" s="171" t="s">
        <v>135</v>
      </c>
      <c r="C584" s="169">
        <v>5004.05</v>
      </c>
      <c r="D584" s="142">
        <v>48</v>
      </c>
      <c r="E584" s="60">
        <f>+C584*D584</f>
        <v>240194.40000000002</v>
      </c>
      <c r="F584" s="60">
        <f>+E584*7%</f>
        <v>16813.608000000004</v>
      </c>
      <c r="G584" s="60">
        <f>+E584+F584</f>
        <v>257008.00800000003</v>
      </c>
      <c r="H584">
        <v>6902274</v>
      </c>
    </row>
    <row r="585" spans="1:8" ht="18" customHeight="1" thickBot="1" x14ac:dyDescent="0.35">
      <c r="A585" s="84"/>
      <c r="B585" s="17" t="s">
        <v>15</v>
      </c>
      <c r="C585" s="18">
        <f>SUM(C581:C584)</f>
        <v>20249.100000000002</v>
      </c>
      <c r="D585" s="19"/>
      <c r="E585" s="62">
        <f>SUM(E581:E584)</f>
        <v>971956.8</v>
      </c>
      <c r="F585" s="62">
        <f>SUM(F581:F584)</f>
        <v>68036.97600000001</v>
      </c>
      <c r="G585" s="62">
        <f>SUM(G581:G584)</f>
        <v>1039993.7760000001</v>
      </c>
    </row>
    <row r="586" spans="1:8" ht="18" customHeight="1" thickTop="1" x14ac:dyDescent="0.3">
      <c r="A586" s="85"/>
      <c r="B586" s="68"/>
      <c r="C586" s="69"/>
      <c r="D586" s="70"/>
      <c r="E586" s="71"/>
      <c r="F586" s="71"/>
      <c r="G586" s="71"/>
    </row>
    <row r="587" spans="1:8" ht="18" customHeight="1" x14ac:dyDescent="0.3">
      <c r="A587" s="85"/>
      <c r="B587" s="68"/>
      <c r="C587" s="69"/>
      <c r="D587" s="70"/>
      <c r="E587" s="71"/>
      <c r="F587" s="71"/>
      <c r="G587" s="71"/>
    </row>
    <row r="588" spans="1:8" ht="18" customHeight="1" x14ac:dyDescent="0.3">
      <c r="A588" s="85"/>
      <c r="B588" s="68"/>
      <c r="C588" s="69"/>
      <c r="D588" s="70"/>
      <c r="E588" s="71"/>
      <c r="F588" s="71"/>
      <c r="G588" s="71"/>
    </row>
    <row r="589" spans="1:8" ht="24" thickTop="1" x14ac:dyDescent="0.3">
      <c r="A589" s="359" t="s">
        <v>524</v>
      </c>
      <c r="B589" s="359"/>
      <c r="C589" s="359"/>
      <c r="D589" s="359"/>
      <c r="E589" s="359"/>
      <c r="F589" s="359"/>
      <c r="G589" s="359"/>
    </row>
    <row r="590" spans="1:8" ht="18" customHeight="1" x14ac:dyDescent="0.3">
      <c r="A590" s="1" t="s">
        <v>2</v>
      </c>
      <c r="B590" s="2" t="s">
        <v>3</v>
      </c>
      <c r="C590" s="2" t="s">
        <v>4</v>
      </c>
      <c r="D590" s="3" t="s">
        <v>5</v>
      </c>
      <c r="E590" s="2" t="s">
        <v>6</v>
      </c>
      <c r="F590" s="2" t="s">
        <v>7</v>
      </c>
      <c r="G590" s="2" t="s">
        <v>8</v>
      </c>
    </row>
    <row r="591" spans="1:8" ht="18" customHeight="1" x14ac:dyDescent="0.4">
      <c r="A591" s="81" t="s">
        <v>464</v>
      </c>
      <c r="B591" s="171" t="s">
        <v>525</v>
      </c>
      <c r="C591" s="169">
        <v>1994.9</v>
      </c>
      <c r="D591" s="142">
        <v>135</v>
      </c>
      <c r="E591" s="60">
        <f>+C591*D591</f>
        <v>269311.5</v>
      </c>
      <c r="F591" s="60">
        <f>+E591*7%</f>
        <v>18851.805</v>
      </c>
      <c r="G591" s="60">
        <f>+E591+F591</f>
        <v>288163.30499999999</v>
      </c>
      <c r="H591">
        <v>6902118</v>
      </c>
    </row>
    <row r="592" spans="1:8" ht="18" customHeight="1" thickBot="1" x14ac:dyDescent="0.35">
      <c r="A592" s="84"/>
      <c r="B592" s="17" t="s">
        <v>15</v>
      </c>
      <c r="C592" s="18">
        <f>SUM(C591:C591)</f>
        <v>1994.9</v>
      </c>
      <c r="D592" s="19"/>
      <c r="E592" s="62">
        <f>SUM(E591:E591)</f>
        <v>269311.5</v>
      </c>
      <c r="F592" s="62">
        <f>SUM(F591:F591)</f>
        <v>18851.805</v>
      </c>
      <c r="G592" s="62">
        <f>SUM(G591:G591)</f>
        <v>288163.30499999999</v>
      </c>
    </row>
    <row r="593" spans="1:8" ht="18" customHeight="1" thickTop="1" x14ac:dyDescent="0.3">
      <c r="A593" s="85"/>
      <c r="B593" s="68"/>
      <c r="C593" s="69"/>
      <c r="D593" s="70"/>
      <c r="E593" s="71"/>
      <c r="F593" s="71"/>
      <c r="G593" s="71"/>
    </row>
    <row r="594" spans="1:8" ht="18" customHeight="1" x14ac:dyDescent="0.3">
      <c r="A594" s="85"/>
      <c r="B594" s="68"/>
      <c r="C594" s="69"/>
      <c r="D594" s="70"/>
      <c r="E594" s="71"/>
      <c r="F594" s="71"/>
      <c r="G594" s="71"/>
    </row>
    <row r="595" spans="1:8" ht="23.25" x14ac:dyDescent="0.3">
      <c r="A595" s="359" t="s">
        <v>526</v>
      </c>
      <c r="B595" s="359"/>
      <c r="C595" s="359"/>
      <c r="D595" s="359"/>
      <c r="E595" s="359"/>
      <c r="F595" s="359"/>
      <c r="G595" s="359"/>
    </row>
    <row r="596" spans="1:8" ht="18" customHeight="1" x14ac:dyDescent="0.3">
      <c r="A596" s="1" t="s">
        <v>2</v>
      </c>
      <c r="B596" s="2" t="s">
        <v>3</v>
      </c>
      <c r="C596" s="2" t="s">
        <v>86</v>
      </c>
      <c r="D596" s="3" t="s">
        <v>5</v>
      </c>
      <c r="E596" s="2" t="s">
        <v>6</v>
      </c>
      <c r="F596" s="2" t="s">
        <v>7</v>
      </c>
      <c r="G596" s="2" t="s">
        <v>8</v>
      </c>
    </row>
    <row r="597" spans="1:8" ht="18" customHeight="1" x14ac:dyDescent="0.4">
      <c r="A597" s="81" t="s">
        <v>483</v>
      </c>
      <c r="B597" s="171" t="s">
        <v>527</v>
      </c>
      <c r="C597" s="169">
        <v>600</v>
      </c>
      <c r="D597" s="142">
        <v>42.75</v>
      </c>
      <c r="E597" s="60">
        <f>+C597*D597</f>
        <v>25650</v>
      </c>
      <c r="F597" s="60">
        <f>+E597*7%</f>
        <v>1795.5000000000002</v>
      </c>
      <c r="G597" s="60">
        <f>+E597+F597</f>
        <v>27445.5</v>
      </c>
      <c r="H597">
        <v>6902079</v>
      </c>
    </row>
    <row r="598" spans="1:8" ht="18" customHeight="1" thickBot="1" x14ac:dyDescent="0.35">
      <c r="A598" s="84"/>
      <c r="B598" s="17" t="s">
        <v>15</v>
      </c>
      <c r="C598" s="18">
        <f>SUM(C597:C597)</f>
        <v>600</v>
      </c>
      <c r="D598" s="19"/>
      <c r="E598" s="62">
        <f>SUM(E597:E597)</f>
        <v>25650</v>
      </c>
      <c r="F598" s="62">
        <f>SUM(F597:F597)</f>
        <v>1795.5000000000002</v>
      </c>
      <c r="G598" s="62">
        <f>SUM(G597:G597)</f>
        <v>27445.5</v>
      </c>
    </row>
    <row r="599" spans="1:8" ht="18" customHeight="1" thickTop="1" x14ac:dyDescent="0.3">
      <c r="A599" s="85"/>
      <c r="B599" s="68"/>
      <c r="C599" s="69"/>
      <c r="D599" s="70"/>
      <c r="E599" s="71"/>
      <c r="F599" s="71"/>
      <c r="G599" s="71"/>
    </row>
    <row r="600" spans="1:8" ht="18" customHeight="1" thickBot="1" x14ac:dyDescent="0.35">
      <c r="A600" s="85"/>
      <c r="B600" s="147" t="s">
        <v>561</v>
      </c>
      <c r="C600" s="203">
        <f>C598</f>
        <v>600</v>
      </c>
      <c r="D600" s="319">
        <v>0.59799999999999998</v>
      </c>
      <c r="E600" s="320">
        <f>C600*D600</f>
        <v>358.8</v>
      </c>
      <c r="F600" s="71"/>
      <c r="G600" s="71"/>
    </row>
    <row r="601" spans="1:8" ht="18" customHeight="1" thickTop="1" x14ac:dyDescent="0.3">
      <c r="A601" s="85"/>
      <c r="B601" s="68"/>
      <c r="C601" s="69"/>
      <c r="D601" s="70"/>
      <c r="E601" s="71"/>
      <c r="F601" s="71"/>
      <c r="G601" s="71"/>
    </row>
    <row r="602" spans="1:8" ht="18" customHeight="1" x14ac:dyDescent="0.3">
      <c r="A602" s="85"/>
      <c r="B602" s="68"/>
      <c r="C602" s="69"/>
      <c r="D602" s="70"/>
      <c r="E602" s="71"/>
      <c r="F602" s="71"/>
      <c r="G602" s="71"/>
    </row>
    <row r="603" spans="1:8" ht="23.25" x14ac:dyDescent="0.3">
      <c r="A603" s="359" t="s">
        <v>528</v>
      </c>
      <c r="B603" s="359"/>
      <c r="C603" s="359"/>
      <c r="D603" s="359"/>
      <c r="E603" s="359"/>
      <c r="F603" s="359"/>
      <c r="G603" s="359"/>
    </row>
    <row r="604" spans="1:8" ht="18" customHeight="1" x14ac:dyDescent="0.3">
      <c r="A604" s="1" t="s">
        <v>2</v>
      </c>
      <c r="B604" s="2" t="s">
        <v>3</v>
      </c>
      <c r="C604" s="2" t="s">
        <v>76</v>
      </c>
      <c r="D604" s="3" t="s">
        <v>5</v>
      </c>
      <c r="E604" s="2" t="s">
        <v>6</v>
      </c>
      <c r="F604" s="2" t="s">
        <v>7</v>
      </c>
      <c r="G604" s="2" t="s">
        <v>8</v>
      </c>
    </row>
    <row r="605" spans="1:8" ht="18" customHeight="1" x14ac:dyDescent="0.4">
      <c r="A605" s="81" t="s">
        <v>464</v>
      </c>
      <c r="B605" s="171" t="s">
        <v>529</v>
      </c>
      <c r="C605" s="169">
        <v>40</v>
      </c>
      <c r="D605" s="142">
        <v>210</v>
      </c>
      <c r="E605" s="60">
        <f>+C605*D605</f>
        <v>8400</v>
      </c>
      <c r="F605" s="60">
        <f>+E605*7%</f>
        <v>588</v>
      </c>
      <c r="G605" s="60">
        <f>+E605+F605</f>
        <v>8988</v>
      </c>
      <c r="H605">
        <v>6902119</v>
      </c>
    </row>
    <row r="606" spans="1:8" ht="18" customHeight="1" thickBot="1" x14ac:dyDescent="0.35">
      <c r="A606" s="84"/>
      <c r="B606" s="17" t="s">
        <v>15</v>
      </c>
      <c r="C606" s="18">
        <f>SUM(C605:C605)</f>
        <v>40</v>
      </c>
      <c r="D606" s="19"/>
      <c r="E606" s="62">
        <f>SUM(E605:E605)</f>
        <v>8400</v>
      </c>
      <c r="F606" s="62">
        <f>SUM(F605:F605)</f>
        <v>588</v>
      </c>
      <c r="G606" s="62">
        <f>SUM(G605:G605)</f>
        <v>8988</v>
      </c>
    </row>
    <row r="607" spans="1:8" ht="18" customHeight="1" thickTop="1" x14ac:dyDescent="0.3">
      <c r="A607" s="85"/>
      <c r="B607" s="68"/>
      <c r="C607" s="69"/>
      <c r="D607" s="70"/>
      <c r="E607" s="71"/>
      <c r="F607" s="71"/>
      <c r="G607" s="71"/>
    </row>
    <row r="608" spans="1:8" ht="18.75" thickBot="1" x14ac:dyDescent="0.4">
      <c r="B608" s="147" t="s">
        <v>562</v>
      </c>
      <c r="C608" s="194">
        <f>C606</f>
        <v>40</v>
      </c>
      <c r="D608" s="149">
        <v>3.94</v>
      </c>
      <c r="E608" s="321">
        <f>+C608*D608</f>
        <v>157.6</v>
      </c>
    </row>
    <row r="609" spans="1:8" ht="18" customHeight="1" thickTop="1" x14ac:dyDescent="0.3">
      <c r="A609" s="85"/>
      <c r="B609" s="68"/>
      <c r="C609" s="69"/>
      <c r="D609" s="70"/>
      <c r="E609" s="71"/>
      <c r="F609" s="71"/>
      <c r="G609" s="71"/>
    </row>
    <row r="610" spans="1:8" ht="18" customHeight="1" x14ac:dyDescent="0.3">
      <c r="A610" s="85"/>
      <c r="B610" s="68"/>
      <c r="C610" s="69"/>
      <c r="D610" s="70"/>
      <c r="E610" s="71"/>
      <c r="F610" s="71"/>
      <c r="G610" s="71"/>
    </row>
    <row r="611" spans="1:8" ht="18" customHeight="1" x14ac:dyDescent="0.3">
      <c r="A611" s="85"/>
      <c r="B611" s="68"/>
      <c r="C611" s="69"/>
      <c r="D611" s="70"/>
      <c r="E611" s="71"/>
      <c r="F611" s="71"/>
      <c r="G611" s="71"/>
    </row>
    <row r="612" spans="1:8" ht="23.25" x14ac:dyDescent="0.3">
      <c r="A612" s="359" t="s">
        <v>530</v>
      </c>
      <c r="B612" s="359"/>
      <c r="C612" s="359"/>
      <c r="D612" s="359"/>
      <c r="E612" s="359"/>
      <c r="F612" s="359"/>
      <c r="G612" s="359"/>
    </row>
    <row r="613" spans="1:8" ht="18" customHeight="1" x14ac:dyDescent="0.3">
      <c r="A613" s="1" t="s">
        <v>2</v>
      </c>
      <c r="B613" s="2" t="s">
        <v>3</v>
      </c>
      <c r="C613" s="2" t="s">
        <v>92</v>
      </c>
      <c r="D613" s="3" t="s">
        <v>5</v>
      </c>
      <c r="E613" s="2" t="s">
        <v>6</v>
      </c>
      <c r="F613" s="2" t="s">
        <v>7</v>
      </c>
      <c r="G613" s="2" t="s">
        <v>8</v>
      </c>
    </row>
    <row r="614" spans="1:8" ht="18" customHeight="1" x14ac:dyDescent="0.4">
      <c r="A614" s="81" t="s">
        <v>459</v>
      </c>
      <c r="B614" s="171" t="s">
        <v>531</v>
      </c>
      <c r="C614" s="169">
        <v>500</v>
      </c>
      <c r="D614" s="142">
        <v>35</v>
      </c>
      <c r="E614" s="60">
        <f>+C614*D614</f>
        <v>17500</v>
      </c>
      <c r="F614" s="60">
        <f>+E614*7%</f>
        <v>1225.0000000000002</v>
      </c>
      <c r="G614" s="60">
        <f>+E614+F614</f>
        <v>18725</v>
      </c>
      <c r="H614">
        <v>6902149</v>
      </c>
    </row>
    <row r="615" spans="1:8" ht="18" customHeight="1" thickBot="1" x14ac:dyDescent="0.35">
      <c r="A615" s="84"/>
      <c r="B615" s="17" t="s">
        <v>15</v>
      </c>
      <c r="C615" s="18">
        <f>SUM(C614:C614)</f>
        <v>500</v>
      </c>
      <c r="D615" s="19"/>
      <c r="E615" s="62">
        <f>SUM(E614:E614)</f>
        <v>17500</v>
      </c>
      <c r="F615" s="62">
        <f>SUM(F614:F614)</f>
        <v>1225.0000000000002</v>
      </c>
      <c r="G615" s="62">
        <f>SUM(G614:G614)</f>
        <v>18725</v>
      </c>
    </row>
    <row r="616" spans="1:8" ht="18" customHeight="1" thickTop="1" x14ac:dyDescent="0.3">
      <c r="A616" s="85"/>
      <c r="B616" s="68"/>
      <c r="C616" s="69"/>
      <c r="D616" s="70"/>
      <c r="E616" s="71"/>
      <c r="F616" s="71"/>
      <c r="G616" s="71"/>
    </row>
    <row r="617" spans="1:8" ht="18" customHeight="1" thickBot="1" x14ac:dyDescent="0.35">
      <c r="A617" s="85"/>
      <c r="B617" s="147" t="s">
        <v>563</v>
      </c>
      <c r="C617" s="203">
        <f>C615</f>
        <v>500</v>
      </c>
      <c r="D617" s="88">
        <v>0.4</v>
      </c>
      <c r="E617" s="322">
        <f>C617*D617</f>
        <v>200</v>
      </c>
      <c r="F617" s="187"/>
      <c r="G617" s="187"/>
    </row>
    <row r="618" spans="1:8" ht="18" customHeight="1" thickTop="1" x14ac:dyDescent="0.3">
      <c r="A618" s="85"/>
      <c r="B618" s="68"/>
      <c r="C618" s="69"/>
      <c r="D618" s="88"/>
      <c r="E618" s="187"/>
      <c r="F618" s="187"/>
      <c r="G618" s="187"/>
    </row>
    <row r="619" spans="1:8" ht="18" customHeight="1" x14ac:dyDescent="0.3">
      <c r="A619" s="85"/>
      <c r="B619" s="68"/>
      <c r="C619" s="69"/>
      <c r="D619" s="70"/>
      <c r="E619" s="71"/>
      <c r="F619" s="71"/>
      <c r="G619" s="71"/>
    </row>
    <row r="620" spans="1:8" ht="18" customHeight="1" x14ac:dyDescent="0.3">
      <c r="A620" s="85"/>
      <c r="B620" s="68"/>
      <c r="C620" s="69"/>
      <c r="D620" s="70"/>
      <c r="E620" s="71"/>
      <c r="F620" s="71"/>
      <c r="G620" s="71"/>
    </row>
    <row r="621" spans="1:8" ht="23.25" x14ac:dyDescent="0.3">
      <c r="A621" s="359" t="s">
        <v>532</v>
      </c>
      <c r="B621" s="359"/>
      <c r="C621" s="359"/>
      <c r="D621" s="359"/>
      <c r="E621" s="359"/>
      <c r="F621" s="359"/>
      <c r="G621" s="359"/>
    </row>
    <row r="622" spans="1:8" ht="18" customHeight="1" x14ac:dyDescent="0.3">
      <c r="A622" s="1" t="s">
        <v>2</v>
      </c>
      <c r="B622" s="2" t="s">
        <v>3</v>
      </c>
      <c r="C622" s="2" t="s">
        <v>4</v>
      </c>
      <c r="D622" s="3" t="s">
        <v>5</v>
      </c>
      <c r="E622" s="2" t="s">
        <v>6</v>
      </c>
      <c r="F622" s="2" t="s">
        <v>7</v>
      </c>
      <c r="G622" s="2" t="s">
        <v>8</v>
      </c>
    </row>
    <row r="623" spans="1:8" ht="18" customHeight="1" x14ac:dyDescent="0.4">
      <c r="A623" s="81" t="s">
        <v>480</v>
      </c>
      <c r="B623" s="171" t="s">
        <v>533</v>
      </c>
      <c r="C623" s="169">
        <v>930.3</v>
      </c>
      <c r="D623" s="142">
        <v>57</v>
      </c>
      <c r="E623" s="60">
        <f>+C623*D623</f>
        <v>53027.1</v>
      </c>
      <c r="F623" s="60">
        <f>+E623*7%</f>
        <v>3711.8970000000004</v>
      </c>
      <c r="G623" s="60">
        <f>+E623+F623</f>
        <v>56738.996999999996</v>
      </c>
      <c r="H623">
        <v>6902069</v>
      </c>
    </row>
    <row r="624" spans="1:8" ht="18" customHeight="1" x14ac:dyDescent="0.4">
      <c r="A624" s="81" t="s">
        <v>487</v>
      </c>
      <c r="B624" s="171" t="s">
        <v>533</v>
      </c>
      <c r="C624" s="169">
        <v>1003.45</v>
      </c>
      <c r="D624" s="142">
        <v>57</v>
      </c>
      <c r="E624" s="60">
        <f>+C624*D624</f>
        <v>57196.65</v>
      </c>
      <c r="F624" s="60">
        <f>+E624*7%</f>
        <v>4003.7655000000004</v>
      </c>
      <c r="G624" s="60">
        <f>+E624+F624</f>
        <v>61200.415500000003</v>
      </c>
      <c r="H624">
        <v>6902208</v>
      </c>
    </row>
    <row r="625" spans="1:8" ht="18" customHeight="1" x14ac:dyDescent="0.4">
      <c r="A625" s="81" t="s">
        <v>480</v>
      </c>
      <c r="B625" s="171" t="s">
        <v>534</v>
      </c>
      <c r="C625" s="169">
        <v>350.75</v>
      </c>
      <c r="D625" s="142">
        <v>57</v>
      </c>
      <c r="E625" s="60">
        <f t="shared" ref="E625:E626" si="95">+C625*D625</f>
        <v>19992.75</v>
      </c>
      <c r="F625" s="60">
        <f t="shared" ref="F625:F626" si="96">+E625*7%</f>
        <v>1399.4925000000001</v>
      </c>
      <c r="G625" s="60">
        <f t="shared" ref="G625:G626" si="97">+E625+F625</f>
        <v>21392.2425</v>
      </c>
      <c r="H625">
        <v>6902069</v>
      </c>
    </row>
    <row r="626" spans="1:8" ht="18" customHeight="1" x14ac:dyDescent="0.4">
      <c r="A626" s="81" t="s">
        <v>480</v>
      </c>
      <c r="B626" s="171" t="s">
        <v>535</v>
      </c>
      <c r="C626" s="169">
        <v>526.29999999999995</v>
      </c>
      <c r="D626" s="142">
        <v>57</v>
      </c>
      <c r="E626" s="60">
        <f t="shared" si="95"/>
        <v>29999.1</v>
      </c>
      <c r="F626" s="60">
        <f t="shared" si="96"/>
        <v>2099.9369999999999</v>
      </c>
      <c r="G626" s="60">
        <f t="shared" si="97"/>
        <v>32099.036999999997</v>
      </c>
      <c r="H626">
        <v>6902069</v>
      </c>
    </row>
    <row r="627" spans="1:8" ht="18" customHeight="1" thickBot="1" x14ac:dyDescent="0.35">
      <c r="A627" s="84"/>
      <c r="B627" s="17" t="s">
        <v>15</v>
      </c>
      <c r="C627" s="18">
        <f>SUM(C623:C626)</f>
        <v>2810.8</v>
      </c>
      <c r="D627" s="19"/>
      <c r="E627" s="62">
        <f>SUM(E623:E626)</f>
        <v>160215.6</v>
      </c>
      <c r="F627" s="62">
        <f>SUM(F623:F626)</f>
        <v>11215.092000000001</v>
      </c>
      <c r="G627" s="62">
        <f>SUM(G623:G626)</f>
        <v>171430.69199999998</v>
      </c>
    </row>
    <row r="628" spans="1:8" ht="18" customHeight="1" thickTop="1" x14ac:dyDescent="0.3">
      <c r="A628" s="85"/>
      <c r="B628" s="68"/>
      <c r="C628" s="69"/>
      <c r="D628" s="70"/>
      <c r="E628" s="71"/>
      <c r="F628" s="71"/>
      <c r="G628" s="71"/>
    </row>
    <row r="629" spans="1:8" ht="24" thickTop="1" x14ac:dyDescent="0.3">
      <c r="A629" s="359" t="s">
        <v>131</v>
      </c>
      <c r="B629" s="359"/>
      <c r="C629" s="359"/>
      <c r="D629" s="359"/>
      <c r="E629" s="359"/>
      <c r="F629" s="359"/>
      <c r="G629" s="359"/>
    </row>
    <row r="630" spans="1:8" ht="18" customHeight="1" x14ac:dyDescent="0.3">
      <c r="A630" s="1" t="s">
        <v>2</v>
      </c>
      <c r="B630" s="2" t="s">
        <v>3</v>
      </c>
      <c r="C630" s="2" t="s">
        <v>4</v>
      </c>
      <c r="D630" s="3" t="s">
        <v>5</v>
      </c>
      <c r="E630" s="2" t="s">
        <v>6</v>
      </c>
      <c r="F630" s="2" t="s">
        <v>7</v>
      </c>
      <c r="G630" s="2" t="s">
        <v>8</v>
      </c>
    </row>
    <row r="631" spans="1:8" ht="18" customHeight="1" x14ac:dyDescent="0.4">
      <c r="A631" s="81" t="s">
        <v>470</v>
      </c>
      <c r="B631" s="171" t="s">
        <v>536</v>
      </c>
      <c r="C631" s="169">
        <v>973.35</v>
      </c>
      <c r="D631" s="142">
        <v>52</v>
      </c>
      <c r="E631" s="60">
        <f>+C631*D631</f>
        <v>50614.200000000004</v>
      </c>
      <c r="F631" s="60">
        <f>+E631*7%</f>
        <v>3542.9940000000006</v>
      </c>
      <c r="G631" s="60">
        <f>+E631+F631</f>
        <v>54157.194000000003</v>
      </c>
      <c r="H631">
        <v>6902242</v>
      </c>
    </row>
    <row r="632" spans="1:8" ht="18" customHeight="1" x14ac:dyDescent="0.4">
      <c r="A632" s="81" t="s">
        <v>470</v>
      </c>
      <c r="B632" s="171" t="s">
        <v>132</v>
      </c>
      <c r="C632" s="168">
        <v>1000.55</v>
      </c>
      <c r="D632" s="83">
        <v>52</v>
      </c>
      <c r="E632" s="60">
        <f>+C632*D632</f>
        <v>52028.6</v>
      </c>
      <c r="F632" s="60">
        <f>+E632*7%</f>
        <v>3642.0020000000004</v>
      </c>
      <c r="G632" s="60">
        <f>+E632+F632</f>
        <v>55670.601999999999</v>
      </c>
      <c r="H632">
        <v>6902242</v>
      </c>
    </row>
    <row r="633" spans="1:8" ht="18" customHeight="1" thickBot="1" x14ac:dyDescent="0.35">
      <c r="A633" s="84"/>
      <c r="B633" s="17" t="s">
        <v>15</v>
      </c>
      <c r="C633" s="18">
        <f>SUM(C631:C632)</f>
        <v>1973.9</v>
      </c>
      <c r="D633" s="19"/>
      <c r="E633" s="62">
        <f>SUM(E631:E632)</f>
        <v>102642.8</v>
      </c>
      <c r="F633" s="62">
        <f>SUM(F631:F632)</f>
        <v>7184.996000000001</v>
      </c>
      <c r="G633" s="62">
        <f>SUM(G631:G632)</f>
        <v>109827.796</v>
      </c>
    </row>
    <row r="634" spans="1:8" ht="18" customHeight="1" thickTop="1" x14ac:dyDescent="0.3">
      <c r="A634" s="85"/>
      <c r="B634" s="68"/>
      <c r="C634" s="69"/>
      <c r="D634" s="70"/>
      <c r="E634" s="71"/>
      <c r="F634" s="71"/>
      <c r="G634" s="71"/>
    </row>
    <row r="635" spans="1:8" ht="18" customHeight="1" x14ac:dyDescent="0.3">
      <c r="A635" s="85"/>
      <c r="B635" s="68"/>
      <c r="C635" s="69"/>
      <c r="D635" s="70"/>
      <c r="E635" s="71"/>
      <c r="F635" s="71"/>
      <c r="G635" s="71"/>
    </row>
    <row r="636" spans="1:8" ht="24" thickTop="1" x14ac:dyDescent="0.3">
      <c r="A636" s="359" t="s">
        <v>576</v>
      </c>
      <c r="B636" s="359"/>
      <c r="C636" s="359"/>
      <c r="D636" s="359"/>
      <c r="E636" s="359"/>
      <c r="F636" s="359"/>
      <c r="G636" s="359"/>
    </row>
    <row r="637" spans="1:8" ht="18" customHeight="1" x14ac:dyDescent="0.3">
      <c r="A637" s="1" t="s">
        <v>2</v>
      </c>
      <c r="B637" s="2" t="s">
        <v>3</v>
      </c>
      <c r="C637" s="2" t="s">
        <v>88</v>
      </c>
      <c r="D637" s="3" t="s">
        <v>5</v>
      </c>
      <c r="E637" s="2" t="s">
        <v>6</v>
      </c>
      <c r="F637" s="2" t="s">
        <v>7</v>
      </c>
      <c r="G637" s="2" t="s">
        <v>8</v>
      </c>
    </row>
    <row r="638" spans="1:8" ht="18" customHeight="1" x14ac:dyDescent="0.4">
      <c r="A638" s="81" t="s">
        <v>468</v>
      </c>
      <c r="B638" s="171" t="s">
        <v>537</v>
      </c>
      <c r="C638" s="169">
        <v>120</v>
      </c>
      <c r="D638" s="142">
        <v>110</v>
      </c>
      <c r="E638" s="60">
        <f>+C638*D638</f>
        <v>13200</v>
      </c>
      <c r="F638" s="60">
        <f>+E638*7%</f>
        <v>924.00000000000011</v>
      </c>
      <c r="G638" s="60">
        <f>+E638+F638</f>
        <v>14124</v>
      </c>
      <c r="H638">
        <v>6902184</v>
      </c>
    </row>
    <row r="639" spans="1:8" ht="18" customHeight="1" x14ac:dyDescent="0.4">
      <c r="A639" s="81" t="s">
        <v>468</v>
      </c>
      <c r="B639" s="171" t="s">
        <v>564</v>
      </c>
      <c r="C639" s="169">
        <v>200</v>
      </c>
      <c r="D639" s="142">
        <v>119</v>
      </c>
      <c r="E639" s="60">
        <f>+C639*D639</f>
        <v>23800</v>
      </c>
      <c r="F639" s="60">
        <f>+E639*7%</f>
        <v>1666.0000000000002</v>
      </c>
      <c r="G639" s="60">
        <f>+E639+F639</f>
        <v>25466</v>
      </c>
      <c r="H639">
        <v>6902184</v>
      </c>
    </row>
    <row r="640" spans="1:8" ht="18" customHeight="1" thickBot="1" x14ac:dyDescent="0.35">
      <c r="A640" s="84"/>
      <c r="B640" s="17" t="s">
        <v>15</v>
      </c>
      <c r="C640" s="18">
        <f>SUM(C638:C639)</f>
        <v>320</v>
      </c>
      <c r="D640" s="19"/>
      <c r="E640" s="62">
        <f>SUM(E638:E639)</f>
        <v>37000</v>
      </c>
      <c r="F640" s="62">
        <f>SUM(F638:F639)</f>
        <v>2590.0000000000005</v>
      </c>
      <c r="G640" s="62">
        <f>SUM(G638:G639)</f>
        <v>39590</v>
      </c>
    </row>
    <row r="641" spans="1:8" ht="18" customHeight="1" thickTop="1" x14ac:dyDescent="0.3">
      <c r="A641" s="85"/>
      <c r="B641" s="68"/>
      <c r="C641" s="69"/>
      <c r="D641" s="70"/>
      <c r="E641" s="71"/>
      <c r="F641" s="71"/>
      <c r="G641" s="71"/>
    </row>
    <row r="642" spans="1:8" s="30" customFormat="1" ht="12" customHeight="1" x14ac:dyDescent="0.5">
      <c r="A642" s="21"/>
      <c r="B642" s="147" t="s">
        <v>89</v>
      </c>
      <c r="C642" s="148">
        <f>+C640</f>
        <v>320</v>
      </c>
      <c r="D642" s="149">
        <v>2.0699999999999998</v>
      </c>
      <c r="E642" s="204">
        <f>+C642*D642</f>
        <v>662.4</v>
      </c>
      <c r="F642" s="23"/>
      <c r="G642" s="23"/>
    </row>
    <row r="643" spans="1:8" ht="18" customHeight="1" thickBot="1" x14ac:dyDescent="0.35">
      <c r="A643" s="85"/>
      <c r="B643" s="147" t="s">
        <v>564</v>
      </c>
      <c r="C643" s="148">
        <f>+C639</f>
        <v>200</v>
      </c>
      <c r="D643" s="149">
        <v>2.0699999999999998</v>
      </c>
      <c r="E643" s="204">
        <f>+C643*D643</f>
        <v>413.99999999999994</v>
      </c>
      <c r="F643" s="320">
        <f>E642+E643</f>
        <v>1076.3999999999999</v>
      </c>
      <c r="G643" s="71"/>
    </row>
    <row r="644" spans="1:8" ht="18" customHeight="1" thickTop="1" x14ac:dyDescent="0.3">
      <c r="A644" s="85"/>
      <c r="B644" s="68"/>
      <c r="C644" s="69"/>
      <c r="D644" s="70"/>
      <c r="E644" s="71"/>
      <c r="F644" s="71"/>
      <c r="G644" s="71"/>
    </row>
    <row r="645" spans="1:8" ht="18" customHeight="1" x14ac:dyDescent="0.3">
      <c r="A645" s="85"/>
      <c r="B645" s="68"/>
      <c r="C645" s="69"/>
      <c r="D645" s="70"/>
      <c r="E645" s="71"/>
      <c r="F645" s="71"/>
      <c r="G645" s="71"/>
    </row>
    <row r="646" spans="1:8" ht="23.25" x14ac:dyDescent="0.3">
      <c r="A646" s="359" t="s">
        <v>538</v>
      </c>
      <c r="B646" s="359"/>
      <c r="C646" s="359"/>
      <c r="D646" s="359"/>
      <c r="E646" s="359"/>
      <c r="F646" s="359"/>
      <c r="G646" s="359"/>
    </row>
    <row r="647" spans="1:8" ht="18" customHeight="1" x14ac:dyDescent="0.3">
      <c r="A647" s="1" t="s">
        <v>2</v>
      </c>
      <c r="B647" s="2" t="s">
        <v>3</v>
      </c>
      <c r="C647" s="2" t="s">
        <v>76</v>
      </c>
      <c r="D647" s="3" t="s">
        <v>5</v>
      </c>
      <c r="E647" s="2" t="s">
        <v>6</v>
      </c>
      <c r="F647" s="2" t="s">
        <v>7</v>
      </c>
      <c r="G647" s="2" t="s">
        <v>8</v>
      </c>
    </row>
    <row r="648" spans="1:8" ht="18" customHeight="1" x14ac:dyDescent="0.4">
      <c r="A648" s="81" t="s">
        <v>487</v>
      </c>
      <c r="B648" s="171" t="s">
        <v>539</v>
      </c>
      <c r="C648" s="169">
        <v>20</v>
      </c>
      <c r="D648" s="142">
        <v>1450</v>
      </c>
      <c r="E648" s="60">
        <f>+C648*D648</f>
        <v>29000</v>
      </c>
      <c r="F648" s="60">
        <f>+E648*7%</f>
        <v>2030.0000000000002</v>
      </c>
      <c r="G648" s="60">
        <f>+E648+F648</f>
        <v>31030</v>
      </c>
      <c r="H648">
        <v>6902210</v>
      </c>
    </row>
    <row r="649" spans="1:8" ht="18" customHeight="1" thickBot="1" x14ac:dyDescent="0.35">
      <c r="A649" s="84"/>
      <c r="B649" s="17" t="s">
        <v>15</v>
      </c>
      <c r="C649" s="18">
        <f>SUM(C648:C648)</f>
        <v>20</v>
      </c>
      <c r="D649" s="19"/>
      <c r="E649" s="62">
        <f>SUM(E648:E648)</f>
        <v>29000</v>
      </c>
      <c r="F649" s="62">
        <f>SUM(F648:F648)</f>
        <v>2030.0000000000002</v>
      </c>
      <c r="G649" s="62">
        <f>SUM(G648:G648)</f>
        <v>31030</v>
      </c>
    </row>
    <row r="650" spans="1:8" ht="18" customHeight="1" thickTop="1" x14ac:dyDescent="0.3">
      <c r="A650" s="85"/>
      <c r="B650" s="68"/>
      <c r="C650" s="69"/>
      <c r="D650" s="70"/>
      <c r="E650" s="71"/>
      <c r="F650" s="71"/>
      <c r="G650" s="71"/>
    </row>
    <row r="651" spans="1:8" ht="24" thickTop="1" x14ac:dyDescent="0.3">
      <c r="A651" s="371" t="s">
        <v>538</v>
      </c>
      <c r="B651" s="371"/>
      <c r="C651" s="371"/>
      <c r="D651" s="371"/>
      <c r="E651" s="371"/>
      <c r="F651" s="371"/>
      <c r="G651" s="371"/>
    </row>
    <row r="652" spans="1:8" ht="18" customHeight="1" x14ac:dyDescent="0.3">
      <c r="A652" s="315" t="s">
        <v>2</v>
      </c>
      <c r="B652" s="17" t="s">
        <v>3</v>
      </c>
      <c r="C652" s="17" t="s">
        <v>4</v>
      </c>
    </row>
    <row r="653" spans="1:8" ht="18" customHeight="1" x14ac:dyDescent="0.4">
      <c r="A653" s="81" t="s">
        <v>487</v>
      </c>
      <c r="B653" s="171" t="s">
        <v>539</v>
      </c>
      <c r="C653" s="169">
        <v>495.5</v>
      </c>
      <c r="H653">
        <v>6902210</v>
      </c>
    </row>
    <row r="654" spans="1:8" ht="18" customHeight="1" thickBot="1" x14ac:dyDescent="0.35">
      <c r="A654" s="84"/>
      <c r="B654" s="17" t="s">
        <v>15</v>
      </c>
      <c r="C654" s="18">
        <f>SUM(C653:C653)</f>
        <v>495.5</v>
      </c>
    </row>
    <row r="655" spans="1:8" ht="18" customHeight="1" thickTop="1" x14ac:dyDescent="0.3">
      <c r="A655" s="85"/>
      <c r="B655" s="68"/>
      <c r="C655" s="69"/>
      <c r="D655" s="70"/>
      <c r="E655" s="71"/>
      <c r="F655" s="71"/>
      <c r="G655" s="71"/>
    </row>
    <row r="656" spans="1:8" ht="24" thickTop="1" x14ac:dyDescent="0.3">
      <c r="A656" s="359" t="s">
        <v>540</v>
      </c>
      <c r="B656" s="359"/>
      <c r="C656" s="359"/>
      <c r="D656" s="359"/>
      <c r="E656" s="359"/>
      <c r="F656" s="359"/>
      <c r="G656" s="359"/>
    </row>
    <row r="657" spans="1:8" ht="18" customHeight="1" x14ac:dyDescent="0.3">
      <c r="A657" s="1" t="s">
        <v>2</v>
      </c>
      <c r="B657" s="2" t="s">
        <v>3</v>
      </c>
      <c r="C657" s="2" t="s">
        <v>76</v>
      </c>
      <c r="D657" s="3" t="s">
        <v>5</v>
      </c>
      <c r="E657" s="2" t="s">
        <v>6</v>
      </c>
      <c r="F657" s="2" t="s">
        <v>7</v>
      </c>
      <c r="G657" s="2" t="s">
        <v>8</v>
      </c>
    </row>
    <row r="658" spans="1:8" ht="18" customHeight="1" x14ac:dyDescent="0.4">
      <c r="A658" s="81" t="s">
        <v>468</v>
      </c>
      <c r="B658" s="171" t="s">
        <v>134</v>
      </c>
      <c r="C658" s="169">
        <v>120</v>
      </c>
      <c r="D658" s="142">
        <v>110</v>
      </c>
      <c r="E658" s="60">
        <f>+C658*D658</f>
        <v>13200</v>
      </c>
      <c r="F658" s="60">
        <f>+E658*7%</f>
        <v>924.00000000000011</v>
      </c>
      <c r="G658" s="60">
        <f>+E658+F658</f>
        <v>14124</v>
      </c>
      <c r="H658">
        <v>6902195</v>
      </c>
    </row>
    <row r="659" spans="1:8" ht="18" customHeight="1" thickBot="1" x14ac:dyDescent="0.35">
      <c r="A659" s="84"/>
      <c r="B659" s="17" t="s">
        <v>15</v>
      </c>
      <c r="C659" s="18">
        <f>SUM(C658:C658)</f>
        <v>120</v>
      </c>
      <c r="D659" s="19"/>
      <c r="E659" s="62">
        <f>SUM(E658:E658)</f>
        <v>13200</v>
      </c>
      <c r="F659" s="62">
        <f>SUM(F658:F658)</f>
        <v>924.00000000000011</v>
      </c>
      <c r="G659" s="62">
        <f>SUM(G658:G658)</f>
        <v>14124</v>
      </c>
    </row>
    <row r="660" spans="1:8" ht="18" customHeight="1" thickTop="1" x14ac:dyDescent="0.3">
      <c r="A660" s="85"/>
      <c r="B660" s="68"/>
      <c r="C660" s="69"/>
      <c r="D660" s="70"/>
      <c r="E660" s="71"/>
      <c r="F660" s="71"/>
      <c r="G660" s="71"/>
    </row>
    <row r="661" spans="1:8" s="30" customFormat="1" ht="12" customHeight="1" thickBot="1" x14ac:dyDescent="0.55000000000000004">
      <c r="A661" s="21"/>
      <c r="B661" s="147" t="s">
        <v>89</v>
      </c>
      <c r="C661" s="148">
        <f>+C659</f>
        <v>120</v>
      </c>
      <c r="D661" s="149">
        <v>2.0699999999999998</v>
      </c>
      <c r="E661" s="188">
        <f>+C661*D661</f>
        <v>248.39999999999998</v>
      </c>
      <c r="F661" s="23"/>
      <c r="G661" s="23"/>
    </row>
    <row r="662" spans="1:8" ht="18" customHeight="1" thickTop="1" x14ac:dyDescent="0.3">
      <c r="A662" s="85"/>
      <c r="B662" s="68"/>
      <c r="C662" s="69"/>
      <c r="D662" s="70"/>
      <c r="E662" s="71"/>
      <c r="F662" s="71"/>
      <c r="G662" s="71"/>
    </row>
    <row r="663" spans="1:8" ht="23.25" x14ac:dyDescent="0.3">
      <c r="A663" s="359" t="s">
        <v>138</v>
      </c>
      <c r="B663" s="359"/>
      <c r="C663" s="359"/>
      <c r="D663" s="359"/>
      <c r="E663" s="359"/>
      <c r="F663" s="359"/>
      <c r="G663" s="359"/>
    </row>
    <row r="664" spans="1:8" ht="18" customHeight="1" x14ac:dyDescent="0.3">
      <c r="A664" s="1" t="s">
        <v>2</v>
      </c>
      <c r="B664" s="2" t="s">
        <v>3</v>
      </c>
      <c r="C664" s="2" t="s">
        <v>4</v>
      </c>
      <c r="D664" s="3" t="s">
        <v>5</v>
      </c>
      <c r="E664" s="2" t="s">
        <v>6</v>
      </c>
      <c r="F664" s="2" t="s">
        <v>7</v>
      </c>
      <c r="G664" s="2" t="s">
        <v>8</v>
      </c>
    </row>
    <row r="665" spans="1:8" ht="18" customHeight="1" x14ac:dyDescent="0.4">
      <c r="A665" s="81" t="s">
        <v>483</v>
      </c>
      <c r="B665" s="171" t="s">
        <v>541</v>
      </c>
      <c r="C665" s="169">
        <v>506.85</v>
      </c>
      <c r="D665" s="142">
        <v>54</v>
      </c>
      <c r="E665" s="60">
        <f>+C665*D665</f>
        <v>27369.9</v>
      </c>
      <c r="F665" s="60">
        <f>+E665*7%</f>
        <v>1915.8930000000003</v>
      </c>
      <c r="G665" s="60">
        <f>+E665+F665</f>
        <v>29285.793000000001</v>
      </c>
      <c r="H665">
        <v>6902080</v>
      </c>
    </row>
    <row r="666" spans="1:8" ht="18" customHeight="1" x14ac:dyDescent="0.4">
      <c r="A666" s="81" t="s">
        <v>483</v>
      </c>
      <c r="B666" s="171" t="s">
        <v>542</v>
      </c>
      <c r="C666" s="169">
        <v>509.05</v>
      </c>
      <c r="D666" s="142">
        <v>54</v>
      </c>
      <c r="E666" s="60">
        <f>+C666*D666</f>
        <v>27488.7</v>
      </c>
      <c r="F666" s="60">
        <f>+E666*7%</f>
        <v>1924.2090000000003</v>
      </c>
      <c r="G666" s="60">
        <f>+E666+F666</f>
        <v>29412.909</v>
      </c>
      <c r="H666">
        <v>6902080</v>
      </c>
    </row>
    <row r="667" spans="1:8" ht="18" customHeight="1" thickBot="1" x14ac:dyDescent="0.35">
      <c r="A667" s="84"/>
      <c r="B667" s="17" t="s">
        <v>15</v>
      </c>
      <c r="C667" s="18">
        <f>SUM(C665:C666)</f>
        <v>1015.9000000000001</v>
      </c>
      <c r="D667" s="19"/>
      <c r="E667" s="62">
        <f>SUM(E665:E666)</f>
        <v>54858.600000000006</v>
      </c>
      <c r="F667" s="62">
        <f>SUM(F665:F666)</f>
        <v>3840.1020000000008</v>
      </c>
      <c r="G667" s="62">
        <f>SUM(G665:G666)</f>
        <v>58698.702000000005</v>
      </c>
    </row>
    <row r="668" spans="1:8" ht="18" customHeight="1" thickTop="1" x14ac:dyDescent="0.3">
      <c r="A668" s="85"/>
      <c r="B668" s="68"/>
      <c r="C668" s="69"/>
      <c r="D668" s="70"/>
      <c r="E668" s="71"/>
      <c r="F668" s="71"/>
      <c r="G668" s="71"/>
    </row>
    <row r="669" spans="1:8" ht="26.25" x14ac:dyDescent="0.3">
      <c r="A669" s="357" t="s">
        <v>150</v>
      </c>
      <c r="B669" s="357"/>
      <c r="C669" s="357"/>
      <c r="D669" s="357"/>
      <c r="E669" s="357"/>
      <c r="F669" s="357"/>
      <c r="G669" s="357"/>
    </row>
    <row r="670" spans="1:8" ht="18" customHeight="1" x14ac:dyDescent="0.3">
      <c r="A670" s="1" t="s">
        <v>2</v>
      </c>
      <c r="B670" s="2" t="s">
        <v>3</v>
      </c>
      <c r="C670" s="2" t="s">
        <v>4</v>
      </c>
      <c r="D670" s="3" t="s">
        <v>5</v>
      </c>
      <c r="E670" s="2" t="s">
        <v>6</v>
      </c>
      <c r="F670" s="2" t="s">
        <v>7</v>
      </c>
      <c r="G670" s="2" t="s">
        <v>8</v>
      </c>
    </row>
    <row r="671" spans="1:8" ht="18" customHeight="1" x14ac:dyDescent="0.4">
      <c r="A671" s="81" t="s">
        <v>567</v>
      </c>
      <c r="B671" s="171" t="s">
        <v>151</v>
      </c>
      <c r="C671" s="169">
        <v>994.4</v>
      </c>
      <c r="D671" s="142">
        <v>75</v>
      </c>
      <c r="E671" s="60">
        <f>+C671*D671</f>
        <v>74580</v>
      </c>
      <c r="F671" s="60">
        <f>+E671*7%</f>
        <v>5220.6000000000004</v>
      </c>
      <c r="G671" s="60">
        <f>+E671+F671</f>
        <v>79800.600000000006</v>
      </c>
      <c r="H671">
        <v>6902012</v>
      </c>
    </row>
    <row r="672" spans="1:8" ht="18" customHeight="1" thickBot="1" x14ac:dyDescent="0.35">
      <c r="A672" s="84"/>
      <c r="B672" s="17" t="s">
        <v>15</v>
      </c>
      <c r="C672" s="18">
        <f>SUM(C671:C671)</f>
        <v>994.4</v>
      </c>
      <c r="D672" s="19"/>
      <c r="E672" s="20">
        <f>SUM(E671:E671)</f>
        <v>74580</v>
      </c>
      <c r="F672" s="20">
        <f>SUM(F671:F671)</f>
        <v>5220.6000000000004</v>
      </c>
      <c r="G672" s="62">
        <f>SUM(G671:G671)</f>
        <v>79800.600000000006</v>
      </c>
    </row>
    <row r="673" spans="1:8" ht="18" customHeight="1" thickTop="1" x14ac:dyDescent="0.3">
      <c r="A673" s="85"/>
      <c r="B673" s="68"/>
      <c r="C673" s="69"/>
      <c r="D673" s="70"/>
      <c r="E673" s="187"/>
      <c r="F673" s="187"/>
      <c r="G673" s="71"/>
    </row>
    <row r="674" spans="1:8" ht="18" customHeight="1" x14ac:dyDescent="0.3">
      <c r="A674" s="85"/>
      <c r="B674" s="68"/>
      <c r="C674" s="69"/>
      <c r="D674" s="70"/>
      <c r="E674" s="71"/>
      <c r="F674" s="71"/>
      <c r="G674" s="71"/>
    </row>
    <row r="675" spans="1:8" ht="27" thickTop="1" x14ac:dyDescent="0.3">
      <c r="A675" s="357" t="s">
        <v>543</v>
      </c>
      <c r="B675" s="357"/>
      <c r="C675" s="357"/>
      <c r="D675" s="357"/>
      <c r="E675" s="357"/>
      <c r="F675" s="357"/>
      <c r="G675" s="357"/>
    </row>
    <row r="676" spans="1:8" ht="18" customHeight="1" x14ac:dyDescent="0.3">
      <c r="A676" s="1" t="s">
        <v>2</v>
      </c>
      <c r="B676" s="2" t="s">
        <v>3</v>
      </c>
      <c r="C676" s="2" t="s">
        <v>4</v>
      </c>
      <c r="D676" s="3" t="s">
        <v>5</v>
      </c>
      <c r="E676" s="2" t="s">
        <v>6</v>
      </c>
      <c r="F676" s="2" t="s">
        <v>7</v>
      </c>
      <c r="G676" s="2" t="s">
        <v>8</v>
      </c>
    </row>
    <row r="677" spans="1:8" ht="18" customHeight="1" x14ac:dyDescent="0.4">
      <c r="A677" s="81" t="s">
        <v>472</v>
      </c>
      <c r="B677" s="171" t="s">
        <v>544</v>
      </c>
      <c r="C677" s="169">
        <v>400</v>
      </c>
      <c r="D677" s="142">
        <v>74</v>
      </c>
      <c r="E677" s="60">
        <f>+C677*D677</f>
        <v>29600</v>
      </c>
      <c r="F677" s="60">
        <f>+E677*7%</f>
        <v>2072</v>
      </c>
      <c r="G677" s="60">
        <f>+E677+F677</f>
        <v>31672</v>
      </c>
      <c r="H677">
        <v>6902267</v>
      </c>
    </row>
    <row r="678" spans="1:8" ht="18" customHeight="1" x14ac:dyDescent="0.4">
      <c r="A678" s="81" t="s">
        <v>472</v>
      </c>
      <c r="B678" s="171" t="s">
        <v>545</v>
      </c>
      <c r="C678" s="169">
        <v>603.79999999999995</v>
      </c>
      <c r="D678" s="142">
        <v>74</v>
      </c>
      <c r="E678" s="60">
        <f t="shared" ref="E678:E679" si="98">+C678*D678</f>
        <v>44681.2</v>
      </c>
      <c r="F678" s="60">
        <f t="shared" ref="F678:F679" si="99">+E678*7%</f>
        <v>3127.6840000000002</v>
      </c>
      <c r="G678" s="60">
        <f t="shared" ref="G678:G679" si="100">+E678+F678</f>
        <v>47808.883999999998</v>
      </c>
      <c r="H678">
        <v>6902267</v>
      </c>
    </row>
    <row r="679" spans="1:8" ht="18" customHeight="1" x14ac:dyDescent="0.4">
      <c r="A679" s="81" t="s">
        <v>472</v>
      </c>
      <c r="B679" s="171" t="s">
        <v>546</v>
      </c>
      <c r="C679" s="169">
        <v>600</v>
      </c>
      <c r="D679" s="142">
        <v>74</v>
      </c>
      <c r="E679" s="60">
        <f t="shared" si="98"/>
        <v>44400</v>
      </c>
      <c r="F679" s="60">
        <f t="shared" si="99"/>
        <v>3108.0000000000005</v>
      </c>
      <c r="G679" s="60">
        <f t="shared" si="100"/>
        <v>47508</v>
      </c>
      <c r="H679">
        <v>6902267</v>
      </c>
    </row>
    <row r="680" spans="1:8" ht="18" customHeight="1" thickBot="1" x14ac:dyDescent="0.35">
      <c r="A680" s="84"/>
      <c r="B680" s="17" t="s">
        <v>15</v>
      </c>
      <c r="C680" s="18">
        <f>SUM(C677:C679)</f>
        <v>1603.8</v>
      </c>
      <c r="D680" s="19"/>
      <c r="E680" s="62">
        <f>SUM(E677:E679)</f>
        <v>118681.2</v>
      </c>
      <c r="F680" s="62">
        <f>SUM(F677:F679)</f>
        <v>8307.6840000000011</v>
      </c>
      <c r="G680" s="62">
        <f>SUM(G677:G679)</f>
        <v>126988.88399999999</v>
      </c>
    </row>
    <row r="681" spans="1:8" ht="18" customHeight="1" thickTop="1" x14ac:dyDescent="0.3">
      <c r="A681" s="85"/>
      <c r="B681" s="68"/>
      <c r="C681" s="69"/>
      <c r="D681" s="70"/>
      <c r="E681" s="71"/>
      <c r="F681" s="71"/>
      <c r="G681" s="71"/>
    </row>
    <row r="682" spans="1:8" ht="26.25" x14ac:dyDescent="0.3">
      <c r="A682" s="357" t="s">
        <v>145</v>
      </c>
      <c r="B682" s="357"/>
      <c r="C682" s="357"/>
      <c r="D682" s="357"/>
      <c r="E682" s="357"/>
      <c r="F682" s="357"/>
      <c r="G682" s="357"/>
    </row>
    <row r="683" spans="1:8" ht="18" customHeight="1" x14ac:dyDescent="0.3">
      <c r="A683" s="1" t="s">
        <v>2</v>
      </c>
      <c r="B683" s="2" t="s">
        <v>3</v>
      </c>
      <c r="C683" s="2" t="s">
        <v>4</v>
      </c>
      <c r="D683" s="3" t="s">
        <v>5</v>
      </c>
      <c r="E683" s="2" t="s">
        <v>6</v>
      </c>
      <c r="F683" s="2" t="s">
        <v>7</v>
      </c>
      <c r="G683" s="2" t="s">
        <v>8</v>
      </c>
    </row>
    <row r="684" spans="1:8" ht="18" customHeight="1" x14ac:dyDescent="0.4">
      <c r="A684" s="81" t="s">
        <v>465</v>
      </c>
      <c r="B684" s="171" t="s">
        <v>144</v>
      </c>
      <c r="C684" s="169">
        <v>297.64999999999998</v>
      </c>
      <c r="D684" s="142">
        <v>68</v>
      </c>
      <c r="E684" s="60">
        <f>+C684*D684</f>
        <v>20240.199999999997</v>
      </c>
      <c r="F684" s="60">
        <f>+E684*7%</f>
        <v>1416.8139999999999</v>
      </c>
      <c r="G684" s="60">
        <f>+E684+F684</f>
        <v>21657.013999999996</v>
      </c>
      <c r="H684">
        <v>6902098</v>
      </c>
    </row>
    <row r="685" spans="1:8" ht="18" customHeight="1" x14ac:dyDescent="0.4">
      <c r="A685" s="81" t="s">
        <v>470</v>
      </c>
      <c r="B685" s="171" t="s">
        <v>144</v>
      </c>
      <c r="C685" s="169">
        <v>307.05</v>
      </c>
      <c r="D685" s="142">
        <v>68</v>
      </c>
      <c r="E685" s="60">
        <f>+C685*D685</f>
        <v>20879.400000000001</v>
      </c>
      <c r="F685" s="60">
        <f>+E685*7%</f>
        <v>1461.5580000000002</v>
      </c>
      <c r="G685" s="60">
        <f>+E685+F685</f>
        <v>22340.958000000002</v>
      </c>
      <c r="H685">
        <v>6902238</v>
      </c>
    </row>
    <row r="686" spans="1:8" ht="18" customHeight="1" thickBot="1" x14ac:dyDescent="0.35">
      <c r="A686" s="84"/>
      <c r="B686" s="17" t="s">
        <v>15</v>
      </c>
      <c r="C686" s="18">
        <f>SUM(C684:C685)</f>
        <v>604.70000000000005</v>
      </c>
      <c r="D686" s="19"/>
      <c r="E686" s="62">
        <f>SUM(E684:E685)</f>
        <v>41119.599999999999</v>
      </c>
      <c r="F686" s="62">
        <f>SUM(F684:F685)</f>
        <v>2878.3720000000003</v>
      </c>
      <c r="G686" s="62">
        <f>SUM(G684:G685)</f>
        <v>43997.971999999994</v>
      </c>
    </row>
    <row r="687" spans="1:8" ht="18" customHeight="1" thickTop="1" x14ac:dyDescent="0.3">
      <c r="A687" s="85"/>
      <c r="B687" s="68"/>
      <c r="C687" s="69"/>
      <c r="D687" s="70"/>
      <c r="E687" s="71"/>
      <c r="F687" s="71"/>
      <c r="G687" s="71"/>
    </row>
    <row r="688" spans="1:8" ht="27" thickTop="1" x14ac:dyDescent="0.3">
      <c r="A688" s="357" t="s">
        <v>547</v>
      </c>
      <c r="B688" s="357"/>
      <c r="C688" s="357"/>
      <c r="D688" s="357"/>
      <c r="E688" s="357"/>
      <c r="F688" s="357"/>
      <c r="G688" s="357"/>
    </row>
    <row r="689" spans="1:8" ht="18" customHeight="1" x14ac:dyDescent="0.3">
      <c r="A689" s="1" t="s">
        <v>2</v>
      </c>
      <c r="B689" s="2" t="s">
        <v>3</v>
      </c>
      <c r="C689" s="2" t="s">
        <v>4</v>
      </c>
      <c r="D689" s="3" t="s">
        <v>5</v>
      </c>
      <c r="E689" s="2" t="s">
        <v>6</v>
      </c>
      <c r="F689" s="2" t="s">
        <v>7</v>
      </c>
      <c r="G689" s="2" t="s">
        <v>8</v>
      </c>
    </row>
    <row r="690" spans="1:8" ht="18" customHeight="1" x14ac:dyDescent="0.4">
      <c r="A690" s="81" t="s">
        <v>468</v>
      </c>
      <c r="B690" s="171" t="s">
        <v>148</v>
      </c>
      <c r="C690" s="169">
        <v>288.14999999999998</v>
      </c>
      <c r="D690" s="142">
        <v>54</v>
      </c>
      <c r="E690" s="60">
        <f>+C690*D690</f>
        <v>15560.099999999999</v>
      </c>
      <c r="F690" s="60">
        <f>+E690*7%</f>
        <v>1089.2070000000001</v>
      </c>
      <c r="G690" s="60">
        <f>+E690+F690</f>
        <v>16649.306999999997</v>
      </c>
      <c r="H690">
        <v>6902199</v>
      </c>
    </row>
    <row r="691" spans="1:8" ht="18" customHeight="1" thickBot="1" x14ac:dyDescent="0.35">
      <c r="A691" s="84"/>
      <c r="B691" s="17" t="s">
        <v>15</v>
      </c>
      <c r="C691" s="18">
        <f>SUM(C690:C690)</f>
        <v>288.14999999999998</v>
      </c>
      <c r="D691" s="19"/>
      <c r="E691" s="62">
        <f>SUM(E690:E690)</f>
        <v>15560.099999999999</v>
      </c>
      <c r="F691" s="62">
        <f>SUM(F690:F690)</f>
        <v>1089.2070000000001</v>
      </c>
      <c r="G691" s="62">
        <f>SUM(G690:G690)</f>
        <v>16649.306999999997</v>
      </c>
    </row>
    <row r="692" spans="1:8" ht="18" customHeight="1" thickTop="1" x14ac:dyDescent="0.3">
      <c r="A692" s="85"/>
      <c r="B692" s="68"/>
      <c r="C692" s="69"/>
      <c r="D692" s="70"/>
      <c r="E692" s="71"/>
      <c r="F692" s="71"/>
      <c r="G692" s="71"/>
    </row>
    <row r="693" spans="1:8" ht="26.25" x14ac:dyDescent="0.3">
      <c r="A693" s="357" t="s">
        <v>548</v>
      </c>
      <c r="B693" s="357"/>
      <c r="C693" s="357"/>
      <c r="D693" s="357"/>
      <c r="E693" s="357"/>
      <c r="F693" s="357"/>
      <c r="G693" s="357"/>
    </row>
    <row r="694" spans="1:8" ht="18" customHeight="1" x14ac:dyDescent="0.3">
      <c r="A694" s="1" t="s">
        <v>2</v>
      </c>
      <c r="B694" s="2" t="s">
        <v>3</v>
      </c>
      <c r="C694" s="2" t="s">
        <v>4</v>
      </c>
      <c r="D694" s="3" t="s">
        <v>5</v>
      </c>
      <c r="E694" s="2" t="s">
        <v>6</v>
      </c>
      <c r="F694" s="2" t="s">
        <v>7</v>
      </c>
      <c r="G694" s="2" t="s">
        <v>8</v>
      </c>
    </row>
    <row r="695" spans="1:8" ht="18" customHeight="1" x14ac:dyDescent="0.4">
      <c r="A695" s="81" t="s">
        <v>473</v>
      </c>
      <c r="B695" s="171" t="s">
        <v>549</v>
      </c>
      <c r="C695" s="169">
        <v>185.85</v>
      </c>
      <c r="D695" s="142">
        <v>48.5</v>
      </c>
      <c r="E695" s="60">
        <f>+C695*D695</f>
        <v>9013.7250000000004</v>
      </c>
      <c r="F695" s="60">
        <f>+E695*7%</f>
        <v>630.96075000000008</v>
      </c>
      <c r="G695" s="60">
        <f>+E695+F695</f>
        <v>9644.6857500000006</v>
      </c>
      <c r="H695">
        <v>6902286</v>
      </c>
    </row>
    <row r="696" spans="1:8" ht="18" customHeight="1" thickBot="1" x14ac:dyDescent="0.35">
      <c r="A696" s="84"/>
      <c r="B696" s="17" t="s">
        <v>15</v>
      </c>
      <c r="C696" s="18">
        <f>SUM(C695:C695)</f>
        <v>185.85</v>
      </c>
      <c r="D696" s="19"/>
      <c r="E696" s="62">
        <f>SUM(E695:E695)</f>
        <v>9013.7250000000004</v>
      </c>
      <c r="F696" s="62">
        <f>SUM(F695:F695)</f>
        <v>630.96075000000008</v>
      </c>
      <c r="G696" s="62">
        <f>SUM(G695:G695)</f>
        <v>9644.6857500000006</v>
      </c>
    </row>
    <row r="697" spans="1:8" ht="18" customHeight="1" thickTop="1" x14ac:dyDescent="0.3">
      <c r="A697" s="85"/>
      <c r="B697" s="68"/>
      <c r="C697" s="69"/>
      <c r="D697" s="70"/>
      <c r="E697" s="71"/>
      <c r="F697" s="71"/>
      <c r="G697" s="71"/>
    </row>
    <row r="698" spans="1:8" ht="26.25" x14ac:dyDescent="0.3">
      <c r="A698" s="357" t="s">
        <v>160</v>
      </c>
      <c r="B698" s="357"/>
      <c r="C698" s="357"/>
      <c r="D698" s="357"/>
      <c r="E698" s="357"/>
      <c r="F698" s="357"/>
      <c r="G698" s="357"/>
    </row>
    <row r="699" spans="1:8" ht="18" customHeight="1" x14ac:dyDescent="0.3">
      <c r="A699" s="1" t="s">
        <v>2</v>
      </c>
      <c r="B699" s="2" t="s">
        <v>3</v>
      </c>
      <c r="C699" s="2" t="s">
        <v>86</v>
      </c>
      <c r="D699" s="3" t="s">
        <v>5</v>
      </c>
      <c r="E699" s="2" t="s">
        <v>6</v>
      </c>
      <c r="F699" s="2" t="s">
        <v>7</v>
      </c>
      <c r="G699" s="2" t="s">
        <v>8</v>
      </c>
    </row>
    <row r="700" spans="1:8" ht="18" customHeight="1" x14ac:dyDescent="0.4">
      <c r="A700" s="81" t="s">
        <v>465</v>
      </c>
      <c r="B700" s="171" t="s">
        <v>161</v>
      </c>
      <c r="C700" s="169">
        <v>1000</v>
      </c>
      <c r="D700" s="142">
        <v>39</v>
      </c>
      <c r="E700" s="60">
        <f>+C700*D700</f>
        <v>39000</v>
      </c>
      <c r="F700" s="60">
        <f>+E700*7%</f>
        <v>2730.0000000000005</v>
      </c>
      <c r="G700" s="60">
        <f>+E700+F700</f>
        <v>41730</v>
      </c>
      <c r="H700">
        <v>6902100</v>
      </c>
    </row>
    <row r="701" spans="1:8" ht="18" customHeight="1" thickBot="1" x14ac:dyDescent="0.35">
      <c r="A701" s="84"/>
      <c r="B701" s="17" t="s">
        <v>15</v>
      </c>
      <c r="C701" s="18">
        <f>SUM(C700:C700)</f>
        <v>1000</v>
      </c>
      <c r="D701" s="19"/>
      <c r="E701" s="62">
        <f>SUM(E700:E700)</f>
        <v>39000</v>
      </c>
      <c r="F701" s="62">
        <f>SUM(F700:F700)</f>
        <v>2730.0000000000005</v>
      </c>
      <c r="G701" s="62">
        <f>SUM(G700:G700)</f>
        <v>41730</v>
      </c>
    </row>
    <row r="702" spans="1:8" ht="18" customHeight="1" thickTop="1" x14ac:dyDescent="0.3">
      <c r="A702" s="85"/>
      <c r="B702" s="68"/>
      <c r="C702" s="69"/>
      <c r="D702" s="70"/>
      <c r="E702" s="71"/>
      <c r="F702" s="71"/>
      <c r="G702" s="71"/>
    </row>
    <row r="703" spans="1:8" s="202" customFormat="1" ht="18" customHeight="1" thickBot="1" x14ac:dyDescent="0.45">
      <c r="A703" s="196"/>
      <c r="B703" s="22" t="s">
        <v>313</v>
      </c>
      <c r="C703" s="197">
        <v>0</v>
      </c>
      <c r="D703" s="198">
        <v>0.76</v>
      </c>
      <c r="E703" s="199">
        <f t="shared" ref="E703:E704" si="101">C703*D703</f>
        <v>0</v>
      </c>
      <c r="F703" s="200">
        <f>SUM(E703:E704)</f>
        <v>502.29999999999995</v>
      </c>
      <c r="G703" s="201"/>
    </row>
    <row r="704" spans="1:8" s="202" customFormat="1" ht="18" customHeight="1" thickTop="1" x14ac:dyDescent="0.4">
      <c r="A704" s="196"/>
      <c r="B704" s="22" t="s">
        <v>314</v>
      </c>
      <c r="C704" s="197">
        <f>C701</f>
        <v>1000</v>
      </c>
      <c r="D704" s="198">
        <v>0.50229999999999997</v>
      </c>
      <c r="E704" s="199">
        <f t="shared" si="101"/>
        <v>502.29999999999995</v>
      </c>
      <c r="F704" s="201"/>
      <c r="G704" s="201"/>
    </row>
    <row r="705" spans="1:8" s="30" customFormat="1" ht="12.75" customHeight="1" x14ac:dyDescent="0.5">
      <c r="A705" s="78"/>
      <c r="B705" s="22"/>
      <c r="C705" s="22"/>
      <c r="D705" s="198"/>
      <c r="E705" s="74"/>
      <c r="F705" s="22"/>
      <c r="G705" s="22"/>
    </row>
    <row r="706" spans="1:8" ht="18" customHeight="1" x14ac:dyDescent="0.3">
      <c r="A706" s="85"/>
      <c r="B706" s="68"/>
      <c r="C706" s="69"/>
      <c r="D706" s="70"/>
      <c r="E706" s="71"/>
      <c r="F706" s="71"/>
      <c r="G706" s="71"/>
    </row>
    <row r="707" spans="1:8" ht="26.25" x14ac:dyDescent="0.3">
      <c r="A707" s="357" t="s">
        <v>177</v>
      </c>
      <c r="B707" s="357"/>
      <c r="C707" s="357"/>
      <c r="D707" s="357"/>
      <c r="E707" s="357"/>
      <c r="F707" s="357"/>
      <c r="G707" s="357"/>
    </row>
    <row r="708" spans="1:8" ht="18" customHeight="1" x14ac:dyDescent="0.3">
      <c r="A708" s="1" t="s">
        <v>2</v>
      </c>
      <c r="B708" s="2" t="s">
        <v>3</v>
      </c>
      <c r="C708" s="2" t="s">
        <v>4</v>
      </c>
      <c r="D708" s="3" t="s">
        <v>5</v>
      </c>
      <c r="E708" s="2" t="s">
        <v>6</v>
      </c>
      <c r="F708" s="2" t="s">
        <v>7</v>
      </c>
      <c r="G708" s="2" t="s">
        <v>8</v>
      </c>
    </row>
    <row r="709" spans="1:8" ht="18" customHeight="1" x14ac:dyDescent="0.4">
      <c r="A709" s="81" t="s">
        <v>465</v>
      </c>
      <c r="B709" s="171" t="s">
        <v>550</v>
      </c>
      <c r="C709" s="169">
        <v>1074.4000000000001</v>
      </c>
      <c r="D709" s="142">
        <v>63</v>
      </c>
      <c r="E709" s="60">
        <f>+C709*D709</f>
        <v>67687.200000000012</v>
      </c>
      <c r="F709" s="60">
        <f>+E709*7%</f>
        <v>4738.1040000000012</v>
      </c>
      <c r="G709" s="60">
        <f>+E709+F709</f>
        <v>72425.304000000018</v>
      </c>
      <c r="H709">
        <v>6902101</v>
      </c>
    </row>
    <row r="710" spans="1:8" ht="18" customHeight="1" x14ac:dyDescent="0.4">
      <c r="A710" s="81" t="s">
        <v>465</v>
      </c>
      <c r="B710" s="171" t="s">
        <v>178</v>
      </c>
      <c r="C710" s="169">
        <v>38.9</v>
      </c>
      <c r="D710" s="142">
        <v>63</v>
      </c>
      <c r="E710" s="60">
        <f t="shared" ref="E710:E711" si="102">+C710*D710</f>
        <v>2450.6999999999998</v>
      </c>
      <c r="F710" s="60">
        <f t="shared" ref="F710:F711" si="103">+E710*7%</f>
        <v>171.54900000000001</v>
      </c>
      <c r="G710" s="60">
        <f t="shared" ref="G710:G711" si="104">+E710+F710</f>
        <v>2622.2489999999998</v>
      </c>
      <c r="H710">
        <v>6902101</v>
      </c>
    </row>
    <row r="711" spans="1:8" ht="18" customHeight="1" x14ac:dyDescent="0.4">
      <c r="A711" s="81" t="s">
        <v>472</v>
      </c>
      <c r="B711" s="171" t="s">
        <v>219</v>
      </c>
      <c r="C711" s="169">
        <v>1843.15</v>
      </c>
      <c r="D711" s="142">
        <v>63</v>
      </c>
      <c r="E711" s="60">
        <f t="shared" si="102"/>
        <v>116118.45000000001</v>
      </c>
      <c r="F711" s="60">
        <f t="shared" si="103"/>
        <v>8128.2915000000012</v>
      </c>
      <c r="G711" s="60">
        <f t="shared" si="104"/>
        <v>124246.74150000002</v>
      </c>
      <c r="H711">
        <v>6902256</v>
      </c>
    </row>
    <row r="712" spans="1:8" ht="18" customHeight="1" x14ac:dyDescent="0.4">
      <c r="A712" s="81" t="s">
        <v>465</v>
      </c>
      <c r="B712" s="171" t="s">
        <v>551</v>
      </c>
      <c r="C712" s="169">
        <v>1099.95</v>
      </c>
      <c r="D712" s="142">
        <v>63</v>
      </c>
      <c r="E712" s="60">
        <f>+C712*D712</f>
        <v>69296.850000000006</v>
      </c>
      <c r="F712" s="60">
        <f>+E712*7%</f>
        <v>4850.7795000000006</v>
      </c>
      <c r="G712" s="60">
        <f>+E712+F712</f>
        <v>74147.62950000001</v>
      </c>
      <c r="H712">
        <v>6902101</v>
      </c>
    </row>
    <row r="713" spans="1:8" ht="18" customHeight="1" thickBot="1" x14ac:dyDescent="0.35">
      <c r="A713" s="84"/>
      <c r="B713" s="17" t="s">
        <v>15</v>
      </c>
      <c r="C713" s="18">
        <f>SUM(C709:C712)</f>
        <v>4056.4000000000005</v>
      </c>
      <c r="D713" s="19"/>
      <c r="E713" s="62">
        <f>SUM(E709:E712)</f>
        <v>255553.20000000004</v>
      </c>
      <c r="F713" s="62">
        <f>SUM(F709:F712)</f>
        <v>17888.724000000002</v>
      </c>
      <c r="G713" s="62">
        <f>SUM(G709:G712)</f>
        <v>273441.924</v>
      </c>
    </row>
    <row r="714" spans="1:8" ht="18" customHeight="1" thickTop="1" x14ac:dyDescent="0.3">
      <c r="A714" s="85"/>
      <c r="B714" s="68"/>
      <c r="C714" s="69"/>
      <c r="D714" s="70"/>
      <c r="E714" s="71"/>
      <c r="F714" s="71"/>
      <c r="G714" s="71"/>
    </row>
    <row r="715" spans="1:8" ht="27" thickTop="1" x14ac:dyDescent="0.3">
      <c r="A715" s="357" t="s">
        <v>179</v>
      </c>
      <c r="B715" s="357"/>
      <c r="C715" s="357"/>
      <c r="D715" s="357"/>
      <c r="E715" s="357"/>
      <c r="F715" s="357"/>
      <c r="G715" s="357"/>
    </row>
    <row r="716" spans="1:8" ht="18" customHeight="1" x14ac:dyDescent="0.3">
      <c r="A716" s="1" t="s">
        <v>2</v>
      </c>
      <c r="B716" s="2" t="s">
        <v>3</v>
      </c>
      <c r="C716" s="2" t="s">
        <v>76</v>
      </c>
      <c r="D716" s="3" t="s">
        <v>5</v>
      </c>
      <c r="E716" s="2" t="s">
        <v>6</v>
      </c>
      <c r="F716" s="2" t="s">
        <v>7</v>
      </c>
      <c r="G716" s="2" t="s">
        <v>8</v>
      </c>
    </row>
    <row r="717" spans="1:8" ht="18" customHeight="1" x14ac:dyDescent="0.4">
      <c r="A717" s="81" t="s">
        <v>468</v>
      </c>
      <c r="B717" s="171" t="s">
        <v>215</v>
      </c>
      <c r="C717" s="169">
        <v>18</v>
      </c>
      <c r="D717" s="142">
        <v>95</v>
      </c>
      <c r="E717" s="60">
        <f>+C717*D717</f>
        <v>1710</v>
      </c>
      <c r="F717" s="60">
        <f>+E717*7%</f>
        <v>119.70000000000002</v>
      </c>
      <c r="G717" s="60">
        <f>+E717+F717</f>
        <v>1829.7</v>
      </c>
      <c r="H717">
        <v>6902201</v>
      </c>
    </row>
    <row r="718" spans="1:8" ht="18" customHeight="1" x14ac:dyDescent="0.4">
      <c r="A718" s="81" t="s">
        <v>468</v>
      </c>
      <c r="B718" s="171" t="s">
        <v>89</v>
      </c>
      <c r="C718" s="169">
        <v>42</v>
      </c>
      <c r="D718" s="142">
        <v>110</v>
      </c>
      <c r="E718" s="60">
        <f>+C718*D718</f>
        <v>4620</v>
      </c>
      <c r="F718" s="60">
        <f>+E718*7%</f>
        <v>323.40000000000003</v>
      </c>
      <c r="G718" s="60">
        <f>+E718+F718</f>
        <v>4943.3999999999996</v>
      </c>
      <c r="H718">
        <v>6902201</v>
      </c>
    </row>
    <row r="719" spans="1:8" ht="18" customHeight="1" thickBot="1" x14ac:dyDescent="0.35">
      <c r="A719" s="84"/>
      <c r="B719" s="17" t="s">
        <v>15</v>
      </c>
      <c r="C719" s="18">
        <f>SUM(C717:C718)</f>
        <v>60</v>
      </c>
      <c r="D719" s="19"/>
      <c r="E719" s="62">
        <f>SUM(E717:E718)</f>
        <v>6330</v>
      </c>
      <c r="F719" s="62">
        <f>SUM(F717:F718)</f>
        <v>443.1</v>
      </c>
      <c r="G719" s="62">
        <f>SUM(G717:G718)</f>
        <v>6773.0999999999995</v>
      </c>
    </row>
    <row r="720" spans="1:8" ht="18" customHeight="1" thickTop="1" x14ac:dyDescent="0.3">
      <c r="A720" s="85"/>
      <c r="B720" s="68"/>
      <c r="C720" s="69"/>
      <c r="D720" s="70"/>
      <c r="E720" s="71"/>
      <c r="F720" s="71"/>
      <c r="G720" s="71"/>
    </row>
    <row r="721" spans="1:8" s="30" customFormat="1" ht="12" customHeight="1" x14ac:dyDescent="0.5">
      <c r="A721" s="21"/>
      <c r="B721" s="147" t="s">
        <v>89</v>
      </c>
      <c r="C721" s="148">
        <f>C718</f>
        <v>42</v>
      </c>
      <c r="D721" s="149">
        <v>2.0699999999999998</v>
      </c>
      <c r="E721" s="204">
        <f>+C721*D721</f>
        <v>86.94</v>
      </c>
      <c r="F721" s="23"/>
      <c r="G721" s="23"/>
    </row>
    <row r="722" spans="1:8" ht="18" customHeight="1" thickBot="1" x14ac:dyDescent="0.35">
      <c r="A722" s="85"/>
      <c r="B722" s="147" t="s">
        <v>215</v>
      </c>
      <c r="C722" s="148">
        <f>C717</f>
        <v>18</v>
      </c>
      <c r="D722" s="149">
        <v>1.72</v>
      </c>
      <c r="E722" s="204">
        <f>+C722*D722</f>
        <v>30.96</v>
      </c>
      <c r="F722" s="320">
        <f>E721+E722</f>
        <v>117.9</v>
      </c>
      <c r="G722" s="71"/>
    </row>
    <row r="723" spans="1:8" ht="18" customHeight="1" thickTop="1" x14ac:dyDescent="0.3">
      <c r="A723" s="85"/>
      <c r="B723" s="68"/>
      <c r="C723" s="69"/>
      <c r="D723" s="70"/>
      <c r="E723" s="71"/>
      <c r="F723" s="71"/>
      <c r="G723" s="71"/>
    </row>
    <row r="724" spans="1:8" ht="18" customHeight="1" x14ac:dyDescent="0.3">
      <c r="A724" s="85"/>
      <c r="B724" s="68"/>
      <c r="C724" s="69"/>
      <c r="D724" s="70"/>
      <c r="E724" s="71"/>
      <c r="F724" s="71"/>
      <c r="G724" s="71"/>
    </row>
    <row r="725" spans="1:8" ht="26.25" x14ac:dyDescent="0.3">
      <c r="A725" s="357" t="s">
        <v>552</v>
      </c>
      <c r="B725" s="357"/>
      <c r="C725" s="357"/>
      <c r="D725" s="357"/>
      <c r="E725" s="357"/>
      <c r="F725" s="357"/>
      <c r="G725" s="357"/>
    </row>
    <row r="726" spans="1:8" ht="18" customHeight="1" x14ac:dyDescent="0.3">
      <c r="A726" s="1" t="s">
        <v>2</v>
      </c>
      <c r="B726" s="2" t="s">
        <v>3</v>
      </c>
      <c r="C726" s="2" t="s">
        <v>4</v>
      </c>
      <c r="D726" s="3" t="s">
        <v>5</v>
      </c>
      <c r="E726" s="2" t="s">
        <v>6</v>
      </c>
      <c r="F726" s="2" t="s">
        <v>7</v>
      </c>
      <c r="G726" s="2" t="s">
        <v>8</v>
      </c>
    </row>
    <row r="727" spans="1:8" ht="18" customHeight="1" x14ac:dyDescent="0.4">
      <c r="A727" s="81" t="s">
        <v>476</v>
      </c>
      <c r="B727" s="171" t="s">
        <v>148</v>
      </c>
      <c r="C727" s="169">
        <v>355.85</v>
      </c>
      <c r="D727" s="142">
        <v>50</v>
      </c>
      <c r="E727" s="60">
        <f>+C727*D727</f>
        <v>17792.5</v>
      </c>
      <c r="F727" s="60">
        <f>+E727*7%</f>
        <v>1245.4750000000001</v>
      </c>
      <c r="G727" s="60">
        <f>+E727+F727</f>
        <v>19037.974999999999</v>
      </c>
      <c r="H727">
        <v>6902095</v>
      </c>
    </row>
    <row r="728" spans="1:8" ht="18" customHeight="1" thickBot="1" x14ac:dyDescent="0.35">
      <c r="A728" s="84"/>
      <c r="B728" s="17" t="s">
        <v>15</v>
      </c>
      <c r="C728" s="18">
        <f>SUM(C727:C727)</f>
        <v>355.85</v>
      </c>
      <c r="D728" s="19"/>
      <c r="E728" s="62">
        <f>SUM(E727:E727)</f>
        <v>17792.5</v>
      </c>
      <c r="F728" s="62">
        <f>SUM(F727:F727)</f>
        <v>1245.4750000000001</v>
      </c>
      <c r="G728" s="62">
        <f>SUM(G727:G727)</f>
        <v>19037.974999999999</v>
      </c>
    </row>
    <row r="729" spans="1:8" ht="18" customHeight="1" thickTop="1" x14ac:dyDescent="0.3">
      <c r="A729" s="85"/>
      <c r="B729" s="68"/>
      <c r="C729" s="69"/>
      <c r="D729" s="70"/>
      <c r="E729" s="71"/>
      <c r="F729" s="71"/>
      <c r="G729" s="71"/>
    </row>
    <row r="730" spans="1:8" ht="18" customHeight="1" x14ac:dyDescent="0.3">
      <c r="A730" s="85"/>
      <c r="B730" s="68"/>
      <c r="C730" s="69"/>
      <c r="D730" s="70"/>
      <c r="E730" s="71"/>
      <c r="F730" s="71"/>
      <c r="G730" s="71"/>
    </row>
    <row r="731" spans="1:8" ht="26.25" x14ac:dyDescent="0.3">
      <c r="A731" s="357" t="s">
        <v>553</v>
      </c>
      <c r="B731" s="357"/>
      <c r="C731" s="357"/>
      <c r="D731" s="357"/>
      <c r="E731" s="357"/>
      <c r="F731" s="357"/>
      <c r="G731" s="357"/>
    </row>
    <row r="732" spans="1:8" ht="18" customHeight="1" x14ac:dyDescent="0.3">
      <c r="A732" s="1" t="s">
        <v>2</v>
      </c>
      <c r="B732" s="2" t="s">
        <v>3</v>
      </c>
      <c r="C732" s="2" t="s">
        <v>4</v>
      </c>
      <c r="D732" s="3" t="s">
        <v>5</v>
      </c>
      <c r="E732" s="2" t="s">
        <v>6</v>
      </c>
      <c r="F732" s="2" t="s">
        <v>7</v>
      </c>
      <c r="G732" s="2" t="s">
        <v>8</v>
      </c>
    </row>
    <row r="733" spans="1:8" ht="18" customHeight="1" x14ac:dyDescent="0.4">
      <c r="A733" s="81" t="s">
        <v>468</v>
      </c>
      <c r="B733" s="171" t="s">
        <v>554</v>
      </c>
      <c r="C733" s="169">
        <v>293.14999999999998</v>
      </c>
      <c r="D733" s="142">
        <v>66</v>
      </c>
      <c r="E733" s="60">
        <f>+C733*D733</f>
        <v>19347.899999999998</v>
      </c>
      <c r="F733" s="60">
        <f>+E733*7%</f>
        <v>1354.3530000000001</v>
      </c>
      <c r="G733" s="60">
        <f>+E733+F733</f>
        <v>20702.252999999997</v>
      </c>
      <c r="H733">
        <v>6902169</v>
      </c>
    </row>
    <row r="734" spans="1:8" ht="18" customHeight="1" x14ac:dyDescent="0.4">
      <c r="A734" s="81" t="s">
        <v>468</v>
      </c>
      <c r="B734" s="171" t="s">
        <v>555</v>
      </c>
      <c r="C734" s="168">
        <v>297.64999999999998</v>
      </c>
      <c r="D734" s="83">
        <v>66</v>
      </c>
      <c r="E734" s="60">
        <f>+C734*D734</f>
        <v>19644.899999999998</v>
      </c>
      <c r="F734" s="60">
        <f>+E734*7%</f>
        <v>1375.143</v>
      </c>
      <c r="G734" s="60">
        <f>+E734+F734</f>
        <v>21020.042999999998</v>
      </c>
      <c r="H734">
        <v>6902169</v>
      </c>
    </row>
    <row r="735" spans="1:8" ht="18" customHeight="1" thickBot="1" x14ac:dyDescent="0.35">
      <c r="A735" s="84"/>
      <c r="B735" s="17" t="s">
        <v>15</v>
      </c>
      <c r="C735" s="18">
        <f>SUM(C733:C734)</f>
        <v>590.79999999999995</v>
      </c>
      <c r="D735" s="19"/>
      <c r="E735" s="62">
        <f>SUM(E733:E734)</f>
        <v>38992.799999999996</v>
      </c>
      <c r="F735" s="62">
        <f>SUM(F733:F734)</f>
        <v>2729.4960000000001</v>
      </c>
      <c r="G735" s="62">
        <f>SUM(G733:G734)</f>
        <v>41722.295999999995</v>
      </c>
    </row>
    <row r="736" spans="1:8" ht="18" customHeight="1" thickTop="1" x14ac:dyDescent="0.3">
      <c r="A736" s="85"/>
      <c r="B736" s="68"/>
      <c r="C736" s="69"/>
      <c r="D736" s="70"/>
      <c r="E736" s="71"/>
      <c r="F736" s="71"/>
      <c r="G736" s="71"/>
    </row>
    <row r="737" spans="1:7" ht="18" x14ac:dyDescent="0.3">
      <c r="G737" s="71"/>
    </row>
    <row r="738" spans="1:7" s="181" customFormat="1" ht="18" customHeight="1" x14ac:dyDescent="0.4">
      <c r="A738" s="175"/>
      <c r="B738" s="176"/>
      <c r="C738" s="177" t="s">
        <v>122</v>
      </c>
      <c r="D738" s="178"/>
      <c r="E738" s="179" t="s">
        <v>123</v>
      </c>
      <c r="F738" s="180"/>
      <c r="G738" s="71"/>
    </row>
    <row r="739" spans="1:7" s="181" customFormat="1" ht="18" customHeight="1" x14ac:dyDescent="0.4">
      <c r="A739" s="175"/>
      <c r="B739" s="182"/>
      <c r="C739" s="183">
        <f>C53+C77+C97+C107+C132+C181+C236+C243+C249+C256+C262+C271+C276+E283+C289+C302+C328+C363+C381+C390+E397+C415+F426+C439+F454+C468+C473+F482+C495+C502+E511+F535+C543+C576+C585+C592+E600+E608+E617+C627+C633+F643+C654+E661+C667+C672+C680+C686+C691+C696+F703+C713+F722+C728+C735</f>
        <v>561976.65220000024</v>
      </c>
      <c r="D739" s="184"/>
      <c r="E739" s="185">
        <f>E53+E77+E97+E107+E132+E181+E209+E243+E249+E256+E262+E271+E276+E281+E289+E296+E316+E363+E373+E390+E395+E415+E423+E439+E449+E468+E473+E479+E495+E502+E509+E519+E543+E576+E585+E592+E598+E606+E615+E627+E633+E640+E649+E659+E667+E672+E680+E686+E691+E696+E701+E713+E719+E728+E735</f>
        <v>32378292.818000015</v>
      </c>
      <c r="F739" s="180"/>
      <c r="G739" s="71"/>
    </row>
    <row r="740" spans="1:7" ht="18" x14ac:dyDescent="0.3">
      <c r="E740" s="186"/>
      <c r="G740" s="71"/>
    </row>
  </sheetData>
  <autoFilter ref="H1:H740" xr:uid="{BA45B471-1CBE-438D-BE8B-509CF418CBE2}"/>
  <mergeCells count="58">
    <mergeCell ref="A1:G1"/>
    <mergeCell ref="A2:G2"/>
    <mergeCell ref="A56:G56"/>
    <mergeCell ref="A79:G79"/>
    <mergeCell ref="A99:G99"/>
    <mergeCell ref="A183:G183"/>
    <mergeCell ref="A238:G238"/>
    <mergeCell ref="A246:G246"/>
    <mergeCell ref="A252:G252"/>
    <mergeCell ref="A109:G109"/>
    <mergeCell ref="A134:G134"/>
    <mergeCell ref="A383:G383"/>
    <mergeCell ref="A259:G259"/>
    <mergeCell ref="A264:G264"/>
    <mergeCell ref="A273:G273"/>
    <mergeCell ref="A278:G278"/>
    <mergeCell ref="A285:G285"/>
    <mergeCell ref="A292:G292"/>
    <mergeCell ref="A298:G298"/>
    <mergeCell ref="A305:G305"/>
    <mergeCell ref="A330:G330"/>
    <mergeCell ref="A366:G366"/>
    <mergeCell ref="A442:G442"/>
    <mergeCell ref="A464:G464"/>
    <mergeCell ref="A470:G470"/>
    <mergeCell ref="A392:G392"/>
    <mergeCell ref="A401:G401"/>
    <mergeCell ref="A418:G418"/>
    <mergeCell ref="A432:G432"/>
    <mergeCell ref="A476:G476"/>
    <mergeCell ref="A489:G489"/>
    <mergeCell ref="A498:G498"/>
    <mergeCell ref="A506:G506"/>
    <mergeCell ref="A514:G514"/>
    <mergeCell ref="A589:G589"/>
    <mergeCell ref="A595:G595"/>
    <mergeCell ref="A603:G603"/>
    <mergeCell ref="A539:G539"/>
    <mergeCell ref="A546:G546"/>
    <mergeCell ref="A579:G579"/>
    <mergeCell ref="A612:G612"/>
    <mergeCell ref="A621:G621"/>
    <mergeCell ref="A629:G629"/>
    <mergeCell ref="A636:G636"/>
    <mergeCell ref="A646:G646"/>
    <mergeCell ref="A682:G682"/>
    <mergeCell ref="A688:G688"/>
    <mergeCell ref="A651:G651"/>
    <mergeCell ref="A656:G656"/>
    <mergeCell ref="A663:G663"/>
    <mergeCell ref="A675:G675"/>
    <mergeCell ref="A669:G669"/>
    <mergeCell ref="A725:G725"/>
    <mergeCell ref="A731:G731"/>
    <mergeCell ref="A707:G707"/>
    <mergeCell ref="A715:G715"/>
    <mergeCell ref="A693:G693"/>
    <mergeCell ref="A698:G69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8ED2-9E93-4411-BD3A-27C052CD3679}">
  <sheetPr>
    <pageSetUpPr fitToPage="1"/>
  </sheetPr>
  <dimension ref="A1:AH94"/>
  <sheetViews>
    <sheetView zoomScale="80" zoomScaleNormal="80" workbookViewId="0">
      <selection activeCell="D4" sqref="D4"/>
    </sheetView>
  </sheetViews>
  <sheetFormatPr defaultColWidth="7.875" defaultRowHeight="23.25" x14ac:dyDescent="0.5"/>
  <cols>
    <col min="1" max="1" width="5.625" style="263" customWidth="1"/>
    <col min="2" max="2" width="23.25" style="225" customWidth="1"/>
    <col min="3" max="4" width="12.125" style="225" customWidth="1"/>
    <col min="5" max="5" width="10.75" style="225" customWidth="1"/>
    <col min="6" max="6" width="12" style="223" customWidth="1"/>
    <col min="7" max="7" width="9" style="264" customWidth="1"/>
    <col min="8" max="8" width="12.375" style="225" customWidth="1"/>
    <col min="9" max="9" width="14.25" style="225" customWidth="1"/>
    <col min="10" max="10" width="10.5" style="223" customWidth="1"/>
    <col min="11" max="11" width="10" style="224" customWidth="1"/>
    <col min="12" max="12" width="7.5" style="225" customWidth="1"/>
    <col min="13" max="13" width="24.5" style="225" customWidth="1"/>
    <col min="14" max="14" width="9.75" style="225" customWidth="1"/>
    <col min="15" max="18" width="11" style="225" customWidth="1"/>
    <col min="19" max="19" width="12.25" style="225" customWidth="1"/>
    <col min="20" max="20" width="7.875" style="225" customWidth="1"/>
    <col min="21" max="21" width="7.5" style="225" customWidth="1"/>
    <col min="22" max="22" width="24.5" style="225" customWidth="1"/>
    <col min="23" max="23" width="12.875" style="225" customWidth="1"/>
    <col min="24" max="24" width="11" style="225" customWidth="1"/>
    <col min="25" max="25" width="12.125" style="225" customWidth="1"/>
    <col min="26" max="26" width="7.375" style="225" customWidth="1"/>
    <col min="27" max="27" width="7.75" style="225" customWidth="1"/>
    <col min="28" max="28" width="22.75" style="225" customWidth="1"/>
    <col min="29" max="29" width="10.625" style="225" customWidth="1"/>
    <col min="30" max="30" width="11.125" style="252" customWidth="1"/>
    <col min="31" max="31" width="10.375" style="225" customWidth="1"/>
    <col min="32" max="32" width="10.875" style="225" customWidth="1"/>
    <col min="33" max="33" width="9.125" style="225" customWidth="1"/>
    <col min="34" max="34" width="8.875" style="225" customWidth="1"/>
    <col min="35" max="16384" width="7.875" style="225"/>
  </cols>
  <sheetData>
    <row r="1" spans="1:33" ht="42" customHeight="1" x14ac:dyDescent="0.6">
      <c r="A1" s="368" t="s">
        <v>583</v>
      </c>
      <c r="B1" s="368"/>
      <c r="C1" s="368"/>
      <c r="D1" s="368"/>
      <c r="E1" s="368"/>
      <c r="F1" s="368"/>
      <c r="G1" s="368"/>
      <c r="H1" s="368"/>
      <c r="I1" s="368"/>
      <c r="L1" s="369" t="s">
        <v>584</v>
      </c>
      <c r="M1" s="369"/>
      <c r="N1" s="369"/>
      <c r="O1" s="369"/>
      <c r="P1" s="369"/>
      <c r="Q1" s="369"/>
      <c r="R1" s="369"/>
      <c r="S1" s="369"/>
      <c r="U1" s="369" t="s">
        <v>585</v>
      </c>
      <c r="V1" s="369"/>
      <c r="W1" s="369"/>
      <c r="X1" s="369"/>
      <c r="Y1" s="369"/>
      <c r="AA1" s="370" t="s">
        <v>586</v>
      </c>
      <c r="AB1" s="370"/>
      <c r="AC1" s="370"/>
      <c r="AD1" s="370"/>
      <c r="AE1" s="370"/>
      <c r="AF1" s="370"/>
      <c r="AG1" s="226"/>
    </row>
    <row r="2" spans="1:33" s="233" customFormat="1" ht="46.5" x14ac:dyDescent="0.5">
      <c r="A2" s="227" t="s">
        <v>377</v>
      </c>
      <c r="B2" s="227" t="s">
        <v>378</v>
      </c>
      <c r="C2" s="228" t="s">
        <v>379</v>
      </c>
      <c r="D2" s="228" t="s">
        <v>380</v>
      </c>
      <c r="E2" s="228" t="s">
        <v>381</v>
      </c>
      <c r="F2" s="229" t="s">
        <v>382</v>
      </c>
      <c r="G2" s="230" t="s">
        <v>383</v>
      </c>
      <c r="H2" s="228" t="s">
        <v>384</v>
      </c>
      <c r="I2" s="227" t="s">
        <v>385</v>
      </c>
      <c r="J2" s="231"/>
      <c r="K2" s="232"/>
      <c r="L2" s="227" t="s">
        <v>377</v>
      </c>
      <c r="M2" s="227" t="s">
        <v>378</v>
      </c>
      <c r="N2" s="227" t="s">
        <v>386</v>
      </c>
      <c r="O2" s="227" t="s">
        <v>387</v>
      </c>
      <c r="P2" s="227" t="s">
        <v>388</v>
      </c>
      <c r="Q2" s="227" t="s">
        <v>389</v>
      </c>
      <c r="R2" s="227" t="s">
        <v>390</v>
      </c>
      <c r="S2" s="227" t="s">
        <v>391</v>
      </c>
      <c r="U2" s="227" t="s">
        <v>377</v>
      </c>
      <c r="V2" s="227" t="s">
        <v>378</v>
      </c>
      <c r="W2" s="227" t="s">
        <v>392</v>
      </c>
      <c r="X2" s="227" t="s">
        <v>393</v>
      </c>
      <c r="Y2" s="227" t="s">
        <v>391</v>
      </c>
      <c r="Z2" s="234"/>
      <c r="AA2" s="227" t="s">
        <v>377</v>
      </c>
      <c r="AB2" s="227" t="s">
        <v>378</v>
      </c>
      <c r="AC2" s="227" t="s">
        <v>394</v>
      </c>
      <c r="AD2" s="235" t="s">
        <v>395</v>
      </c>
      <c r="AE2" s="228" t="s">
        <v>396</v>
      </c>
      <c r="AF2" s="227" t="s">
        <v>391</v>
      </c>
      <c r="AG2" s="225"/>
    </row>
    <row r="3" spans="1:33" x14ac:dyDescent="0.5">
      <c r="A3" s="236">
        <v>1</v>
      </c>
      <c r="B3" s="219" t="s">
        <v>332</v>
      </c>
      <c r="C3" s="237">
        <v>157577.60000000001</v>
      </c>
      <c r="D3" s="237">
        <v>0</v>
      </c>
      <c r="E3" s="237">
        <v>0</v>
      </c>
      <c r="F3" s="238">
        <v>0</v>
      </c>
      <c r="G3" s="239">
        <v>0</v>
      </c>
      <c r="H3" s="240">
        <f>+C3+D3+E3+F3+G3</f>
        <v>157577.60000000001</v>
      </c>
      <c r="I3" s="220">
        <v>157577.60000000001</v>
      </c>
      <c r="J3" s="257">
        <f>H3-I3</f>
        <v>0</v>
      </c>
      <c r="K3" s="241">
        <f>+H3*100/H52</f>
        <v>42.677562475521576</v>
      </c>
      <c r="L3" s="236">
        <v>1</v>
      </c>
      <c r="M3" s="219"/>
      <c r="N3" s="242">
        <v>0</v>
      </c>
      <c r="O3" s="242">
        <v>0</v>
      </c>
      <c r="P3" s="242">
        <v>0</v>
      </c>
      <c r="Q3" s="242">
        <v>0</v>
      </c>
      <c r="R3" s="242">
        <v>0</v>
      </c>
      <c r="S3" s="242">
        <f>+N3+O3+P3+Q3+R3</f>
        <v>0</v>
      </c>
      <c r="T3" s="241" t="e">
        <f>+S3*100/S12</f>
        <v>#DIV/0!</v>
      </c>
      <c r="U3" s="236">
        <v>1</v>
      </c>
      <c r="V3" s="219"/>
      <c r="W3" s="242">
        <v>0</v>
      </c>
      <c r="X3" s="242">
        <v>0</v>
      </c>
      <c r="Y3" s="242">
        <f>+W3+X3</f>
        <v>0</v>
      </c>
      <c r="Z3" s="243"/>
      <c r="AA3" s="236">
        <v>1</v>
      </c>
      <c r="AB3" s="219"/>
      <c r="AC3" s="237">
        <v>0</v>
      </c>
      <c r="AD3" s="244">
        <v>0</v>
      </c>
      <c r="AE3" s="245">
        <v>0</v>
      </c>
      <c r="AF3" s="242">
        <f>+AC3+AE3</f>
        <v>0</v>
      </c>
    </row>
    <row r="4" spans="1:33" x14ac:dyDescent="0.5">
      <c r="A4" s="236">
        <v>2</v>
      </c>
      <c r="B4" s="219" t="s">
        <v>333</v>
      </c>
      <c r="C4" s="237">
        <v>0</v>
      </c>
      <c r="D4" s="237">
        <v>0</v>
      </c>
      <c r="E4" s="237">
        <v>0</v>
      </c>
      <c r="F4" s="238">
        <v>0</v>
      </c>
      <c r="G4" s="239">
        <v>0</v>
      </c>
      <c r="H4" s="240">
        <f>+C4+D4+E4+F4+G4</f>
        <v>0</v>
      </c>
      <c r="I4" s="220">
        <v>113693.68</v>
      </c>
      <c r="J4" s="257">
        <f t="shared" ref="J4:J52" si="0">H4-I4</f>
        <v>-113693.68</v>
      </c>
      <c r="K4" s="246">
        <f>+H4*100/H52</f>
        <v>0</v>
      </c>
      <c r="L4" s="236">
        <v>2</v>
      </c>
      <c r="M4" s="219"/>
      <c r="N4" s="242">
        <v>0</v>
      </c>
      <c r="O4" s="242">
        <v>0</v>
      </c>
      <c r="P4" s="242">
        <v>0</v>
      </c>
      <c r="Q4" s="242">
        <v>0</v>
      </c>
      <c r="R4" s="242">
        <v>0</v>
      </c>
      <c r="S4" s="242">
        <f t="shared" ref="S4:S11" si="1">+N4+O4+P4+Q4+R4</f>
        <v>0</v>
      </c>
      <c r="T4" s="241" t="e">
        <f>+S4*100/S12</f>
        <v>#DIV/0!</v>
      </c>
      <c r="U4" s="236">
        <v>2</v>
      </c>
      <c r="V4" s="219"/>
      <c r="W4" s="242">
        <v>0</v>
      </c>
      <c r="X4" s="242">
        <v>0</v>
      </c>
      <c r="Y4" s="242">
        <f t="shared" ref="Y4:Y11" si="2">+W4+X4</f>
        <v>0</v>
      </c>
      <c r="Z4" s="243"/>
      <c r="AA4" s="236">
        <v>2</v>
      </c>
      <c r="AB4" s="219"/>
      <c r="AC4" s="237">
        <v>0</v>
      </c>
      <c r="AD4" s="244">
        <v>0</v>
      </c>
      <c r="AE4" s="245">
        <v>0</v>
      </c>
      <c r="AF4" s="242">
        <f>+AC4+AE4</f>
        <v>0</v>
      </c>
    </row>
    <row r="5" spans="1:33" x14ac:dyDescent="0.5">
      <c r="A5" s="236">
        <v>3</v>
      </c>
      <c r="B5" s="219" t="s">
        <v>334</v>
      </c>
      <c r="C5" s="237">
        <v>59832.07</v>
      </c>
      <c r="D5" s="237">
        <v>0</v>
      </c>
      <c r="E5" s="237">
        <v>0</v>
      </c>
      <c r="F5" s="238">
        <v>0</v>
      </c>
      <c r="G5" s="239">
        <v>0</v>
      </c>
      <c r="H5" s="240">
        <f t="shared" ref="H5:H44" si="3">+C5+D5+E5+F5+G5</f>
        <v>59832.07</v>
      </c>
      <c r="I5" s="220">
        <v>59832.07</v>
      </c>
      <c r="J5" s="257">
        <f t="shared" si="0"/>
        <v>0</v>
      </c>
      <c r="K5" s="246">
        <f>+H5*100/H52</f>
        <v>16.20463127668387</v>
      </c>
      <c r="L5" s="236">
        <v>3</v>
      </c>
      <c r="M5" s="219"/>
      <c r="N5" s="242">
        <v>0</v>
      </c>
      <c r="O5" s="242">
        <v>0</v>
      </c>
      <c r="P5" s="242">
        <v>0</v>
      </c>
      <c r="Q5" s="242">
        <v>0</v>
      </c>
      <c r="R5" s="242">
        <v>0</v>
      </c>
      <c r="S5" s="242">
        <f t="shared" si="1"/>
        <v>0</v>
      </c>
      <c r="T5" s="241" t="e">
        <f>+S5*100/S12</f>
        <v>#DIV/0!</v>
      </c>
      <c r="U5" s="236">
        <v>3</v>
      </c>
      <c r="V5" s="219"/>
      <c r="W5" s="242">
        <v>0</v>
      </c>
      <c r="X5" s="242">
        <v>0</v>
      </c>
      <c r="Y5" s="242">
        <f t="shared" si="2"/>
        <v>0</v>
      </c>
      <c r="Z5" s="243"/>
      <c r="AA5" s="236">
        <v>3</v>
      </c>
      <c r="AB5" s="219"/>
      <c r="AC5" s="237">
        <v>0</v>
      </c>
      <c r="AD5" s="244">
        <v>0</v>
      </c>
      <c r="AE5" s="245">
        <v>0</v>
      </c>
      <c r="AF5" s="242">
        <f>+AC5+AE5</f>
        <v>0</v>
      </c>
    </row>
    <row r="6" spans="1:33" x14ac:dyDescent="0.5">
      <c r="A6" s="236">
        <v>4</v>
      </c>
      <c r="B6" s="219" t="s">
        <v>335</v>
      </c>
      <c r="C6" s="237">
        <v>51817.000000000007</v>
      </c>
      <c r="D6" s="237">
        <v>0</v>
      </c>
      <c r="E6" s="237">
        <v>0</v>
      </c>
      <c r="F6" s="238">
        <v>0</v>
      </c>
      <c r="G6" s="239">
        <v>0</v>
      </c>
      <c r="H6" s="240">
        <f t="shared" si="3"/>
        <v>51817.000000000007</v>
      </c>
      <c r="I6" s="220">
        <v>51817.000000000007</v>
      </c>
      <c r="J6" s="257">
        <f t="shared" si="0"/>
        <v>0</v>
      </c>
      <c r="K6" s="246">
        <f>+H6*100/H52</f>
        <v>14.033868105581641</v>
      </c>
      <c r="L6" s="236">
        <v>4</v>
      </c>
      <c r="M6" s="219"/>
      <c r="N6" s="242">
        <v>0</v>
      </c>
      <c r="O6" s="242">
        <v>0</v>
      </c>
      <c r="P6" s="242">
        <v>0</v>
      </c>
      <c r="Q6" s="242">
        <v>0</v>
      </c>
      <c r="R6" s="242">
        <v>0</v>
      </c>
      <c r="S6" s="242">
        <f t="shared" si="1"/>
        <v>0</v>
      </c>
      <c r="T6" s="241" t="e">
        <f>+S6*100/S12</f>
        <v>#DIV/0!</v>
      </c>
      <c r="U6" s="236">
        <v>4</v>
      </c>
      <c r="V6" s="219"/>
      <c r="W6" s="242">
        <v>0</v>
      </c>
      <c r="X6" s="242">
        <v>0</v>
      </c>
      <c r="Y6" s="242">
        <f t="shared" si="2"/>
        <v>0</v>
      </c>
      <c r="Z6" s="243"/>
      <c r="AA6" s="236">
        <v>4</v>
      </c>
      <c r="AB6" s="219" t="s">
        <v>572</v>
      </c>
      <c r="AC6" s="237">
        <v>0</v>
      </c>
      <c r="AD6" s="244">
        <v>0</v>
      </c>
      <c r="AE6" s="245">
        <v>0</v>
      </c>
      <c r="AF6" s="242">
        <f>+AC6+AE6</f>
        <v>0</v>
      </c>
    </row>
    <row r="7" spans="1:33" ht="24" thickBot="1" x14ac:dyDescent="0.55000000000000004">
      <c r="A7" s="236">
        <v>5</v>
      </c>
      <c r="B7" s="219" t="s">
        <v>336</v>
      </c>
      <c r="C7" s="237">
        <v>0</v>
      </c>
      <c r="D7" s="237">
        <v>0</v>
      </c>
      <c r="E7" s="237">
        <v>0</v>
      </c>
      <c r="F7" s="238">
        <v>0</v>
      </c>
      <c r="G7" s="239">
        <v>0</v>
      </c>
      <c r="H7" s="240">
        <f t="shared" si="3"/>
        <v>0</v>
      </c>
      <c r="I7" s="220">
        <v>29669.290000000005</v>
      </c>
      <c r="J7" s="257">
        <f t="shared" si="0"/>
        <v>-29669.290000000005</v>
      </c>
      <c r="K7" s="246">
        <f>+H7*100/H52</f>
        <v>0</v>
      </c>
      <c r="L7" s="236">
        <v>5</v>
      </c>
      <c r="M7" s="219"/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f t="shared" si="1"/>
        <v>0</v>
      </c>
      <c r="T7" s="241" t="e">
        <f>+S7*100/S12</f>
        <v>#DIV/0!</v>
      </c>
      <c r="U7" s="236">
        <v>5</v>
      </c>
      <c r="V7" s="219"/>
      <c r="W7" s="242">
        <v>0</v>
      </c>
      <c r="X7" s="242">
        <v>0</v>
      </c>
      <c r="Y7" s="242">
        <f t="shared" si="2"/>
        <v>0</v>
      </c>
      <c r="Z7" s="243"/>
      <c r="AA7" s="247"/>
      <c r="AB7" s="248" t="s">
        <v>397</v>
      </c>
      <c r="AC7" s="249">
        <f>SUM(AC3:AC6)</f>
        <v>0</v>
      </c>
      <c r="AD7" s="250">
        <f>SUM(AD3:AD6)</f>
        <v>0</v>
      </c>
      <c r="AE7" s="251">
        <f>SUM(AE3:AE6)</f>
        <v>0</v>
      </c>
      <c r="AF7" s="251">
        <f>SUM(AF3:AF6)</f>
        <v>0</v>
      </c>
    </row>
    <row r="8" spans="1:33" ht="24" thickTop="1" x14ac:dyDescent="0.5">
      <c r="A8" s="236">
        <v>6</v>
      </c>
      <c r="B8" s="219" t="s">
        <v>342</v>
      </c>
      <c r="C8" s="237">
        <v>20249.100000000002</v>
      </c>
      <c r="D8" s="237">
        <v>0</v>
      </c>
      <c r="E8" s="237">
        <v>0</v>
      </c>
      <c r="F8" s="238">
        <v>0</v>
      </c>
      <c r="G8" s="239">
        <v>0</v>
      </c>
      <c r="H8" s="240">
        <f t="shared" si="3"/>
        <v>20249.100000000002</v>
      </c>
      <c r="I8" s="220">
        <v>20249.100000000002</v>
      </c>
      <c r="J8" s="257">
        <f t="shared" si="0"/>
        <v>0</v>
      </c>
      <c r="K8" s="246">
        <f>+H8*100/H52</f>
        <v>5.4841692621481988</v>
      </c>
      <c r="L8" s="236">
        <v>6</v>
      </c>
      <c r="M8" s="219"/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f t="shared" si="1"/>
        <v>0</v>
      </c>
      <c r="T8" s="241" t="e">
        <f>+S8*100/S12</f>
        <v>#DIV/0!</v>
      </c>
      <c r="U8" s="236">
        <v>6</v>
      </c>
      <c r="V8" s="219"/>
      <c r="W8" s="242">
        <v>0</v>
      </c>
      <c r="X8" s="242">
        <v>0</v>
      </c>
      <c r="Y8" s="242">
        <f t="shared" si="2"/>
        <v>0</v>
      </c>
      <c r="Z8" s="243"/>
    </row>
    <row r="9" spans="1:33" x14ac:dyDescent="0.5">
      <c r="A9" s="236">
        <v>7</v>
      </c>
      <c r="B9" s="219" t="s">
        <v>341</v>
      </c>
      <c r="C9" s="237">
        <v>18147.250000000004</v>
      </c>
      <c r="D9" s="237">
        <v>0</v>
      </c>
      <c r="E9" s="237">
        <v>0</v>
      </c>
      <c r="F9" s="238">
        <v>0</v>
      </c>
      <c r="G9" s="239">
        <v>0</v>
      </c>
      <c r="H9" s="240">
        <f t="shared" si="3"/>
        <v>18147.250000000004</v>
      </c>
      <c r="I9" s="220">
        <v>18147.250000000004</v>
      </c>
      <c r="J9" s="257">
        <f t="shared" si="0"/>
        <v>0</v>
      </c>
      <c r="K9" s="246">
        <f>+H9*100/H52</f>
        <v>4.9149142748329018</v>
      </c>
      <c r="L9" s="236">
        <v>7</v>
      </c>
      <c r="M9" s="219"/>
      <c r="N9" s="242">
        <v>0</v>
      </c>
      <c r="O9" s="242">
        <v>0</v>
      </c>
      <c r="P9" s="242">
        <v>0</v>
      </c>
      <c r="Q9" s="242">
        <v>0</v>
      </c>
      <c r="R9" s="242">
        <v>0</v>
      </c>
      <c r="S9" s="242">
        <f t="shared" si="1"/>
        <v>0</v>
      </c>
      <c r="T9" s="241" t="e">
        <f>+S9*100/S12</f>
        <v>#DIV/0!</v>
      </c>
      <c r="U9" s="236">
        <v>7</v>
      </c>
      <c r="V9" s="219"/>
      <c r="W9" s="242">
        <v>0</v>
      </c>
      <c r="X9" s="242">
        <v>0</v>
      </c>
      <c r="Y9" s="242">
        <f t="shared" si="2"/>
        <v>0</v>
      </c>
      <c r="Z9" s="243"/>
    </row>
    <row r="10" spans="1:33" x14ac:dyDescent="0.5">
      <c r="A10" s="236">
        <v>8</v>
      </c>
      <c r="B10" s="219" t="s">
        <v>340</v>
      </c>
      <c r="C10" s="237">
        <v>0</v>
      </c>
      <c r="D10" s="237">
        <v>16658.34</v>
      </c>
      <c r="E10" s="237">
        <v>0</v>
      </c>
      <c r="F10" s="238">
        <v>0</v>
      </c>
      <c r="G10" s="239">
        <v>0</v>
      </c>
      <c r="H10" s="240">
        <f t="shared" si="3"/>
        <v>16658.34</v>
      </c>
      <c r="I10" s="220">
        <v>16658.34</v>
      </c>
      <c r="J10" s="257">
        <f t="shared" si="0"/>
        <v>0</v>
      </c>
      <c r="K10" s="246">
        <f>+H10*100/H52</f>
        <v>4.5116650214781799</v>
      </c>
      <c r="L10" s="236">
        <v>8</v>
      </c>
      <c r="M10" s="219"/>
      <c r="N10" s="242">
        <v>0</v>
      </c>
      <c r="O10" s="242">
        <v>0</v>
      </c>
      <c r="P10" s="242">
        <v>0</v>
      </c>
      <c r="Q10" s="242">
        <v>0</v>
      </c>
      <c r="R10" s="242">
        <v>0</v>
      </c>
      <c r="S10" s="242">
        <f t="shared" si="1"/>
        <v>0</v>
      </c>
      <c r="T10" s="241" t="e">
        <f>+S10*100/S12</f>
        <v>#DIV/0!</v>
      </c>
      <c r="U10" s="236">
        <v>8</v>
      </c>
      <c r="V10" s="219"/>
      <c r="W10" s="242">
        <v>0</v>
      </c>
      <c r="X10" s="242">
        <v>0</v>
      </c>
      <c r="Y10" s="242">
        <f t="shared" si="2"/>
        <v>0</v>
      </c>
      <c r="Z10" s="243"/>
    </row>
    <row r="11" spans="1:33" x14ac:dyDescent="0.5">
      <c r="A11" s="236">
        <v>9</v>
      </c>
      <c r="B11" s="221" t="s">
        <v>338</v>
      </c>
      <c r="C11" s="220">
        <v>13145.650000000001</v>
      </c>
      <c r="D11" s="237">
        <v>0</v>
      </c>
      <c r="E11" s="237">
        <v>0</v>
      </c>
      <c r="F11" s="238">
        <v>0</v>
      </c>
      <c r="G11" s="239">
        <v>0</v>
      </c>
      <c r="H11" s="240">
        <f t="shared" si="3"/>
        <v>13145.650000000001</v>
      </c>
      <c r="I11" s="220">
        <v>13145.650000000001</v>
      </c>
      <c r="J11" s="257">
        <f t="shared" si="0"/>
        <v>0</v>
      </c>
      <c r="K11" s="246">
        <f>+H11*100/H52</f>
        <v>3.5603048856965729</v>
      </c>
      <c r="L11" s="236">
        <v>10</v>
      </c>
      <c r="M11" s="219"/>
      <c r="N11" s="242">
        <v>0</v>
      </c>
      <c r="O11" s="242">
        <v>0</v>
      </c>
      <c r="P11" s="242">
        <v>0</v>
      </c>
      <c r="Q11" s="242">
        <v>0</v>
      </c>
      <c r="R11" s="242">
        <v>0</v>
      </c>
      <c r="S11" s="242">
        <f t="shared" si="1"/>
        <v>0</v>
      </c>
      <c r="T11" s="241" t="e">
        <f>+S11*100/S12</f>
        <v>#DIV/0!</v>
      </c>
      <c r="U11" s="236">
        <v>10</v>
      </c>
      <c r="V11" s="219"/>
      <c r="W11" s="242">
        <v>0</v>
      </c>
      <c r="X11" s="242">
        <v>0</v>
      </c>
      <c r="Y11" s="242">
        <f t="shared" si="2"/>
        <v>0</v>
      </c>
      <c r="Z11" s="253"/>
    </row>
    <row r="12" spans="1:33" ht="24" thickBot="1" x14ac:dyDescent="0.55000000000000004">
      <c r="A12" s="236">
        <v>10</v>
      </c>
      <c r="B12" s="219" t="s">
        <v>345</v>
      </c>
      <c r="C12" s="237">
        <v>0</v>
      </c>
      <c r="D12" s="237">
        <v>0</v>
      </c>
      <c r="E12" s="237">
        <v>0</v>
      </c>
      <c r="F12" s="238">
        <v>0</v>
      </c>
      <c r="G12" s="239">
        <v>0</v>
      </c>
      <c r="H12" s="240">
        <f t="shared" si="3"/>
        <v>0</v>
      </c>
      <c r="I12" s="220">
        <v>9956.2000000000007</v>
      </c>
      <c r="J12" s="257">
        <f t="shared" si="0"/>
        <v>-9956.2000000000007</v>
      </c>
      <c r="K12" s="246">
        <f>+H12*100/H52</f>
        <v>0</v>
      </c>
      <c r="L12" s="254"/>
      <c r="M12" s="255" t="s">
        <v>397</v>
      </c>
      <c r="N12" s="256">
        <f t="shared" ref="N12:S12" si="4">SUM(N3:N11)</f>
        <v>0</v>
      </c>
      <c r="O12" s="256">
        <f t="shared" si="4"/>
        <v>0</v>
      </c>
      <c r="P12" s="256">
        <f t="shared" si="4"/>
        <v>0</v>
      </c>
      <c r="Q12" s="256">
        <f t="shared" si="4"/>
        <v>0</v>
      </c>
      <c r="R12" s="256">
        <f t="shared" si="4"/>
        <v>0</v>
      </c>
      <c r="S12" s="256">
        <f t="shared" si="4"/>
        <v>0</v>
      </c>
      <c r="U12" s="254"/>
      <c r="V12" s="255" t="s">
        <v>397</v>
      </c>
      <c r="W12" s="256">
        <f>SUM(W3:W11)</f>
        <v>0</v>
      </c>
      <c r="X12" s="256">
        <f t="shared" ref="X12" si="5">SUM(X3:X11)</f>
        <v>0</v>
      </c>
      <c r="Y12" s="256">
        <f>SUM(Y3:Y11)</f>
        <v>0</v>
      </c>
    </row>
    <row r="13" spans="1:33" ht="24" thickTop="1" x14ac:dyDescent="0.5">
      <c r="A13" s="236">
        <v>11</v>
      </c>
      <c r="B13" s="219" t="s">
        <v>337</v>
      </c>
      <c r="C13" s="237">
        <v>0</v>
      </c>
      <c r="D13" s="237">
        <v>0</v>
      </c>
      <c r="E13" s="237">
        <v>0</v>
      </c>
      <c r="F13" s="238">
        <v>0</v>
      </c>
      <c r="G13" s="239">
        <v>0</v>
      </c>
      <c r="H13" s="240">
        <f t="shared" si="3"/>
        <v>0</v>
      </c>
      <c r="I13" s="220">
        <v>9762.9</v>
      </c>
      <c r="J13" s="257">
        <f t="shared" si="0"/>
        <v>-9762.9</v>
      </c>
    </row>
    <row r="14" spans="1:33" x14ac:dyDescent="0.5">
      <c r="A14" s="236">
        <v>12</v>
      </c>
      <c r="B14" s="219" t="s">
        <v>344</v>
      </c>
      <c r="C14" s="237">
        <v>0</v>
      </c>
      <c r="D14" s="237">
        <v>0</v>
      </c>
      <c r="E14" s="237">
        <v>0</v>
      </c>
      <c r="F14" s="238">
        <v>0</v>
      </c>
      <c r="G14" s="239">
        <v>0</v>
      </c>
      <c r="H14" s="240">
        <f t="shared" si="3"/>
        <v>0</v>
      </c>
      <c r="I14" s="220">
        <v>7430.5</v>
      </c>
      <c r="J14" s="257">
        <f t="shared" si="0"/>
        <v>-7430.5</v>
      </c>
      <c r="K14" s="258"/>
      <c r="N14" s="259" t="e">
        <f>+N12*100/S12</f>
        <v>#DIV/0!</v>
      </c>
      <c r="O14" s="259" t="e">
        <f>+O12*100/S12</f>
        <v>#DIV/0!</v>
      </c>
      <c r="P14" s="259" t="e">
        <f>+P12*100/S12</f>
        <v>#DIV/0!</v>
      </c>
      <c r="Q14" s="259" t="e">
        <f>+Q12*100/S12</f>
        <v>#DIV/0!</v>
      </c>
      <c r="R14" s="259" t="e">
        <f>+R12*100/S12</f>
        <v>#DIV/0!</v>
      </c>
      <c r="W14" s="259" t="e">
        <f>+W12*100/Y12</f>
        <v>#DIV/0!</v>
      </c>
      <c r="X14" s="259" t="e">
        <f>+X12*100/Y12</f>
        <v>#DIV/0!</v>
      </c>
      <c r="Y14" s="259"/>
    </row>
    <row r="15" spans="1:33" ht="23.25" customHeight="1" x14ac:dyDescent="0.5">
      <c r="A15" s="236">
        <v>13</v>
      </c>
      <c r="B15" s="219" t="s">
        <v>343</v>
      </c>
      <c r="C15" s="237">
        <v>7257.6999999999989</v>
      </c>
      <c r="D15" s="237">
        <v>0</v>
      </c>
      <c r="E15" s="237">
        <v>0</v>
      </c>
      <c r="F15" s="238">
        <v>0</v>
      </c>
      <c r="G15" s="239">
        <v>0</v>
      </c>
      <c r="H15" s="240">
        <f t="shared" si="3"/>
        <v>7257.6999999999989</v>
      </c>
      <c r="I15" s="220">
        <v>7257.6999999999989</v>
      </c>
      <c r="J15" s="257">
        <f t="shared" si="0"/>
        <v>0</v>
      </c>
      <c r="K15" s="258"/>
    </row>
    <row r="16" spans="1:33" ht="23.25" customHeight="1" x14ac:dyDescent="0.6">
      <c r="A16" s="236">
        <v>14</v>
      </c>
      <c r="B16" s="219" t="s">
        <v>347</v>
      </c>
      <c r="C16" s="237">
        <v>4524.3</v>
      </c>
      <c r="D16" s="237">
        <v>0</v>
      </c>
      <c r="E16" s="237">
        <v>0</v>
      </c>
      <c r="F16" s="238">
        <v>0</v>
      </c>
      <c r="G16" s="239">
        <v>0</v>
      </c>
      <c r="H16" s="240">
        <f t="shared" si="3"/>
        <v>4524.3</v>
      </c>
      <c r="I16" s="220">
        <v>4524.3</v>
      </c>
      <c r="J16" s="257">
        <f t="shared" si="0"/>
        <v>0</v>
      </c>
      <c r="K16" s="258"/>
      <c r="AG16" s="226"/>
    </row>
    <row r="17" spans="1:11" ht="23.25" customHeight="1" x14ac:dyDescent="0.5">
      <c r="A17" s="236">
        <v>15</v>
      </c>
      <c r="B17" s="219" t="s">
        <v>354</v>
      </c>
      <c r="C17" s="237">
        <v>0</v>
      </c>
      <c r="D17" s="237">
        <v>0</v>
      </c>
      <c r="E17" s="237">
        <v>0</v>
      </c>
      <c r="F17" s="238">
        <v>0</v>
      </c>
      <c r="G17" s="239">
        <v>0</v>
      </c>
      <c r="H17" s="240">
        <f t="shared" si="3"/>
        <v>0</v>
      </c>
      <c r="I17" s="220">
        <v>4056.4000000000005</v>
      </c>
      <c r="J17" s="257">
        <f t="shared" si="0"/>
        <v>-4056.4000000000005</v>
      </c>
      <c r="K17" s="258"/>
    </row>
    <row r="18" spans="1:11" ht="23.25" customHeight="1" x14ac:dyDescent="0.5">
      <c r="A18" s="236">
        <v>16</v>
      </c>
      <c r="B18" s="219" t="s">
        <v>339</v>
      </c>
      <c r="C18" s="237">
        <v>0</v>
      </c>
      <c r="D18" s="237">
        <v>0</v>
      </c>
      <c r="E18" s="237">
        <v>0</v>
      </c>
      <c r="F18" s="238">
        <v>0</v>
      </c>
      <c r="G18" s="239">
        <v>0</v>
      </c>
      <c r="H18" s="240">
        <f t="shared" si="3"/>
        <v>0</v>
      </c>
      <c r="I18" s="220">
        <v>3945.4579999999996</v>
      </c>
      <c r="J18" s="257">
        <f t="shared" si="0"/>
        <v>-3945.4579999999996</v>
      </c>
      <c r="K18" s="258"/>
    </row>
    <row r="19" spans="1:11" ht="23.25" customHeight="1" x14ac:dyDescent="0.5">
      <c r="A19" s="236">
        <v>17</v>
      </c>
      <c r="B19" s="219" t="s">
        <v>348</v>
      </c>
      <c r="C19" s="237">
        <v>2996.25</v>
      </c>
      <c r="D19" s="237">
        <v>0</v>
      </c>
      <c r="E19" s="237">
        <v>0</v>
      </c>
      <c r="F19" s="238">
        <v>0</v>
      </c>
      <c r="G19" s="239">
        <v>0</v>
      </c>
      <c r="H19" s="240">
        <f t="shared" si="3"/>
        <v>2996.25</v>
      </c>
      <c r="I19" s="220">
        <v>2996.25</v>
      </c>
      <c r="J19" s="257">
        <f t="shared" si="0"/>
        <v>0</v>
      </c>
      <c r="K19" s="258"/>
    </row>
    <row r="20" spans="1:11" ht="23.25" customHeight="1" x14ac:dyDescent="0.5">
      <c r="A20" s="236">
        <v>18</v>
      </c>
      <c r="B20" s="219" t="s">
        <v>569</v>
      </c>
      <c r="C20" s="237">
        <v>0</v>
      </c>
      <c r="D20" s="237">
        <v>0</v>
      </c>
      <c r="E20" s="237">
        <v>0</v>
      </c>
      <c r="F20" s="238">
        <v>0</v>
      </c>
      <c r="G20" s="239">
        <v>0</v>
      </c>
      <c r="H20" s="240">
        <f t="shared" si="3"/>
        <v>0</v>
      </c>
      <c r="I20" s="220">
        <v>2829</v>
      </c>
      <c r="J20" s="257">
        <f t="shared" si="0"/>
        <v>-2829</v>
      </c>
      <c r="K20" s="258"/>
    </row>
    <row r="21" spans="1:11" x14ac:dyDescent="0.5">
      <c r="A21" s="236">
        <v>19</v>
      </c>
      <c r="B21" s="219" t="s">
        <v>575</v>
      </c>
      <c r="C21" s="220">
        <v>2810.8</v>
      </c>
      <c r="D21" s="237">
        <v>0</v>
      </c>
      <c r="E21" s="237">
        <v>0</v>
      </c>
      <c r="F21" s="238">
        <v>0</v>
      </c>
      <c r="G21" s="239">
        <v>0</v>
      </c>
      <c r="H21" s="240">
        <f t="shared" si="3"/>
        <v>2810.8</v>
      </c>
      <c r="I21" s="220">
        <v>2810.8</v>
      </c>
      <c r="J21" s="257">
        <f t="shared" si="0"/>
        <v>0</v>
      </c>
      <c r="K21" s="258"/>
    </row>
    <row r="22" spans="1:11" x14ac:dyDescent="0.5">
      <c r="A22" s="236">
        <v>20</v>
      </c>
      <c r="B22" s="219" t="s">
        <v>350</v>
      </c>
      <c r="C22" s="237">
        <v>0</v>
      </c>
      <c r="D22" s="237">
        <v>0</v>
      </c>
      <c r="E22" s="237">
        <v>0</v>
      </c>
      <c r="F22" s="238">
        <v>0</v>
      </c>
      <c r="G22" s="239">
        <v>0</v>
      </c>
      <c r="H22" s="240">
        <f t="shared" si="3"/>
        <v>0</v>
      </c>
      <c r="I22" s="220">
        <v>2541.5500000000002</v>
      </c>
      <c r="J22" s="257">
        <f t="shared" si="0"/>
        <v>-2541.5500000000002</v>
      </c>
      <c r="K22" s="258"/>
    </row>
    <row r="23" spans="1:11" x14ac:dyDescent="0.5">
      <c r="A23" s="236">
        <v>21</v>
      </c>
      <c r="B23" s="219" t="s">
        <v>349</v>
      </c>
      <c r="C23" s="237">
        <v>0</v>
      </c>
      <c r="D23" s="237">
        <v>0</v>
      </c>
      <c r="E23" s="237">
        <v>2216</v>
      </c>
      <c r="F23" s="238">
        <v>0</v>
      </c>
      <c r="G23" s="239">
        <v>0</v>
      </c>
      <c r="H23" s="240">
        <f t="shared" si="3"/>
        <v>2216</v>
      </c>
      <c r="I23" s="220">
        <v>2216</v>
      </c>
      <c r="J23" s="257">
        <f t="shared" si="0"/>
        <v>0</v>
      </c>
      <c r="K23" s="258"/>
    </row>
    <row r="24" spans="1:11" x14ac:dyDescent="0.5">
      <c r="A24" s="236">
        <v>22</v>
      </c>
      <c r="B24" s="219" t="s">
        <v>571</v>
      </c>
      <c r="C24" s="237">
        <v>0</v>
      </c>
      <c r="D24" s="237">
        <v>0</v>
      </c>
      <c r="E24" s="237">
        <v>0</v>
      </c>
      <c r="F24" s="238">
        <v>0</v>
      </c>
      <c r="G24" s="239">
        <v>0</v>
      </c>
      <c r="H24" s="240">
        <f t="shared" si="3"/>
        <v>0</v>
      </c>
      <c r="I24" s="220">
        <v>1994.9</v>
      </c>
      <c r="J24" s="257">
        <f t="shared" si="0"/>
        <v>-1994.9</v>
      </c>
      <c r="K24" s="258"/>
    </row>
    <row r="25" spans="1:11" x14ac:dyDescent="0.5">
      <c r="A25" s="236">
        <v>23</v>
      </c>
      <c r="B25" s="219" t="s">
        <v>352</v>
      </c>
      <c r="C25" s="220">
        <v>1975.25</v>
      </c>
      <c r="D25" s="237">
        <v>0</v>
      </c>
      <c r="E25" s="237">
        <v>0</v>
      </c>
      <c r="F25" s="238">
        <v>0</v>
      </c>
      <c r="G25" s="239">
        <v>0</v>
      </c>
      <c r="H25" s="240">
        <f t="shared" si="3"/>
        <v>1975.25</v>
      </c>
      <c r="I25" s="220">
        <v>1975.25</v>
      </c>
      <c r="J25" s="257">
        <f t="shared" si="0"/>
        <v>0</v>
      </c>
      <c r="K25" s="258"/>
    </row>
    <row r="26" spans="1:11" x14ac:dyDescent="0.5">
      <c r="A26" s="236">
        <v>24</v>
      </c>
      <c r="B26" s="219" t="s">
        <v>356</v>
      </c>
      <c r="C26" s="237">
        <v>0</v>
      </c>
      <c r="D26" s="237">
        <v>0</v>
      </c>
      <c r="E26" s="237">
        <v>0</v>
      </c>
      <c r="F26" s="238">
        <v>0</v>
      </c>
      <c r="G26" s="239">
        <v>0</v>
      </c>
      <c r="H26" s="240">
        <f t="shared" si="3"/>
        <v>0</v>
      </c>
      <c r="I26" s="220">
        <v>1973.9</v>
      </c>
      <c r="J26" s="257">
        <f t="shared" si="0"/>
        <v>-1973.9</v>
      </c>
      <c r="K26" s="258"/>
    </row>
    <row r="27" spans="1:11" x14ac:dyDescent="0.5">
      <c r="A27" s="236">
        <v>25</v>
      </c>
      <c r="B27" s="219" t="s">
        <v>543</v>
      </c>
      <c r="C27" s="237">
        <v>0</v>
      </c>
      <c r="D27" s="237">
        <v>0</v>
      </c>
      <c r="E27" s="237">
        <v>0</v>
      </c>
      <c r="F27" s="238">
        <v>0</v>
      </c>
      <c r="G27" s="239">
        <v>1603.8</v>
      </c>
      <c r="H27" s="240">
        <f t="shared" si="3"/>
        <v>1603.8</v>
      </c>
      <c r="I27" s="220">
        <v>1603.8</v>
      </c>
      <c r="J27" s="257">
        <f t="shared" si="0"/>
        <v>0</v>
      </c>
      <c r="K27" s="258"/>
    </row>
    <row r="28" spans="1:11" x14ac:dyDescent="0.5">
      <c r="A28" s="236">
        <v>26</v>
      </c>
      <c r="B28" s="219" t="s">
        <v>359</v>
      </c>
      <c r="C28" s="237">
        <v>1364.85</v>
      </c>
      <c r="D28" s="237">
        <v>0</v>
      </c>
      <c r="E28" s="237">
        <v>0</v>
      </c>
      <c r="F28" s="238">
        <v>0</v>
      </c>
      <c r="G28" s="239">
        <v>0</v>
      </c>
      <c r="H28" s="240">
        <f t="shared" si="3"/>
        <v>1364.85</v>
      </c>
      <c r="I28" s="220">
        <v>1364.85</v>
      </c>
      <c r="J28" s="257">
        <f t="shared" si="0"/>
        <v>0</v>
      </c>
      <c r="K28" s="258"/>
    </row>
    <row r="29" spans="1:11" x14ac:dyDescent="0.5">
      <c r="A29" s="236">
        <v>27</v>
      </c>
      <c r="B29" s="219" t="s">
        <v>351</v>
      </c>
      <c r="C29" s="237">
        <v>0</v>
      </c>
      <c r="D29" s="237">
        <v>0</v>
      </c>
      <c r="E29" s="237">
        <v>0</v>
      </c>
      <c r="F29" s="238">
        <v>0</v>
      </c>
      <c r="G29" s="239">
        <v>0</v>
      </c>
      <c r="H29" s="240">
        <f t="shared" si="3"/>
        <v>0</v>
      </c>
      <c r="I29" s="220">
        <v>1222.25</v>
      </c>
      <c r="J29" s="257">
        <f t="shared" si="0"/>
        <v>-1222.25</v>
      </c>
      <c r="K29" s="258"/>
    </row>
    <row r="30" spans="1:11" x14ac:dyDescent="0.5">
      <c r="A30" s="236">
        <v>28</v>
      </c>
      <c r="B30" s="219" t="s">
        <v>577</v>
      </c>
      <c r="C30" s="237">
        <v>0</v>
      </c>
      <c r="D30" s="237">
        <v>0</v>
      </c>
      <c r="E30" s="237">
        <v>0</v>
      </c>
      <c r="F30" s="238">
        <v>0</v>
      </c>
      <c r="G30" s="239">
        <v>0</v>
      </c>
      <c r="H30" s="240">
        <f t="shared" si="3"/>
        <v>0</v>
      </c>
      <c r="I30" s="220">
        <v>1076.3999999999999</v>
      </c>
      <c r="J30" s="257">
        <f t="shared" si="0"/>
        <v>-1076.3999999999999</v>
      </c>
      <c r="K30" s="258"/>
    </row>
    <row r="31" spans="1:11" x14ac:dyDescent="0.5">
      <c r="A31" s="236">
        <v>29</v>
      </c>
      <c r="B31" s="219" t="s">
        <v>361</v>
      </c>
      <c r="C31" s="237">
        <v>1043.25</v>
      </c>
      <c r="D31" s="237">
        <v>0</v>
      </c>
      <c r="E31" s="237">
        <v>0</v>
      </c>
      <c r="F31" s="238">
        <v>0</v>
      </c>
      <c r="G31" s="239">
        <v>0</v>
      </c>
      <c r="H31" s="240">
        <f t="shared" si="3"/>
        <v>1043.25</v>
      </c>
      <c r="I31" s="220">
        <v>1043.25</v>
      </c>
      <c r="J31" s="257">
        <f t="shared" si="0"/>
        <v>0</v>
      </c>
      <c r="K31" s="258"/>
    </row>
    <row r="32" spans="1:11" x14ac:dyDescent="0.5">
      <c r="A32" s="236">
        <v>30</v>
      </c>
      <c r="B32" s="219" t="s">
        <v>357</v>
      </c>
      <c r="C32" s="237">
        <v>0</v>
      </c>
      <c r="D32" s="237">
        <v>0</v>
      </c>
      <c r="E32" s="237">
        <v>0</v>
      </c>
      <c r="F32" s="238">
        <v>0</v>
      </c>
      <c r="G32" s="239">
        <v>0</v>
      </c>
      <c r="H32" s="240">
        <f t="shared" si="3"/>
        <v>0</v>
      </c>
      <c r="I32" s="220">
        <v>1015.9000000000001</v>
      </c>
      <c r="J32" s="257">
        <f t="shared" si="0"/>
        <v>-1015.9000000000001</v>
      </c>
      <c r="K32" s="258"/>
    </row>
    <row r="33" spans="1:11" x14ac:dyDescent="0.5">
      <c r="A33" s="236">
        <v>31</v>
      </c>
      <c r="B33" s="219" t="s">
        <v>355</v>
      </c>
      <c r="C33" s="237">
        <v>994.4</v>
      </c>
      <c r="D33" s="237">
        <v>0</v>
      </c>
      <c r="E33" s="237">
        <v>0</v>
      </c>
      <c r="F33" s="238">
        <v>0</v>
      </c>
      <c r="G33" s="239">
        <v>0</v>
      </c>
      <c r="H33" s="240">
        <f t="shared" si="3"/>
        <v>994.4</v>
      </c>
      <c r="I33" s="220">
        <v>994.4</v>
      </c>
      <c r="J33" s="257">
        <f t="shared" si="0"/>
        <v>0</v>
      </c>
      <c r="K33" s="258"/>
    </row>
    <row r="34" spans="1:11" x14ac:dyDescent="0.5">
      <c r="A34" s="236">
        <v>32</v>
      </c>
      <c r="B34" s="219" t="s">
        <v>358</v>
      </c>
      <c r="C34" s="237">
        <v>0</v>
      </c>
      <c r="D34" s="237">
        <v>0</v>
      </c>
      <c r="E34" s="237">
        <v>0</v>
      </c>
      <c r="F34" s="238">
        <v>0</v>
      </c>
      <c r="G34" s="239">
        <v>0</v>
      </c>
      <c r="H34" s="240">
        <f t="shared" si="3"/>
        <v>0</v>
      </c>
      <c r="I34" s="220">
        <v>713.01420000000007</v>
      </c>
      <c r="J34" s="257">
        <f t="shared" si="0"/>
        <v>-713.01420000000007</v>
      </c>
      <c r="K34" s="258"/>
    </row>
    <row r="35" spans="1:11" x14ac:dyDescent="0.5">
      <c r="A35" s="236">
        <v>33</v>
      </c>
      <c r="B35" s="219" t="s">
        <v>364</v>
      </c>
      <c r="C35" s="237">
        <v>702.1</v>
      </c>
      <c r="D35" s="237">
        <v>0</v>
      </c>
      <c r="E35" s="237">
        <v>0</v>
      </c>
      <c r="F35" s="238">
        <v>0</v>
      </c>
      <c r="G35" s="239">
        <v>0</v>
      </c>
      <c r="H35" s="240">
        <f t="shared" si="3"/>
        <v>702.1</v>
      </c>
      <c r="I35" s="220">
        <v>702.1</v>
      </c>
      <c r="J35" s="257">
        <f t="shared" si="0"/>
        <v>0</v>
      </c>
      <c r="K35" s="258"/>
    </row>
    <row r="36" spans="1:11" x14ac:dyDescent="0.5">
      <c r="A36" s="236">
        <v>34</v>
      </c>
      <c r="B36" s="219" t="s">
        <v>365</v>
      </c>
      <c r="C36" s="237">
        <v>604.70000000000005</v>
      </c>
      <c r="D36" s="237">
        <v>0</v>
      </c>
      <c r="E36" s="237">
        <v>0</v>
      </c>
      <c r="F36" s="238">
        <v>0</v>
      </c>
      <c r="G36" s="239">
        <v>0</v>
      </c>
      <c r="H36" s="240">
        <f t="shared" si="3"/>
        <v>604.70000000000005</v>
      </c>
      <c r="I36" s="220">
        <v>604.70000000000005</v>
      </c>
      <c r="J36" s="257">
        <f t="shared" si="0"/>
        <v>0</v>
      </c>
      <c r="K36" s="258"/>
    </row>
    <row r="37" spans="1:11" x14ac:dyDescent="0.5">
      <c r="A37" s="236">
        <v>35</v>
      </c>
      <c r="B37" s="219" t="s">
        <v>582</v>
      </c>
      <c r="C37" s="237">
        <v>590.79999999999995</v>
      </c>
      <c r="D37" s="237">
        <v>0</v>
      </c>
      <c r="E37" s="237">
        <v>0</v>
      </c>
      <c r="F37" s="238">
        <v>0</v>
      </c>
      <c r="G37" s="239">
        <v>0</v>
      </c>
      <c r="H37" s="240">
        <f t="shared" si="3"/>
        <v>590.79999999999995</v>
      </c>
      <c r="I37" s="220">
        <v>590.79999999999995</v>
      </c>
      <c r="J37" s="257">
        <f t="shared" si="0"/>
        <v>0</v>
      </c>
      <c r="K37" s="258"/>
    </row>
    <row r="38" spans="1:11" x14ac:dyDescent="0.5">
      <c r="A38" s="236">
        <v>36</v>
      </c>
      <c r="B38" s="219" t="s">
        <v>360</v>
      </c>
      <c r="C38" s="237">
        <v>0</v>
      </c>
      <c r="D38" s="237">
        <v>0</v>
      </c>
      <c r="E38" s="237">
        <v>0</v>
      </c>
      <c r="F38" s="238">
        <v>0</v>
      </c>
      <c r="G38" s="239">
        <v>0</v>
      </c>
      <c r="H38" s="240">
        <f t="shared" si="3"/>
        <v>0</v>
      </c>
      <c r="I38" s="220">
        <v>502.29999999999995</v>
      </c>
      <c r="J38" s="257">
        <f t="shared" si="0"/>
        <v>-502.29999999999995</v>
      </c>
      <c r="K38" s="258"/>
    </row>
    <row r="39" spans="1:11" x14ac:dyDescent="0.5">
      <c r="A39" s="236">
        <v>37</v>
      </c>
      <c r="B39" s="219" t="s">
        <v>578</v>
      </c>
      <c r="C39" s="237">
        <v>495.5</v>
      </c>
      <c r="D39" s="237">
        <v>0</v>
      </c>
      <c r="E39" s="237">
        <v>0</v>
      </c>
      <c r="F39" s="238">
        <v>0</v>
      </c>
      <c r="G39" s="239">
        <v>0</v>
      </c>
      <c r="H39" s="240">
        <f t="shared" si="3"/>
        <v>495.5</v>
      </c>
      <c r="I39" s="220">
        <v>495.5</v>
      </c>
      <c r="J39" s="257">
        <f t="shared" si="0"/>
        <v>0</v>
      </c>
      <c r="K39" s="258"/>
    </row>
    <row r="40" spans="1:11" x14ac:dyDescent="0.5">
      <c r="A40" s="236">
        <v>38</v>
      </c>
      <c r="B40" s="219" t="s">
        <v>363</v>
      </c>
      <c r="C40" s="237">
        <v>0</v>
      </c>
      <c r="D40" s="237">
        <v>0</v>
      </c>
      <c r="E40" s="237">
        <v>0</v>
      </c>
      <c r="F40" s="238">
        <v>0</v>
      </c>
      <c r="G40" s="239">
        <v>0</v>
      </c>
      <c r="H40" s="240">
        <f t="shared" si="3"/>
        <v>0</v>
      </c>
      <c r="I40" s="220">
        <v>364.8</v>
      </c>
      <c r="J40" s="257">
        <f t="shared" si="0"/>
        <v>-364.8</v>
      </c>
      <c r="K40" s="258"/>
    </row>
    <row r="41" spans="1:11" x14ac:dyDescent="0.5">
      <c r="A41" s="236">
        <v>39</v>
      </c>
      <c r="B41" s="219" t="s">
        <v>572</v>
      </c>
      <c r="C41" s="237">
        <v>0</v>
      </c>
      <c r="D41" s="237">
        <v>0</v>
      </c>
      <c r="E41" s="237">
        <v>358.8</v>
      </c>
      <c r="F41" s="238">
        <v>0</v>
      </c>
      <c r="G41" s="239">
        <v>0</v>
      </c>
      <c r="H41" s="240">
        <f t="shared" si="3"/>
        <v>358.8</v>
      </c>
      <c r="I41" s="220">
        <v>358.8</v>
      </c>
      <c r="J41" s="257">
        <f t="shared" si="0"/>
        <v>0</v>
      </c>
      <c r="K41" s="258"/>
    </row>
    <row r="42" spans="1:11" x14ac:dyDescent="0.5">
      <c r="A42" s="236">
        <v>40</v>
      </c>
      <c r="B42" s="219" t="s">
        <v>581</v>
      </c>
      <c r="C42" s="237">
        <v>355.85</v>
      </c>
      <c r="D42" s="237">
        <v>0</v>
      </c>
      <c r="E42" s="237">
        <v>0</v>
      </c>
      <c r="F42" s="238">
        <v>0</v>
      </c>
      <c r="G42" s="239">
        <v>0</v>
      </c>
      <c r="H42" s="240">
        <f t="shared" si="3"/>
        <v>355.85</v>
      </c>
      <c r="I42" s="220">
        <v>355.85</v>
      </c>
      <c r="J42" s="257">
        <f t="shared" si="0"/>
        <v>0</v>
      </c>
      <c r="K42" s="258"/>
    </row>
    <row r="43" spans="1:11" x14ac:dyDescent="0.5">
      <c r="A43" s="236">
        <v>41</v>
      </c>
      <c r="B43" s="219" t="s">
        <v>568</v>
      </c>
      <c r="C43" s="237">
        <v>296.35000000000002</v>
      </c>
      <c r="D43" s="237">
        <v>0</v>
      </c>
      <c r="E43" s="237">
        <v>0</v>
      </c>
      <c r="F43" s="238">
        <v>0</v>
      </c>
      <c r="G43" s="239">
        <v>0</v>
      </c>
      <c r="H43" s="240">
        <f t="shared" si="3"/>
        <v>296.35000000000002</v>
      </c>
      <c r="I43" s="220">
        <v>296.35000000000002</v>
      </c>
      <c r="J43" s="257">
        <f t="shared" si="0"/>
        <v>0</v>
      </c>
      <c r="K43" s="258"/>
    </row>
    <row r="44" spans="1:11" x14ac:dyDescent="0.5">
      <c r="A44" s="236">
        <v>42</v>
      </c>
      <c r="B44" s="219" t="s">
        <v>346</v>
      </c>
      <c r="C44" s="237">
        <v>288.39999999999998</v>
      </c>
      <c r="D44" s="237">
        <v>0</v>
      </c>
      <c r="E44" s="237">
        <v>0</v>
      </c>
      <c r="F44" s="238">
        <v>0</v>
      </c>
      <c r="G44" s="239">
        <v>0</v>
      </c>
      <c r="H44" s="240">
        <f t="shared" si="3"/>
        <v>288.39999999999998</v>
      </c>
      <c r="I44" s="220">
        <v>288.39999999999998</v>
      </c>
      <c r="J44" s="257">
        <f t="shared" si="0"/>
        <v>0</v>
      </c>
      <c r="K44" s="258"/>
    </row>
    <row r="45" spans="1:11" x14ac:dyDescent="0.5">
      <c r="A45" s="236">
        <v>43</v>
      </c>
      <c r="B45" s="219" t="s">
        <v>547</v>
      </c>
      <c r="C45" s="237">
        <v>288.14999999999998</v>
      </c>
      <c r="D45" s="237">
        <v>0</v>
      </c>
      <c r="E45" s="237">
        <v>0</v>
      </c>
      <c r="F45" s="238">
        <v>0</v>
      </c>
      <c r="G45" s="239">
        <v>0</v>
      </c>
      <c r="H45" s="240">
        <f t="shared" ref="H45:H51" si="6">+C45+D45+E45+F45+G45</f>
        <v>288.14999999999998</v>
      </c>
      <c r="I45" s="220">
        <v>288.14999999999998</v>
      </c>
      <c r="J45" s="257">
        <f t="shared" si="0"/>
        <v>0</v>
      </c>
      <c r="K45" s="258"/>
    </row>
    <row r="46" spans="1:11" x14ac:dyDescent="0.5">
      <c r="A46" s="236">
        <v>44</v>
      </c>
      <c r="B46" s="219" t="s">
        <v>579</v>
      </c>
      <c r="C46" s="237">
        <v>0</v>
      </c>
      <c r="D46" s="237">
        <v>0</v>
      </c>
      <c r="E46" s="237">
        <v>0</v>
      </c>
      <c r="F46" s="238">
        <v>248.39999999999998</v>
      </c>
      <c r="G46" s="239">
        <v>0</v>
      </c>
      <c r="H46" s="240">
        <f t="shared" si="6"/>
        <v>248.39999999999998</v>
      </c>
      <c r="I46" s="220">
        <v>248.39999999999998</v>
      </c>
      <c r="J46" s="257">
        <f t="shared" si="0"/>
        <v>0</v>
      </c>
      <c r="K46" s="258"/>
    </row>
    <row r="47" spans="1:11" x14ac:dyDescent="0.5">
      <c r="A47" s="236">
        <v>45</v>
      </c>
      <c r="B47" s="219" t="s">
        <v>574</v>
      </c>
      <c r="C47" s="237">
        <v>0</v>
      </c>
      <c r="D47" s="237">
        <v>0</v>
      </c>
      <c r="E47" s="237">
        <v>0</v>
      </c>
      <c r="F47" s="238">
        <v>200</v>
      </c>
      <c r="G47" s="239">
        <v>0</v>
      </c>
      <c r="H47" s="240">
        <f t="shared" si="6"/>
        <v>200</v>
      </c>
      <c r="I47" s="220">
        <v>200</v>
      </c>
      <c r="J47" s="257">
        <f t="shared" si="0"/>
        <v>0</v>
      </c>
      <c r="K47" s="258"/>
    </row>
    <row r="48" spans="1:11" x14ac:dyDescent="0.5">
      <c r="A48" s="236">
        <v>46</v>
      </c>
      <c r="B48" s="219" t="s">
        <v>580</v>
      </c>
      <c r="C48" s="237">
        <v>185.85</v>
      </c>
      <c r="D48" s="237">
        <v>0</v>
      </c>
      <c r="E48" s="237">
        <v>0</v>
      </c>
      <c r="F48" s="238">
        <v>0</v>
      </c>
      <c r="G48" s="239">
        <v>0</v>
      </c>
      <c r="H48" s="240">
        <f t="shared" si="6"/>
        <v>185.85</v>
      </c>
      <c r="I48" s="220">
        <v>185.85</v>
      </c>
      <c r="J48" s="257">
        <f t="shared" si="0"/>
        <v>0</v>
      </c>
      <c r="K48" s="258"/>
    </row>
    <row r="49" spans="1:32" x14ac:dyDescent="0.5">
      <c r="A49" s="236">
        <v>47</v>
      </c>
      <c r="B49" s="219" t="s">
        <v>573</v>
      </c>
      <c r="C49" s="237">
        <v>0</v>
      </c>
      <c r="D49" s="237">
        <v>0</v>
      </c>
      <c r="E49" s="237">
        <v>0</v>
      </c>
      <c r="F49" s="238">
        <v>157.6</v>
      </c>
      <c r="G49" s="239">
        <v>0</v>
      </c>
      <c r="H49" s="240">
        <f t="shared" si="6"/>
        <v>157.6</v>
      </c>
      <c r="I49" s="220">
        <v>157.6</v>
      </c>
      <c r="J49" s="257">
        <f t="shared" si="0"/>
        <v>0</v>
      </c>
      <c r="K49" s="258"/>
    </row>
    <row r="50" spans="1:32" x14ac:dyDescent="0.5">
      <c r="A50" s="236">
        <v>48</v>
      </c>
      <c r="B50" s="219" t="s">
        <v>570</v>
      </c>
      <c r="C50" s="237">
        <v>0</v>
      </c>
      <c r="D50" s="237">
        <v>0</v>
      </c>
      <c r="E50" s="237">
        <v>0</v>
      </c>
      <c r="F50" s="238">
        <v>124.19999999999999</v>
      </c>
      <c r="G50" s="239">
        <v>0</v>
      </c>
      <c r="H50" s="240">
        <f t="shared" si="6"/>
        <v>124.19999999999999</v>
      </c>
      <c r="I50" s="220">
        <v>124.19999999999999</v>
      </c>
      <c r="J50" s="257">
        <f t="shared" si="0"/>
        <v>0</v>
      </c>
      <c r="K50" s="258"/>
    </row>
    <row r="51" spans="1:32" x14ac:dyDescent="0.5">
      <c r="A51" s="236">
        <v>49</v>
      </c>
      <c r="B51" s="219" t="s">
        <v>370</v>
      </c>
      <c r="C51" s="237">
        <v>0</v>
      </c>
      <c r="D51" s="237">
        <v>0</v>
      </c>
      <c r="E51" s="237">
        <v>0</v>
      </c>
      <c r="F51" s="238">
        <v>117.9</v>
      </c>
      <c r="G51" s="239">
        <v>0</v>
      </c>
      <c r="H51" s="240">
        <f t="shared" si="6"/>
        <v>117.9</v>
      </c>
      <c r="I51" s="220">
        <v>117.9</v>
      </c>
      <c r="J51" s="257">
        <f t="shared" si="0"/>
        <v>0</v>
      </c>
      <c r="K51" s="258"/>
    </row>
    <row r="52" spans="1:32" ht="24" thickBot="1" x14ac:dyDescent="0.55000000000000004">
      <c r="A52" s="366" t="s">
        <v>397</v>
      </c>
      <c r="B52" s="367"/>
      <c r="C52" s="260">
        <f t="shared" ref="C52:H52" si="7">SUM(C3:C51)</f>
        <v>347543.17</v>
      </c>
      <c r="D52" s="260">
        <f t="shared" si="7"/>
        <v>16658.34</v>
      </c>
      <c r="E52" s="260">
        <f t="shared" si="7"/>
        <v>2574.8000000000002</v>
      </c>
      <c r="F52" s="261">
        <f t="shared" si="7"/>
        <v>848.1</v>
      </c>
      <c r="G52" s="262">
        <f t="shared" si="7"/>
        <v>1603.8</v>
      </c>
      <c r="H52" s="260">
        <f t="shared" si="7"/>
        <v>369228.21</v>
      </c>
      <c r="I52" s="222">
        <v>561976.65220000036</v>
      </c>
      <c r="J52" s="257">
        <f t="shared" si="0"/>
        <v>-192748.44220000034</v>
      </c>
      <c r="K52" s="258"/>
    </row>
    <row r="53" spans="1:32" ht="24" thickTop="1" x14ac:dyDescent="0.5">
      <c r="I53" s="265"/>
      <c r="J53" s="266"/>
    </row>
    <row r="54" spans="1:32" x14ac:dyDescent="0.5">
      <c r="C54" s="259">
        <f>+C52*100/H52</f>
        <v>94.12692762560043</v>
      </c>
      <c r="D54" s="259">
        <f>+D52*100/H52</f>
        <v>4.5116650214781799</v>
      </c>
      <c r="E54" s="259">
        <f>+E52*100/H52</f>
        <v>0.69734650014959587</v>
      </c>
      <c r="F54" s="259">
        <f>+F52*100/H52</f>
        <v>0.22969534207583975</v>
      </c>
      <c r="G54" s="259">
        <f>+G52*100/H52</f>
        <v>0.43436551069594598</v>
      </c>
    </row>
    <row r="60" spans="1:32" ht="29.25" x14ac:dyDescent="0.6">
      <c r="A60" s="368" t="s">
        <v>399</v>
      </c>
      <c r="B60" s="368"/>
      <c r="C60" s="368"/>
      <c r="D60" s="368"/>
      <c r="E60" s="368"/>
      <c r="F60" s="368"/>
      <c r="G60" s="368"/>
      <c r="H60" s="368"/>
      <c r="I60" s="368"/>
      <c r="L60" s="370" t="s">
        <v>400</v>
      </c>
      <c r="M60" s="370"/>
      <c r="N60" s="370"/>
      <c r="O60" s="370"/>
      <c r="P60" s="370"/>
      <c r="Q60" s="370"/>
      <c r="R60" s="370"/>
      <c r="S60" s="370"/>
      <c r="U60" s="370" t="s">
        <v>401</v>
      </c>
      <c r="V60" s="370"/>
      <c r="W60" s="370"/>
      <c r="X60" s="370"/>
      <c r="Y60" s="370"/>
      <c r="AA60" s="370" t="s">
        <v>402</v>
      </c>
      <c r="AB60" s="370"/>
      <c r="AC60" s="370"/>
      <c r="AD60" s="370"/>
      <c r="AE60" s="370"/>
      <c r="AF60" s="370"/>
    </row>
    <row r="61" spans="1:32" ht="46.5" x14ac:dyDescent="0.5">
      <c r="A61" s="227" t="s">
        <v>377</v>
      </c>
      <c r="B61" s="227" t="s">
        <v>403</v>
      </c>
      <c r="C61" s="228" t="s">
        <v>379</v>
      </c>
      <c r="D61" s="228" t="s">
        <v>380</v>
      </c>
      <c r="E61" s="228" t="s">
        <v>381</v>
      </c>
      <c r="F61" s="229" t="s">
        <v>404</v>
      </c>
      <c r="G61" s="230" t="s">
        <v>383</v>
      </c>
      <c r="H61" s="228" t="s">
        <v>384</v>
      </c>
      <c r="I61" s="227" t="s">
        <v>385</v>
      </c>
      <c r="J61" s="231"/>
      <c r="L61" s="227" t="s">
        <v>377</v>
      </c>
      <c r="M61" s="227" t="s">
        <v>403</v>
      </c>
      <c r="N61" s="227" t="s">
        <v>386</v>
      </c>
      <c r="O61" s="227" t="s">
        <v>387</v>
      </c>
      <c r="P61" s="227" t="s">
        <v>388</v>
      </c>
      <c r="Q61" s="227" t="s">
        <v>389</v>
      </c>
      <c r="R61" s="227" t="s">
        <v>390</v>
      </c>
      <c r="S61" s="227" t="s">
        <v>391</v>
      </c>
      <c r="U61" s="227" t="s">
        <v>377</v>
      </c>
      <c r="V61" s="227" t="s">
        <v>403</v>
      </c>
      <c r="W61" s="227" t="s">
        <v>392</v>
      </c>
      <c r="X61" s="227" t="s">
        <v>393</v>
      </c>
      <c r="Y61" s="227" t="s">
        <v>391</v>
      </c>
      <c r="AA61" s="227" t="s">
        <v>377</v>
      </c>
      <c r="AB61" s="227" t="s">
        <v>378</v>
      </c>
      <c r="AC61" s="227" t="s">
        <v>394</v>
      </c>
      <c r="AD61" s="235" t="s">
        <v>395</v>
      </c>
      <c r="AE61" s="228" t="s">
        <v>396</v>
      </c>
      <c r="AF61" s="227" t="s">
        <v>391</v>
      </c>
    </row>
    <row r="62" spans="1:32" x14ac:dyDescent="0.5">
      <c r="A62" s="236">
        <v>1</v>
      </c>
      <c r="B62" s="267" t="s">
        <v>319</v>
      </c>
      <c r="C62" s="267">
        <v>438464.53</v>
      </c>
      <c r="D62" s="267">
        <v>108239.80999999998</v>
      </c>
      <c r="E62" s="267">
        <v>10409.939999999999</v>
      </c>
      <c r="F62" s="267">
        <v>1826.7799999999997</v>
      </c>
      <c r="G62" s="267">
        <v>0</v>
      </c>
      <c r="H62" s="268">
        <f>+C62+D62+E62+F62+G62</f>
        <v>558941.05999999994</v>
      </c>
      <c r="I62" s="237"/>
      <c r="J62" s="266"/>
      <c r="L62" s="236">
        <v>1</v>
      </c>
      <c r="M62" s="267" t="s">
        <v>319</v>
      </c>
      <c r="N62" s="242">
        <v>593.65</v>
      </c>
      <c r="O62" s="242">
        <v>107609.75999999998</v>
      </c>
      <c r="P62" s="242">
        <v>0</v>
      </c>
      <c r="Q62" s="242">
        <v>0</v>
      </c>
      <c r="R62" s="242">
        <v>36.4</v>
      </c>
      <c r="S62" s="269">
        <f>+N62+O62</f>
        <v>108203.40999999997</v>
      </c>
      <c r="U62" s="236">
        <v>1</v>
      </c>
      <c r="V62" s="267" t="s">
        <v>319</v>
      </c>
      <c r="W62" s="242">
        <v>102484.54999999999</v>
      </c>
      <c r="X62" s="242">
        <v>5755.26</v>
      </c>
      <c r="Y62" s="269">
        <f>+W62+X62</f>
        <v>108239.80999999998</v>
      </c>
      <c r="AA62" s="236">
        <v>1</v>
      </c>
      <c r="AB62" s="267" t="s">
        <v>319</v>
      </c>
      <c r="AC62" s="242">
        <v>10409.941999999997</v>
      </c>
      <c r="AD62" s="242">
        <v>22800</v>
      </c>
      <c r="AE62" s="242">
        <v>0</v>
      </c>
      <c r="AF62" s="269">
        <f t="shared" ref="AF62:AF73" si="8">+AC62+AE62</f>
        <v>10409.941999999997</v>
      </c>
    </row>
    <row r="63" spans="1:32" x14ac:dyDescent="0.5">
      <c r="A63" s="236">
        <v>2</v>
      </c>
      <c r="B63" s="267" t="s">
        <v>320</v>
      </c>
      <c r="C63" s="267"/>
      <c r="D63" s="267"/>
      <c r="E63" s="267"/>
      <c r="F63" s="267"/>
      <c r="G63" s="267"/>
      <c r="H63" s="268">
        <f t="shared" ref="H63:H73" si="9">+C63+D63+E63+F63+G63</f>
        <v>0</v>
      </c>
      <c r="I63" s="237"/>
      <c r="J63" s="266"/>
      <c r="L63" s="236">
        <v>2</v>
      </c>
      <c r="M63" s="267" t="s">
        <v>320</v>
      </c>
      <c r="N63" s="242"/>
      <c r="O63" s="242"/>
      <c r="P63" s="242"/>
      <c r="Q63" s="242"/>
      <c r="R63" s="242"/>
      <c r="S63" s="269">
        <f t="shared" ref="S63:S73" si="10">+N63+O63</f>
        <v>0</v>
      </c>
      <c r="U63" s="236">
        <v>2</v>
      </c>
      <c r="V63" s="267" t="s">
        <v>320</v>
      </c>
      <c r="W63" s="242"/>
      <c r="X63" s="242"/>
      <c r="Y63" s="269">
        <f t="shared" ref="Y63:Y73" si="11">+W63+X63</f>
        <v>0</v>
      </c>
      <c r="AA63" s="236">
        <v>2</v>
      </c>
      <c r="AB63" s="267" t="s">
        <v>320</v>
      </c>
      <c r="AC63" s="242">
        <v>0</v>
      </c>
      <c r="AD63" s="242">
        <v>0</v>
      </c>
      <c r="AE63" s="242">
        <f t="shared" ref="AE63:AE73" si="12">AE9</f>
        <v>0</v>
      </c>
      <c r="AF63" s="269">
        <f t="shared" si="8"/>
        <v>0</v>
      </c>
    </row>
    <row r="64" spans="1:32" x14ac:dyDescent="0.5">
      <c r="A64" s="236">
        <v>3</v>
      </c>
      <c r="B64" s="267" t="s">
        <v>321</v>
      </c>
      <c r="C64" s="267"/>
      <c r="D64" s="267"/>
      <c r="E64" s="267"/>
      <c r="F64" s="267"/>
      <c r="G64" s="267"/>
      <c r="H64" s="268">
        <f t="shared" si="9"/>
        <v>0</v>
      </c>
      <c r="I64" s="237"/>
      <c r="J64" s="266"/>
      <c r="L64" s="236">
        <v>3</v>
      </c>
      <c r="M64" s="267" t="s">
        <v>321</v>
      </c>
      <c r="N64" s="242"/>
      <c r="O64" s="242"/>
      <c r="P64" s="242"/>
      <c r="Q64" s="242"/>
      <c r="R64" s="242"/>
      <c r="S64" s="269">
        <f t="shared" si="10"/>
        <v>0</v>
      </c>
      <c r="U64" s="236">
        <v>3</v>
      </c>
      <c r="V64" s="267" t="s">
        <v>321</v>
      </c>
      <c r="W64" s="242"/>
      <c r="X64" s="242"/>
      <c r="Y64" s="269">
        <f t="shared" si="11"/>
        <v>0</v>
      </c>
      <c r="AA64" s="236">
        <v>3</v>
      </c>
      <c r="AB64" s="267" t="s">
        <v>321</v>
      </c>
      <c r="AC64" s="242">
        <v>0</v>
      </c>
      <c r="AD64" s="242">
        <v>0</v>
      </c>
      <c r="AE64" s="242">
        <f t="shared" si="12"/>
        <v>0</v>
      </c>
      <c r="AF64" s="269">
        <f t="shared" si="8"/>
        <v>0</v>
      </c>
    </row>
    <row r="65" spans="1:34" x14ac:dyDescent="0.5">
      <c r="A65" s="236">
        <v>4</v>
      </c>
      <c r="B65" s="267" t="s">
        <v>322</v>
      </c>
      <c r="C65" s="267"/>
      <c r="D65" s="267"/>
      <c r="E65" s="267"/>
      <c r="F65" s="267"/>
      <c r="G65" s="267"/>
      <c r="H65" s="268">
        <f t="shared" si="9"/>
        <v>0</v>
      </c>
      <c r="I65" s="237"/>
      <c r="J65" s="266"/>
      <c r="L65" s="236">
        <v>4</v>
      </c>
      <c r="M65" s="267" t="s">
        <v>322</v>
      </c>
      <c r="N65" s="242"/>
      <c r="O65" s="242"/>
      <c r="P65" s="242"/>
      <c r="Q65" s="242"/>
      <c r="R65" s="242"/>
      <c r="S65" s="269">
        <f t="shared" si="10"/>
        <v>0</v>
      </c>
      <c r="U65" s="236">
        <v>4</v>
      </c>
      <c r="V65" s="267" t="s">
        <v>322</v>
      </c>
      <c r="W65" s="242"/>
      <c r="X65" s="242"/>
      <c r="Y65" s="269">
        <f t="shared" si="11"/>
        <v>0</v>
      </c>
      <c r="AA65" s="236">
        <v>4</v>
      </c>
      <c r="AB65" s="267" t="s">
        <v>322</v>
      </c>
      <c r="AC65" s="242">
        <v>0</v>
      </c>
      <c r="AD65" s="242">
        <v>0</v>
      </c>
      <c r="AE65" s="242">
        <f t="shared" si="12"/>
        <v>0</v>
      </c>
      <c r="AF65" s="269">
        <f t="shared" si="8"/>
        <v>0</v>
      </c>
    </row>
    <row r="66" spans="1:34" x14ac:dyDescent="0.5">
      <c r="A66" s="236">
        <v>5</v>
      </c>
      <c r="B66" s="267" t="s">
        <v>323</v>
      </c>
      <c r="C66" s="267"/>
      <c r="D66" s="267"/>
      <c r="E66" s="267"/>
      <c r="F66" s="267"/>
      <c r="G66" s="267"/>
      <c r="H66" s="268">
        <f t="shared" si="9"/>
        <v>0</v>
      </c>
      <c r="I66" s="237"/>
      <c r="J66" s="266"/>
      <c r="L66" s="236">
        <v>5</v>
      </c>
      <c r="M66" s="267" t="s">
        <v>323</v>
      </c>
      <c r="N66" s="242"/>
      <c r="O66" s="242"/>
      <c r="P66" s="242"/>
      <c r="Q66" s="242"/>
      <c r="R66" s="242"/>
      <c r="S66" s="269">
        <f t="shared" si="10"/>
        <v>0</v>
      </c>
      <c r="U66" s="236">
        <v>5</v>
      </c>
      <c r="V66" s="267" t="s">
        <v>323</v>
      </c>
      <c r="W66" s="242"/>
      <c r="X66" s="242"/>
      <c r="Y66" s="269">
        <f t="shared" si="11"/>
        <v>0</v>
      </c>
      <c r="Z66" s="270"/>
      <c r="AA66" s="236">
        <v>5</v>
      </c>
      <c r="AB66" s="267" t="s">
        <v>323</v>
      </c>
      <c r="AC66" s="242">
        <v>0</v>
      </c>
      <c r="AD66" s="242">
        <v>0</v>
      </c>
      <c r="AE66" s="242">
        <f t="shared" si="12"/>
        <v>0</v>
      </c>
      <c r="AF66" s="269">
        <f>+AC66+AE66</f>
        <v>0</v>
      </c>
    </row>
    <row r="67" spans="1:34" ht="23.25" customHeight="1" x14ac:dyDescent="0.5">
      <c r="A67" s="236">
        <v>6</v>
      </c>
      <c r="B67" s="267" t="s">
        <v>324</v>
      </c>
      <c r="C67" s="267"/>
      <c r="D67" s="267"/>
      <c r="E67" s="267"/>
      <c r="F67" s="267"/>
      <c r="G67" s="267"/>
      <c r="H67" s="268">
        <f>+C67+D67+E67+F67+G67</f>
        <v>0</v>
      </c>
      <c r="I67" s="237"/>
      <c r="J67" s="266"/>
      <c r="L67" s="236">
        <v>6</v>
      </c>
      <c r="M67" s="267" t="s">
        <v>324</v>
      </c>
      <c r="N67" s="242"/>
      <c r="O67" s="242"/>
      <c r="P67" s="242"/>
      <c r="Q67" s="242"/>
      <c r="R67" s="242"/>
      <c r="S67" s="269">
        <f t="shared" si="10"/>
        <v>0</v>
      </c>
      <c r="T67" s="233"/>
      <c r="U67" s="236">
        <v>6</v>
      </c>
      <c r="V67" s="267" t="s">
        <v>324</v>
      </c>
      <c r="W67" s="242"/>
      <c r="X67" s="242"/>
      <c r="Y67" s="269">
        <f t="shared" si="11"/>
        <v>0</v>
      </c>
      <c r="AA67" s="236">
        <v>6</v>
      </c>
      <c r="AB67" s="267" t="s">
        <v>324</v>
      </c>
      <c r="AC67" s="242">
        <v>0</v>
      </c>
      <c r="AD67" s="242">
        <v>0</v>
      </c>
      <c r="AE67" s="242">
        <f t="shared" si="12"/>
        <v>0</v>
      </c>
      <c r="AF67" s="269">
        <f t="shared" si="8"/>
        <v>0</v>
      </c>
    </row>
    <row r="68" spans="1:34" ht="23.25" customHeight="1" x14ac:dyDescent="0.6">
      <c r="A68" s="236">
        <v>7</v>
      </c>
      <c r="B68" s="267" t="s">
        <v>325</v>
      </c>
      <c r="C68" s="267"/>
      <c r="D68" s="267"/>
      <c r="E68" s="267"/>
      <c r="F68" s="267"/>
      <c r="G68" s="267"/>
      <c r="H68" s="268">
        <f t="shared" si="9"/>
        <v>0</v>
      </c>
      <c r="I68" s="237"/>
      <c r="J68" s="266"/>
      <c r="L68" s="236">
        <v>7</v>
      </c>
      <c r="M68" s="267" t="s">
        <v>325</v>
      </c>
      <c r="N68" s="242"/>
      <c r="O68" s="242"/>
      <c r="P68" s="242"/>
      <c r="Q68" s="242"/>
      <c r="R68" s="242"/>
      <c r="S68" s="269">
        <f t="shared" si="10"/>
        <v>0</v>
      </c>
      <c r="U68" s="236">
        <v>7</v>
      </c>
      <c r="V68" s="267" t="s">
        <v>325</v>
      </c>
      <c r="W68" s="242"/>
      <c r="X68" s="242"/>
      <c r="Y68" s="269">
        <f t="shared" si="11"/>
        <v>0</v>
      </c>
      <c r="AA68" s="236">
        <v>7</v>
      </c>
      <c r="AB68" s="267" t="s">
        <v>325</v>
      </c>
      <c r="AC68" s="242">
        <v>0</v>
      </c>
      <c r="AD68" s="242">
        <v>0</v>
      </c>
      <c r="AE68" s="242">
        <f t="shared" si="12"/>
        <v>0</v>
      </c>
      <c r="AF68" s="269">
        <f>+AC68+AE68</f>
        <v>0</v>
      </c>
      <c r="AG68" s="226"/>
      <c r="AH68" s="233"/>
    </row>
    <row r="69" spans="1:34" s="233" customFormat="1" x14ac:dyDescent="0.5">
      <c r="A69" s="236">
        <v>8</v>
      </c>
      <c r="B69" s="267" t="s">
        <v>326</v>
      </c>
      <c r="C69" s="267"/>
      <c r="D69" s="267"/>
      <c r="E69" s="267"/>
      <c r="F69" s="267"/>
      <c r="G69" s="267"/>
      <c r="H69" s="268">
        <f t="shared" si="9"/>
        <v>0</v>
      </c>
      <c r="I69" s="237"/>
      <c r="J69" s="266"/>
      <c r="K69" s="232"/>
      <c r="L69" s="236">
        <v>8</v>
      </c>
      <c r="M69" s="267" t="s">
        <v>326</v>
      </c>
      <c r="N69" s="242"/>
      <c r="O69" s="242"/>
      <c r="P69" s="242"/>
      <c r="Q69" s="242"/>
      <c r="R69" s="242"/>
      <c r="S69" s="269">
        <f t="shared" si="10"/>
        <v>0</v>
      </c>
      <c r="T69" s="225"/>
      <c r="U69" s="236">
        <v>8</v>
      </c>
      <c r="V69" s="267" t="s">
        <v>326</v>
      </c>
      <c r="W69" s="242"/>
      <c r="X69" s="242"/>
      <c r="Y69" s="269">
        <f t="shared" si="11"/>
        <v>0</v>
      </c>
      <c r="Z69" s="225"/>
      <c r="AA69" s="236">
        <v>8</v>
      </c>
      <c r="AB69" s="267" t="s">
        <v>326</v>
      </c>
      <c r="AC69" s="242">
        <v>0</v>
      </c>
      <c r="AD69" s="242">
        <v>0</v>
      </c>
      <c r="AE69" s="242">
        <f t="shared" si="12"/>
        <v>0</v>
      </c>
      <c r="AF69" s="269">
        <f t="shared" si="8"/>
        <v>0</v>
      </c>
      <c r="AG69" s="225"/>
      <c r="AH69" s="225"/>
    </row>
    <row r="70" spans="1:34" x14ac:dyDescent="0.5">
      <c r="A70" s="236">
        <v>9</v>
      </c>
      <c r="B70" s="267" t="s">
        <v>327</v>
      </c>
      <c r="C70" s="267"/>
      <c r="D70" s="267"/>
      <c r="E70" s="267"/>
      <c r="F70" s="267"/>
      <c r="G70" s="267"/>
      <c r="H70" s="268">
        <f>+C70+D70+E70+F70+G70</f>
        <v>0</v>
      </c>
      <c r="I70" s="237"/>
      <c r="J70" s="266"/>
      <c r="L70" s="236">
        <v>9</v>
      </c>
      <c r="M70" s="267" t="s">
        <v>327</v>
      </c>
      <c r="N70" s="242"/>
      <c r="O70" s="242"/>
      <c r="P70" s="242"/>
      <c r="Q70" s="242"/>
      <c r="R70" s="242"/>
      <c r="S70" s="269">
        <f t="shared" si="10"/>
        <v>0</v>
      </c>
      <c r="U70" s="236">
        <v>9</v>
      </c>
      <c r="V70" s="267" t="s">
        <v>327</v>
      </c>
      <c r="W70" s="242"/>
      <c r="X70" s="242"/>
      <c r="Y70" s="269">
        <f t="shared" si="11"/>
        <v>0</v>
      </c>
      <c r="AA70" s="236">
        <v>9</v>
      </c>
      <c r="AB70" s="267" t="s">
        <v>327</v>
      </c>
      <c r="AC70" s="242">
        <v>0</v>
      </c>
      <c r="AD70" s="242">
        <v>0</v>
      </c>
      <c r="AE70" s="242">
        <f t="shared" si="12"/>
        <v>0</v>
      </c>
      <c r="AF70" s="269">
        <f t="shared" si="8"/>
        <v>0</v>
      </c>
    </row>
    <row r="71" spans="1:34" x14ac:dyDescent="0.5">
      <c r="A71" s="236">
        <v>10</v>
      </c>
      <c r="B71" s="267" t="s">
        <v>328</v>
      </c>
      <c r="C71" s="267"/>
      <c r="D71" s="267"/>
      <c r="E71" s="267"/>
      <c r="F71" s="267"/>
      <c r="G71" s="267"/>
      <c r="H71" s="268">
        <f>+C71+D71+E71+F71+G71</f>
        <v>0</v>
      </c>
      <c r="I71" s="237"/>
      <c r="J71" s="266"/>
      <c r="L71" s="236">
        <v>10</v>
      </c>
      <c r="M71" s="267" t="s">
        <v>328</v>
      </c>
      <c r="N71" s="242"/>
      <c r="O71" s="242"/>
      <c r="P71" s="242"/>
      <c r="Q71" s="242"/>
      <c r="R71" s="242"/>
      <c r="S71" s="269">
        <f t="shared" si="10"/>
        <v>0</v>
      </c>
      <c r="U71" s="236">
        <v>10</v>
      </c>
      <c r="V71" s="267" t="s">
        <v>328</v>
      </c>
      <c r="W71" s="242"/>
      <c r="X71" s="242"/>
      <c r="Y71" s="269">
        <f t="shared" si="11"/>
        <v>0</v>
      </c>
      <c r="AA71" s="236">
        <v>10</v>
      </c>
      <c r="AB71" s="267" t="s">
        <v>328</v>
      </c>
      <c r="AC71" s="242">
        <v>0</v>
      </c>
      <c r="AD71" s="242">
        <v>0</v>
      </c>
      <c r="AE71" s="242">
        <f t="shared" si="12"/>
        <v>0</v>
      </c>
      <c r="AF71" s="269">
        <f>+AC71+AE71</f>
        <v>0</v>
      </c>
    </row>
    <row r="72" spans="1:34" x14ac:dyDescent="0.5">
      <c r="A72" s="236">
        <v>11</v>
      </c>
      <c r="B72" s="267" t="s">
        <v>329</v>
      </c>
      <c r="C72" s="267"/>
      <c r="D72" s="267"/>
      <c r="E72" s="267"/>
      <c r="F72" s="267"/>
      <c r="G72" s="267"/>
      <c r="H72" s="268">
        <f t="shared" si="9"/>
        <v>0</v>
      </c>
      <c r="I72" s="237"/>
      <c r="J72" s="266"/>
      <c r="L72" s="236">
        <v>11</v>
      </c>
      <c r="M72" s="267" t="s">
        <v>329</v>
      </c>
      <c r="N72" s="242"/>
      <c r="O72" s="242"/>
      <c r="P72" s="242"/>
      <c r="Q72" s="242"/>
      <c r="R72" s="242"/>
      <c r="S72" s="269">
        <f t="shared" si="10"/>
        <v>0</v>
      </c>
      <c r="U72" s="236">
        <v>11</v>
      </c>
      <c r="V72" s="267" t="s">
        <v>329</v>
      </c>
      <c r="W72" s="242"/>
      <c r="X72" s="242"/>
      <c r="Y72" s="269">
        <f t="shared" si="11"/>
        <v>0</v>
      </c>
      <c r="AA72" s="236">
        <v>11</v>
      </c>
      <c r="AB72" s="267" t="s">
        <v>329</v>
      </c>
      <c r="AC72" s="242">
        <v>0</v>
      </c>
      <c r="AD72" s="242">
        <v>0</v>
      </c>
      <c r="AE72" s="242">
        <f t="shared" si="12"/>
        <v>0</v>
      </c>
      <c r="AF72" s="269">
        <f>+AC72+AE72</f>
        <v>0</v>
      </c>
    </row>
    <row r="73" spans="1:34" x14ac:dyDescent="0.5">
      <c r="A73" s="236">
        <v>12</v>
      </c>
      <c r="B73" s="267" t="s">
        <v>330</v>
      </c>
      <c r="C73" s="267"/>
      <c r="D73" s="267"/>
      <c r="E73" s="267"/>
      <c r="F73" s="267"/>
      <c r="G73" s="267"/>
      <c r="H73" s="268">
        <f t="shared" si="9"/>
        <v>0</v>
      </c>
      <c r="I73" s="237"/>
      <c r="J73" s="266"/>
      <c r="L73" s="236">
        <v>12</v>
      </c>
      <c r="M73" s="267" t="s">
        <v>330</v>
      </c>
      <c r="N73" s="242"/>
      <c r="O73" s="242"/>
      <c r="P73" s="242"/>
      <c r="Q73" s="242"/>
      <c r="R73" s="242"/>
      <c r="S73" s="269">
        <f t="shared" si="10"/>
        <v>0</v>
      </c>
      <c r="U73" s="236">
        <v>12</v>
      </c>
      <c r="V73" s="267" t="s">
        <v>330</v>
      </c>
      <c r="W73" s="242"/>
      <c r="X73" s="242"/>
      <c r="Y73" s="269">
        <f t="shared" si="11"/>
        <v>0</v>
      </c>
      <c r="AA73" s="236">
        <v>12</v>
      </c>
      <c r="AB73" s="267" t="s">
        <v>330</v>
      </c>
      <c r="AC73" s="242">
        <v>0</v>
      </c>
      <c r="AD73" s="242">
        <v>0</v>
      </c>
      <c r="AE73" s="242">
        <f t="shared" si="12"/>
        <v>0</v>
      </c>
      <c r="AF73" s="269">
        <f t="shared" si="8"/>
        <v>0</v>
      </c>
    </row>
    <row r="74" spans="1:34" ht="24" thickBot="1" x14ac:dyDescent="0.55000000000000004">
      <c r="A74" s="366" t="s">
        <v>397</v>
      </c>
      <c r="B74" s="367"/>
      <c r="C74" s="260">
        <f>SUM(C62:C73)</f>
        <v>438464.53</v>
      </c>
      <c r="D74" s="260">
        <f>SUM(D62:D73)</f>
        <v>108239.80999999998</v>
      </c>
      <c r="E74" s="260">
        <f>SUM(E62:E73)</f>
        <v>10409.939999999999</v>
      </c>
      <c r="F74" s="261">
        <f>SUM(F62:F73)</f>
        <v>1826.7799999999997</v>
      </c>
      <c r="G74" s="262">
        <f t="shared" ref="G74" si="13">SUM(G62:G73)</f>
        <v>0</v>
      </c>
      <c r="H74" s="260">
        <f>SUM(H62:H73)</f>
        <v>558941.05999999994</v>
      </c>
      <c r="I74" s="260"/>
      <c r="J74" s="266"/>
      <c r="L74" s="247"/>
      <c r="M74" s="248" t="s">
        <v>397</v>
      </c>
      <c r="N74" s="251">
        <f>SUM(N62:N73)</f>
        <v>593.65</v>
      </c>
      <c r="O74" s="251">
        <f t="shared" ref="O74:R74" si="14">SUM(O62:O73)</f>
        <v>107609.75999999998</v>
      </c>
      <c r="P74" s="251">
        <f t="shared" si="14"/>
        <v>0</v>
      </c>
      <c r="Q74" s="251">
        <f t="shared" si="14"/>
        <v>0</v>
      </c>
      <c r="R74" s="251">
        <f t="shared" si="14"/>
        <v>36.4</v>
      </c>
      <c r="S74" s="251">
        <f>SUM(S62:S73)</f>
        <v>108203.40999999997</v>
      </c>
      <c r="U74" s="247"/>
      <c r="V74" s="248" t="s">
        <v>397</v>
      </c>
      <c r="W74" s="251">
        <f>SUM(W62:W73)</f>
        <v>102484.54999999999</v>
      </c>
      <c r="X74" s="251">
        <f>SUM(X62:X73)</f>
        <v>5755.26</v>
      </c>
      <c r="Y74" s="251">
        <f>SUM(Y62:Y73)</f>
        <v>108239.80999999998</v>
      </c>
      <c r="AA74" s="247"/>
      <c r="AB74" s="248" t="s">
        <v>397</v>
      </c>
      <c r="AC74" s="251">
        <f>SUM(AC62:AC73)</f>
        <v>10409.941999999997</v>
      </c>
      <c r="AD74" s="250">
        <f>SUM(AD62:AD73)</f>
        <v>22800</v>
      </c>
      <c r="AE74" s="251">
        <f>SUM(AE62:AE73)</f>
        <v>0</v>
      </c>
      <c r="AF74" s="251">
        <f>SUM(AF62:AF73)</f>
        <v>10409.941999999997</v>
      </c>
    </row>
    <row r="75" spans="1:34" ht="24" thickTop="1" x14ac:dyDescent="0.5">
      <c r="H75" s="270"/>
    </row>
    <row r="76" spans="1:34" x14ac:dyDescent="0.5">
      <c r="C76" s="271">
        <f>+C74*100/H74</f>
        <v>78.445575281229125</v>
      </c>
      <c r="D76" s="271">
        <f>+D74*100/H74</f>
        <v>19.365156318986475</v>
      </c>
      <c r="E76" s="271">
        <f>+E74*100/H74</f>
        <v>1.862439664031839</v>
      </c>
      <c r="F76" s="271">
        <f>+F74*100/H74</f>
        <v>0.32682873575256755</v>
      </c>
      <c r="G76" s="271">
        <f>+G74*100/H74</f>
        <v>0</v>
      </c>
      <c r="N76" s="271">
        <f>+N74*100/S74</f>
        <v>0.54864259823234784</v>
      </c>
      <c r="O76" s="271">
        <f>+O74*100/S74</f>
        <v>99.451357401767652</v>
      </c>
      <c r="P76" s="271">
        <f>+P74*100/S74</f>
        <v>0</v>
      </c>
      <c r="Q76" s="271" t="e">
        <f>+Q74*100/#REF!</f>
        <v>#REF!</v>
      </c>
      <c r="R76" s="271">
        <f>+R74*100/S74</f>
        <v>3.3640344606514716E-2</v>
      </c>
      <c r="W76" s="271">
        <f>+W74*100/Y74</f>
        <v>94.682862063412713</v>
      </c>
      <c r="X76" s="271">
        <f>+X74*100/Y74</f>
        <v>5.3171379365872875</v>
      </c>
      <c r="Z76" s="233"/>
    </row>
    <row r="77" spans="1:34" x14ac:dyDescent="0.5">
      <c r="C77" s="272"/>
    </row>
    <row r="79" spans="1:34" ht="29.25" x14ac:dyDescent="0.6">
      <c r="A79" s="368" t="s">
        <v>405</v>
      </c>
      <c r="B79" s="368"/>
      <c r="C79" s="368"/>
      <c r="D79" s="368"/>
      <c r="E79" s="368"/>
      <c r="F79" s="368"/>
      <c r="G79" s="368"/>
      <c r="H79" s="368"/>
      <c r="I79" s="368"/>
      <c r="L79" s="370" t="s">
        <v>406</v>
      </c>
      <c r="M79" s="370"/>
      <c r="N79" s="370"/>
      <c r="O79" s="370"/>
      <c r="P79" s="370"/>
      <c r="Q79" s="370"/>
      <c r="R79" s="370"/>
      <c r="S79" s="370"/>
      <c r="U79" s="370" t="s">
        <v>407</v>
      </c>
      <c r="V79" s="370"/>
      <c r="W79" s="370"/>
      <c r="X79" s="370"/>
      <c r="Y79" s="370"/>
      <c r="AA79" s="370" t="s">
        <v>408</v>
      </c>
      <c r="AB79" s="370"/>
      <c r="AC79" s="370"/>
      <c r="AD79" s="370"/>
      <c r="AE79" s="370"/>
      <c r="AF79" s="370"/>
    </row>
    <row r="80" spans="1:34" ht="46.5" x14ac:dyDescent="0.5">
      <c r="A80" s="227" t="s">
        <v>377</v>
      </c>
      <c r="B80" s="227" t="s">
        <v>403</v>
      </c>
      <c r="C80" s="228" t="s">
        <v>379</v>
      </c>
      <c r="D80" s="228" t="s">
        <v>380</v>
      </c>
      <c r="E80" s="228" t="s">
        <v>381</v>
      </c>
      <c r="F80" s="229" t="s">
        <v>404</v>
      </c>
      <c r="G80" s="230" t="s">
        <v>383</v>
      </c>
      <c r="H80" s="228" t="s">
        <v>384</v>
      </c>
      <c r="I80" s="227" t="s">
        <v>385</v>
      </c>
      <c r="L80" s="227" t="s">
        <v>377</v>
      </c>
      <c r="M80" s="227" t="s">
        <v>403</v>
      </c>
      <c r="N80" s="227" t="s">
        <v>386</v>
      </c>
      <c r="O80" s="227" t="s">
        <v>387</v>
      </c>
      <c r="P80" s="227" t="s">
        <v>388</v>
      </c>
      <c r="Q80" s="227" t="s">
        <v>389</v>
      </c>
      <c r="R80" s="227" t="s">
        <v>390</v>
      </c>
      <c r="S80" s="227" t="s">
        <v>391</v>
      </c>
      <c r="U80" s="227" t="s">
        <v>377</v>
      </c>
      <c r="V80" s="227" t="s">
        <v>403</v>
      </c>
      <c r="W80" s="227" t="s">
        <v>392</v>
      </c>
      <c r="X80" s="227" t="s">
        <v>393</v>
      </c>
      <c r="Y80" s="227" t="s">
        <v>391</v>
      </c>
      <c r="AA80" s="227" t="s">
        <v>377</v>
      </c>
      <c r="AB80" s="227" t="s">
        <v>378</v>
      </c>
      <c r="AC80" s="227" t="s">
        <v>394</v>
      </c>
      <c r="AD80" s="235" t="s">
        <v>395</v>
      </c>
      <c r="AE80" s="228" t="s">
        <v>396</v>
      </c>
      <c r="AF80" s="227" t="s">
        <v>391</v>
      </c>
    </row>
    <row r="81" spans="1:32" x14ac:dyDescent="0.5">
      <c r="A81" s="236">
        <v>1</v>
      </c>
      <c r="B81" s="267" t="s">
        <v>319</v>
      </c>
      <c r="C81" s="267">
        <f t="shared" ref="C81:C91" si="15">C62*100/H62</f>
        <v>78.445575281229125</v>
      </c>
      <c r="D81" s="267">
        <f t="shared" ref="D81:D92" si="16">D62*100/H62</f>
        <v>19.365156318986475</v>
      </c>
      <c r="E81" s="267">
        <f t="shared" ref="E81:E92" si="17">E62*100/H62</f>
        <v>1.862439664031839</v>
      </c>
      <c r="F81" s="267">
        <f t="shared" ref="F81:F92" si="18">F62*100/H62</f>
        <v>0.32682873575256755</v>
      </c>
      <c r="G81" s="267">
        <f t="shared" ref="G81:G92" si="19">G62*100/H62</f>
        <v>0</v>
      </c>
      <c r="H81" s="268">
        <f>+C81+D81+E81+F81+G81</f>
        <v>100.00000000000001</v>
      </c>
      <c r="I81" s="237"/>
      <c r="L81" s="236">
        <v>1</v>
      </c>
      <c r="M81" s="267" t="s">
        <v>319</v>
      </c>
      <c r="N81" s="242">
        <f t="shared" ref="N81:N92" si="20">N62*100/S62</f>
        <v>0.54864259823234784</v>
      </c>
      <c r="O81" s="242">
        <f t="shared" ref="O81:O92" si="21">O62*100/S62</f>
        <v>99.451357401767652</v>
      </c>
      <c r="P81" s="242"/>
      <c r="Q81" s="242"/>
      <c r="R81" s="242"/>
      <c r="S81" s="269">
        <f>+N81+O81</f>
        <v>100</v>
      </c>
      <c r="U81" s="236">
        <v>1</v>
      </c>
      <c r="V81" s="267" t="s">
        <v>319</v>
      </c>
      <c r="W81" s="242">
        <f t="shared" ref="W81:W92" si="22">W62*100/Y62</f>
        <v>94.682862063412713</v>
      </c>
      <c r="X81" s="242">
        <f t="shared" ref="X81:X92" si="23">X62*100/Y62</f>
        <v>5.3171379365872875</v>
      </c>
      <c r="Y81" s="269">
        <f>+W81+X81</f>
        <v>100</v>
      </c>
      <c r="AA81" s="236">
        <v>1</v>
      </c>
      <c r="AB81" s="267" t="s">
        <v>319</v>
      </c>
      <c r="AC81" s="242">
        <f>AC62*100/AF62</f>
        <v>100</v>
      </c>
      <c r="AD81" s="242"/>
      <c r="AE81" s="242">
        <f>AE62*100/AF62</f>
        <v>0</v>
      </c>
      <c r="AF81" s="269">
        <f t="shared" ref="AF81:AF84" si="24">+AC81+AE81</f>
        <v>100</v>
      </c>
    </row>
    <row r="82" spans="1:32" x14ac:dyDescent="0.5">
      <c r="A82" s="236">
        <v>2</v>
      </c>
      <c r="B82" s="267" t="s">
        <v>320</v>
      </c>
      <c r="C82" s="267" t="e">
        <f t="shared" si="15"/>
        <v>#DIV/0!</v>
      </c>
      <c r="D82" s="267" t="e">
        <f t="shared" si="16"/>
        <v>#DIV/0!</v>
      </c>
      <c r="E82" s="267" t="e">
        <f t="shared" si="17"/>
        <v>#DIV/0!</v>
      </c>
      <c r="F82" s="267" t="e">
        <f t="shared" si="18"/>
        <v>#DIV/0!</v>
      </c>
      <c r="G82" s="267" t="e">
        <f t="shared" si="19"/>
        <v>#DIV/0!</v>
      </c>
      <c r="H82" s="268" t="e">
        <f t="shared" ref="H82:H85" si="25">+C82+D82+E82+F82+G82</f>
        <v>#DIV/0!</v>
      </c>
      <c r="I82" s="237"/>
      <c r="L82" s="236">
        <v>2</v>
      </c>
      <c r="M82" s="267" t="s">
        <v>320</v>
      </c>
      <c r="N82" s="242" t="e">
        <f t="shared" si="20"/>
        <v>#DIV/0!</v>
      </c>
      <c r="O82" s="242" t="e">
        <f t="shared" si="21"/>
        <v>#DIV/0!</v>
      </c>
      <c r="P82" s="242"/>
      <c r="Q82" s="242"/>
      <c r="R82" s="242"/>
      <c r="S82" s="269" t="e">
        <f>+N82+O82+#REF!</f>
        <v>#DIV/0!</v>
      </c>
      <c r="U82" s="236">
        <v>2</v>
      </c>
      <c r="V82" s="267" t="s">
        <v>320</v>
      </c>
      <c r="W82" s="242" t="e">
        <f t="shared" si="22"/>
        <v>#DIV/0!</v>
      </c>
      <c r="X82" s="242" t="e">
        <f t="shared" si="23"/>
        <v>#DIV/0!</v>
      </c>
      <c r="Y82" s="269" t="e">
        <f>+W82+X82</f>
        <v>#DIV/0!</v>
      </c>
      <c r="AA82" s="236">
        <v>2</v>
      </c>
      <c r="AB82" s="267" t="s">
        <v>320</v>
      </c>
      <c r="AC82" s="242" t="e">
        <f t="shared" ref="AC82:AC92" si="26">AC63*100/AF63</f>
        <v>#DIV/0!</v>
      </c>
      <c r="AD82" s="242"/>
      <c r="AE82" s="242" t="e">
        <f t="shared" ref="AE82:AE92" si="27">AE63*100/AF63</f>
        <v>#DIV/0!</v>
      </c>
      <c r="AF82" s="269" t="e">
        <f t="shared" si="24"/>
        <v>#DIV/0!</v>
      </c>
    </row>
    <row r="83" spans="1:32" x14ac:dyDescent="0.5">
      <c r="A83" s="236">
        <v>3</v>
      </c>
      <c r="B83" s="267" t="s">
        <v>321</v>
      </c>
      <c r="C83" s="267" t="e">
        <f t="shared" si="15"/>
        <v>#DIV/0!</v>
      </c>
      <c r="D83" s="267" t="e">
        <f t="shared" si="16"/>
        <v>#DIV/0!</v>
      </c>
      <c r="E83" s="267" t="e">
        <f t="shared" si="17"/>
        <v>#DIV/0!</v>
      </c>
      <c r="F83" s="267" t="e">
        <f t="shared" si="18"/>
        <v>#DIV/0!</v>
      </c>
      <c r="G83" s="267" t="e">
        <f t="shared" si="19"/>
        <v>#DIV/0!</v>
      </c>
      <c r="H83" s="268" t="e">
        <f t="shared" si="25"/>
        <v>#DIV/0!</v>
      </c>
      <c r="I83" s="237"/>
      <c r="L83" s="236">
        <v>3</v>
      </c>
      <c r="M83" s="267" t="s">
        <v>321</v>
      </c>
      <c r="N83" s="242" t="e">
        <f t="shared" si="20"/>
        <v>#DIV/0!</v>
      </c>
      <c r="O83" s="242" t="e">
        <f t="shared" si="21"/>
        <v>#DIV/0!</v>
      </c>
      <c r="P83" s="242"/>
      <c r="Q83" s="242"/>
      <c r="R83" s="242"/>
      <c r="S83" s="269" t="e">
        <f>+N83+O83+#REF!</f>
        <v>#DIV/0!</v>
      </c>
      <c r="U83" s="236">
        <v>3</v>
      </c>
      <c r="V83" s="267" t="s">
        <v>321</v>
      </c>
      <c r="W83" s="242" t="e">
        <f t="shared" si="22"/>
        <v>#DIV/0!</v>
      </c>
      <c r="X83" s="242" t="e">
        <f t="shared" si="23"/>
        <v>#DIV/0!</v>
      </c>
      <c r="Y83" s="269" t="e">
        <f t="shared" ref="Y83:Y92" si="28">+W83+X83</f>
        <v>#DIV/0!</v>
      </c>
      <c r="AA83" s="236">
        <v>3</v>
      </c>
      <c r="AB83" s="267" t="s">
        <v>321</v>
      </c>
      <c r="AC83" s="242" t="e">
        <f t="shared" si="26"/>
        <v>#DIV/0!</v>
      </c>
      <c r="AD83" s="242"/>
      <c r="AE83" s="242" t="e">
        <f t="shared" si="27"/>
        <v>#DIV/0!</v>
      </c>
      <c r="AF83" s="269" t="e">
        <f t="shared" si="24"/>
        <v>#DIV/0!</v>
      </c>
    </row>
    <row r="84" spans="1:32" x14ac:dyDescent="0.5">
      <c r="A84" s="236">
        <v>4</v>
      </c>
      <c r="B84" s="267" t="s">
        <v>322</v>
      </c>
      <c r="C84" s="267" t="e">
        <f t="shared" si="15"/>
        <v>#DIV/0!</v>
      </c>
      <c r="D84" s="267" t="e">
        <f t="shared" si="16"/>
        <v>#DIV/0!</v>
      </c>
      <c r="E84" s="267" t="e">
        <f t="shared" si="17"/>
        <v>#DIV/0!</v>
      </c>
      <c r="F84" s="267" t="e">
        <f t="shared" si="18"/>
        <v>#DIV/0!</v>
      </c>
      <c r="G84" s="267" t="e">
        <f t="shared" si="19"/>
        <v>#DIV/0!</v>
      </c>
      <c r="H84" s="268" t="e">
        <f t="shared" si="25"/>
        <v>#DIV/0!</v>
      </c>
      <c r="I84" s="237"/>
      <c r="L84" s="236">
        <v>4</v>
      </c>
      <c r="M84" s="267" t="s">
        <v>322</v>
      </c>
      <c r="N84" s="242" t="e">
        <f t="shared" si="20"/>
        <v>#DIV/0!</v>
      </c>
      <c r="O84" s="242" t="e">
        <f t="shared" si="21"/>
        <v>#DIV/0!</v>
      </c>
      <c r="P84" s="242"/>
      <c r="Q84" s="242"/>
      <c r="R84" s="242"/>
      <c r="S84" s="269" t="e">
        <f>+N84+O84+#REF!</f>
        <v>#DIV/0!</v>
      </c>
      <c r="U84" s="236">
        <v>4</v>
      </c>
      <c r="V84" s="267" t="s">
        <v>322</v>
      </c>
      <c r="W84" s="242" t="e">
        <f t="shared" si="22"/>
        <v>#DIV/0!</v>
      </c>
      <c r="X84" s="242" t="e">
        <f t="shared" si="23"/>
        <v>#DIV/0!</v>
      </c>
      <c r="Y84" s="269" t="e">
        <f t="shared" si="28"/>
        <v>#DIV/0!</v>
      </c>
      <c r="AA84" s="236">
        <v>4</v>
      </c>
      <c r="AB84" s="267" t="s">
        <v>322</v>
      </c>
      <c r="AC84" s="242" t="e">
        <f t="shared" si="26"/>
        <v>#DIV/0!</v>
      </c>
      <c r="AD84" s="242"/>
      <c r="AE84" s="242" t="e">
        <f t="shared" si="27"/>
        <v>#DIV/0!</v>
      </c>
      <c r="AF84" s="269" t="e">
        <f t="shared" si="24"/>
        <v>#DIV/0!</v>
      </c>
    </row>
    <row r="85" spans="1:32" x14ac:dyDescent="0.5">
      <c r="A85" s="236">
        <v>5</v>
      </c>
      <c r="B85" s="267" t="s">
        <v>323</v>
      </c>
      <c r="C85" s="267" t="e">
        <f t="shared" si="15"/>
        <v>#DIV/0!</v>
      </c>
      <c r="D85" s="267" t="e">
        <f t="shared" si="16"/>
        <v>#DIV/0!</v>
      </c>
      <c r="E85" s="267" t="e">
        <f t="shared" si="17"/>
        <v>#DIV/0!</v>
      </c>
      <c r="F85" s="267" t="e">
        <f t="shared" si="18"/>
        <v>#DIV/0!</v>
      </c>
      <c r="G85" s="267" t="e">
        <f t="shared" si="19"/>
        <v>#DIV/0!</v>
      </c>
      <c r="H85" s="268" t="e">
        <f t="shared" si="25"/>
        <v>#DIV/0!</v>
      </c>
      <c r="I85" s="237"/>
      <c r="L85" s="236">
        <v>5</v>
      </c>
      <c r="M85" s="267" t="s">
        <v>323</v>
      </c>
      <c r="N85" s="242" t="e">
        <f t="shared" si="20"/>
        <v>#DIV/0!</v>
      </c>
      <c r="O85" s="242" t="e">
        <f t="shared" si="21"/>
        <v>#DIV/0!</v>
      </c>
      <c r="P85" s="242"/>
      <c r="Q85" s="242"/>
      <c r="R85" s="242"/>
      <c r="S85" s="269" t="e">
        <f>+N85+O85+#REF!</f>
        <v>#DIV/0!</v>
      </c>
      <c r="U85" s="236">
        <v>5</v>
      </c>
      <c r="V85" s="267" t="s">
        <v>323</v>
      </c>
      <c r="W85" s="242" t="e">
        <f t="shared" si="22"/>
        <v>#DIV/0!</v>
      </c>
      <c r="X85" s="242" t="e">
        <f t="shared" si="23"/>
        <v>#DIV/0!</v>
      </c>
      <c r="Y85" s="269" t="e">
        <f t="shared" si="28"/>
        <v>#DIV/0!</v>
      </c>
      <c r="AA85" s="236">
        <v>5</v>
      </c>
      <c r="AB85" s="267" t="s">
        <v>323</v>
      </c>
      <c r="AC85" s="242" t="e">
        <f t="shared" si="26"/>
        <v>#DIV/0!</v>
      </c>
      <c r="AD85" s="242"/>
      <c r="AE85" s="242" t="e">
        <f t="shared" si="27"/>
        <v>#DIV/0!</v>
      </c>
      <c r="AF85" s="269" t="e">
        <f>+AC85+AE85</f>
        <v>#DIV/0!</v>
      </c>
    </row>
    <row r="86" spans="1:32" x14ac:dyDescent="0.5">
      <c r="A86" s="236">
        <v>6</v>
      </c>
      <c r="B86" s="267" t="s">
        <v>324</v>
      </c>
      <c r="C86" s="267" t="e">
        <f t="shared" si="15"/>
        <v>#DIV/0!</v>
      </c>
      <c r="D86" s="267" t="e">
        <f t="shared" si="16"/>
        <v>#DIV/0!</v>
      </c>
      <c r="E86" s="267" t="e">
        <f t="shared" si="17"/>
        <v>#DIV/0!</v>
      </c>
      <c r="F86" s="267" t="e">
        <f t="shared" si="18"/>
        <v>#DIV/0!</v>
      </c>
      <c r="G86" s="267" t="e">
        <f t="shared" si="19"/>
        <v>#DIV/0!</v>
      </c>
      <c r="H86" s="268" t="e">
        <f>+C86+D86+E86+F86+G86</f>
        <v>#DIV/0!</v>
      </c>
      <c r="I86" s="237"/>
      <c r="L86" s="236">
        <v>6</v>
      </c>
      <c r="M86" s="267" t="s">
        <v>324</v>
      </c>
      <c r="N86" s="242" t="e">
        <f t="shared" si="20"/>
        <v>#DIV/0!</v>
      </c>
      <c r="O86" s="242" t="e">
        <f t="shared" si="21"/>
        <v>#DIV/0!</v>
      </c>
      <c r="P86" s="242"/>
      <c r="Q86" s="242"/>
      <c r="R86" s="242"/>
      <c r="S86" s="269" t="e">
        <f>+N86+O86+#REF!</f>
        <v>#DIV/0!</v>
      </c>
      <c r="T86" s="233"/>
      <c r="U86" s="236">
        <v>6</v>
      </c>
      <c r="V86" s="267" t="s">
        <v>324</v>
      </c>
      <c r="W86" s="242" t="e">
        <f t="shared" si="22"/>
        <v>#DIV/0!</v>
      </c>
      <c r="X86" s="242" t="e">
        <f t="shared" si="23"/>
        <v>#DIV/0!</v>
      </c>
      <c r="Y86" s="269" t="e">
        <f t="shared" si="28"/>
        <v>#DIV/0!</v>
      </c>
      <c r="AA86" s="236">
        <v>6</v>
      </c>
      <c r="AB86" s="267" t="s">
        <v>324</v>
      </c>
      <c r="AC86" s="242" t="e">
        <f t="shared" si="26"/>
        <v>#DIV/0!</v>
      </c>
      <c r="AD86" s="242"/>
      <c r="AE86" s="242" t="e">
        <f t="shared" si="27"/>
        <v>#DIV/0!</v>
      </c>
      <c r="AF86" s="269" t="e">
        <f t="shared" ref="AF86" si="29">+AC86+AE86</f>
        <v>#DIV/0!</v>
      </c>
    </row>
    <row r="87" spans="1:32" x14ac:dyDescent="0.5">
      <c r="A87" s="236">
        <v>7</v>
      </c>
      <c r="B87" s="267" t="s">
        <v>325</v>
      </c>
      <c r="C87" s="267" t="e">
        <f t="shared" si="15"/>
        <v>#DIV/0!</v>
      </c>
      <c r="D87" s="267" t="e">
        <f t="shared" si="16"/>
        <v>#DIV/0!</v>
      </c>
      <c r="E87" s="267" t="e">
        <f t="shared" si="17"/>
        <v>#DIV/0!</v>
      </c>
      <c r="F87" s="267" t="e">
        <f t="shared" si="18"/>
        <v>#DIV/0!</v>
      </c>
      <c r="G87" s="267" t="e">
        <f t="shared" si="19"/>
        <v>#DIV/0!</v>
      </c>
      <c r="H87" s="268" t="e">
        <f t="shared" ref="H87:H88" si="30">+C87+D87+E87+F87+G87</f>
        <v>#DIV/0!</v>
      </c>
      <c r="I87" s="237"/>
      <c r="L87" s="236">
        <v>7</v>
      </c>
      <c r="M87" s="267" t="s">
        <v>325</v>
      </c>
      <c r="N87" s="242" t="e">
        <f t="shared" si="20"/>
        <v>#DIV/0!</v>
      </c>
      <c r="O87" s="242" t="e">
        <f t="shared" si="21"/>
        <v>#DIV/0!</v>
      </c>
      <c r="P87" s="242"/>
      <c r="Q87" s="242"/>
      <c r="R87" s="242"/>
      <c r="S87" s="269" t="e">
        <f>+N87+O87+#REF!</f>
        <v>#DIV/0!</v>
      </c>
      <c r="U87" s="236">
        <v>7</v>
      </c>
      <c r="V87" s="267" t="s">
        <v>325</v>
      </c>
      <c r="W87" s="242" t="e">
        <f t="shared" si="22"/>
        <v>#DIV/0!</v>
      </c>
      <c r="X87" s="242" t="e">
        <f t="shared" si="23"/>
        <v>#DIV/0!</v>
      </c>
      <c r="Y87" s="269" t="e">
        <f t="shared" si="28"/>
        <v>#DIV/0!</v>
      </c>
      <c r="AA87" s="236">
        <v>7</v>
      </c>
      <c r="AB87" s="267" t="s">
        <v>325</v>
      </c>
      <c r="AC87" s="242" t="e">
        <f t="shared" si="26"/>
        <v>#DIV/0!</v>
      </c>
      <c r="AD87" s="242"/>
      <c r="AE87" s="242" t="e">
        <f t="shared" si="27"/>
        <v>#DIV/0!</v>
      </c>
      <c r="AF87" s="269" t="e">
        <f>+AC87+AE87</f>
        <v>#DIV/0!</v>
      </c>
    </row>
    <row r="88" spans="1:32" x14ac:dyDescent="0.5">
      <c r="A88" s="236">
        <v>8</v>
      </c>
      <c r="B88" s="267" t="s">
        <v>326</v>
      </c>
      <c r="C88" s="267" t="e">
        <f t="shared" si="15"/>
        <v>#DIV/0!</v>
      </c>
      <c r="D88" s="267" t="e">
        <f t="shared" si="16"/>
        <v>#DIV/0!</v>
      </c>
      <c r="E88" s="267" t="e">
        <f t="shared" si="17"/>
        <v>#DIV/0!</v>
      </c>
      <c r="F88" s="267" t="e">
        <f t="shared" si="18"/>
        <v>#DIV/0!</v>
      </c>
      <c r="G88" s="267" t="e">
        <f t="shared" si="19"/>
        <v>#DIV/0!</v>
      </c>
      <c r="H88" s="268" t="e">
        <f t="shared" si="30"/>
        <v>#DIV/0!</v>
      </c>
      <c r="I88" s="237"/>
      <c r="L88" s="236">
        <v>8</v>
      </c>
      <c r="M88" s="267" t="s">
        <v>326</v>
      </c>
      <c r="N88" s="242" t="e">
        <f t="shared" si="20"/>
        <v>#DIV/0!</v>
      </c>
      <c r="O88" s="242" t="e">
        <f t="shared" si="21"/>
        <v>#DIV/0!</v>
      </c>
      <c r="P88" s="242"/>
      <c r="Q88" s="242"/>
      <c r="R88" s="242"/>
      <c r="S88" s="269" t="e">
        <f>+N88+O88+#REF!</f>
        <v>#DIV/0!</v>
      </c>
      <c r="U88" s="236">
        <v>8</v>
      </c>
      <c r="V88" s="267" t="s">
        <v>326</v>
      </c>
      <c r="W88" s="242" t="e">
        <f t="shared" si="22"/>
        <v>#DIV/0!</v>
      </c>
      <c r="X88" s="242" t="e">
        <f t="shared" si="23"/>
        <v>#DIV/0!</v>
      </c>
      <c r="Y88" s="269" t="e">
        <f t="shared" si="28"/>
        <v>#DIV/0!</v>
      </c>
      <c r="AA88" s="236">
        <v>8</v>
      </c>
      <c r="AB88" s="267" t="s">
        <v>326</v>
      </c>
      <c r="AC88" s="242" t="e">
        <f t="shared" si="26"/>
        <v>#DIV/0!</v>
      </c>
      <c r="AD88" s="242"/>
      <c r="AE88" s="242" t="e">
        <f t="shared" si="27"/>
        <v>#DIV/0!</v>
      </c>
      <c r="AF88" s="269" t="e">
        <f t="shared" ref="AF88:AF92" si="31">+AC88+AE88</f>
        <v>#DIV/0!</v>
      </c>
    </row>
    <row r="89" spans="1:32" x14ac:dyDescent="0.5">
      <c r="A89" s="236">
        <v>9</v>
      </c>
      <c r="B89" s="267" t="s">
        <v>327</v>
      </c>
      <c r="C89" s="267" t="e">
        <f t="shared" si="15"/>
        <v>#DIV/0!</v>
      </c>
      <c r="D89" s="267" t="e">
        <f t="shared" si="16"/>
        <v>#DIV/0!</v>
      </c>
      <c r="E89" s="267" t="e">
        <f t="shared" si="17"/>
        <v>#DIV/0!</v>
      </c>
      <c r="F89" s="267" t="e">
        <f t="shared" si="18"/>
        <v>#DIV/0!</v>
      </c>
      <c r="G89" s="267" t="e">
        <f t="shared" si="19"/>
        <v>#DIV/0!</v>
      </c>
      <c r="H89" s="268" t="e">
        <f>+C89+D89+E89+F89+G89</f>
        <v>#DIV/0!</v>
      </c>
      <c r="I89" s="237"/>
      <c r="L89" s="236">
        <v>9</v>
      </c>
      <c r="M89" s="267" t="s">
        <v>327</v>
      </c>
      <c r="N89" s="242" t="e">
        <f t="shared" si="20"/>
        <v>#DIV/0!</v>
      </c>
      <c r="O89" s="242" t="e">
        <f t="shared" si="21"/>
        <v>#DIV/0!</v>
      </c>
      <c r="P89" s="242"/>
      <c r="Q89" s="242"/>
      <c r="R89" s="242"/>
      <c r="S89" s="269" t="e">
        <f>+N89+O89+#REF!</f>
        <v>#DIV/0!</v>
      </c>
      <c r="U89" s="236">
        <v>9</v>
      </c>
      <c r="V89" s="267" t="s">
        <v>327</v>
      </c>
      <c r="W89" s="242" t="e">
        <f t="shared" si="22"/>
        <v>#DIV/0!</v>
      </c>
      <c r="X89" s="242" t="e">
        <f t="shared" si="23"/>
        <v>#DIV/0!</v>
      </c>
      <c r="Y89" s="269" t="e">
        <f t="shared" si="28"/>
        <v>#DIV/0!</v>
      </c>
      <c r="AA89" s="236">
        <v>9</v>
      </c>
      <c r="AB89" s="267" t="s">
        <v>327</v>
      </c>
      <c r="AC89" s="242" t="e">
        <f t="shared" si="26"/>
        <v>#DIV/0!</v>
      </c>
      <c r="AD89" s="242"/>
      <c r="AE89" s="242" t="e">
        <f t="shared" si="27"/>
        <v>#DIV/0!</v>
      </c>
      <c r="AF89" s="269" t="e">
        <f t="shared" si="31"/>
        <v>#DIV/0!</v>
      </c>
    </row>
    <row r="90" spans="1:32" x14ac:dyDescent="0.5">
      <c r="A90" s="236">
        <v>10</v>
      </c>
      <c r="B90" s="267" t="s">
        <v>328</v>
      </c>
      <c r="C90" s="267" t="e">
        <f t="shared" si="15"/>
        <v>#DIV/0!</v>
      </c>
      <c r="D90" s="267" t="e">
        <f t="shared" si="16"/>
        <v>#DIV/0!</v>
      </c>
      <c r="E90" s="267" t="e">
        <f t="shared" si="17"/>
        <v>#DIV/0!</v>
      </c>
      <c r="F90" s="267" t="e">
        <f t="shared" si="18"/>
        <v>#DIV/0!</v>
      </c>
      <c r="G90" s="267" t="e">
        <f t="shared" si="19"/>
        <v>#DIV/0!</v>
      </c>
      <c r="H90" s="268" t="e">
        <f t="shared" ref="H90:H92" si="32">+C90+D90+E90+F90+G90</f>
        <v>#DIV/0!</v>
      </c>
      <c r="I90" s="237"/>
      <c r="L90" s="236">
        <v>10</v>
      </c>
      <c r="M90" s="267" t="s">
        <v>328</v>
      </c>
      <c r="N90" s="242" t="e">
        <f t="shared" si="20"/>
        <v>#DIV/0!</v>
      </c>
      <c r="O90" s="242" t="e">
        <f t="shared" si="21"/>
        <v>#DIV/0!</v>
      </c>
      <c r="P90" s="242" t="e">
        <f>P71*100/S71</f>
        <v>#DIV/0!</v>
      </c>
      <c r="Q90" s="242" t="e">
        <f>Q71*100/S71</f>
        <v>#DIV/0!</v>
      </c>
      <c r="R90" s="242" t="e">
        <f>R71*100/S71</f>
        <v>#DIV/0!</v>
      </c>
      <c r="S90" s="269" t="e">
        <f>N90+O90+P90+Q90+R90+#REF!</f>
        <v>#DIV/0!</v>
      </c>
      <c r="U90" s="236">
        <v>10</v>
      </c>
      <c r="V90" s="267" t="s">
        <v>397</v>
      </c>
      <c r="W90" s="242" t="e">
        <f t="shared" si="22"/>
        <v>#DIV/0!</v>
      </c>
      <c r="X90" s="242" t="e">
        <f t="shared" si="23"/>
        <v>#DIV/0!</v>
      </c>
      <c r="Y90" s="269" t="e">
        <f t="shared" si="28"/>
        <v>#DIV/0!</v>
      </c>
      <c r="AA90" s="236">
        <v>10</v>
      </c>
      <c r="AB90" s="267" t="s">
        <v>328</v>
      </c>
      <c r="AC90" s="242" t="e">
        <f t="shared" si="26"/>
        <v>#DIV/0!</v>
      </c>
      <c r="AD90" s="242"/>
      <c r="AE90" s="242" t="e">
        <f t="shared" si="27"/>
        <v>#DIV/0!</v>
      </c>
      <c r="AF90" s="269" t="e">
        <f t="shared" si="31"/>
        <v>#DIV/0!</v>
      </c>
    </row>
    <row r="91" spans="1:32" x14ac:dyDescent="0.5">
      <c r="A91" s="236">
        <v>11</v>
      </c>
      <c r="B91" s="267" t="s">
        <v>329</v>
      </c>
      <c r="C91" s="267" t="e">
        <f t="shared" si="15"/>
        <v>#DIV/0!</v>
      </c>
      <c r="D91" s="267" t="e">
        <f t="shared" si="16"/>
        <v>#DIV/0!</v>
      </c>
      <c r="E91" s="267" t="e">
        <f t="shared" si="17"/>
        <v>#DIV/0!</v>
      </c>
      <c r="F91" s="267" t="e">
        <f t="shared" si="18"/>
        <v>#DIV/0!</v>
      </c>
      <c r="G91" s="267" t="e">
        <f t="shared" si="19"/>
        <v>#DIV/0!</v>
      </c>
      <c r="H91" s="268" t="e">
        <f t="shared" si="32"/>
        <v>#DIV/0!</v>
      </c>
      <c r="I91" s="237"/>
      <c r="L91" s="236">
        <v>11</v>
      </c>
      <c r="M91" s="267" t="s">
        <v>329</v>
      </c>
      <c r="N91" s="242" t="e">
        <f t="shared" si="20"/>
        <v>#DIV/0!</v>
      </c>
      <c r="O91" s="242" t="e">
        <f t="shared" si="21"/>
        <v>#DIV/0!</v>
      </c>
      <c r="P91" s="242" t="e">
        <f>P72*100/S72</f>
        <v>#DIV/0!</v>
      </c>
      <c r="Q91" s="242" t="e">
        <f>Q72*100/S72</f>
        <v>#DIV/0!</v>
      </c>
      <c r="R91" s="242" t="e">
        <f>R72*100/S72</f>
        <v>#DIV/0!</v>
      </c>
      <c r="S91" s="269" t="e">
        <f>N91+O91+P91+Q91+R91+#REF!</f>
        <v>#DIV/0!</v>
      </c>
      <c r="U91" s="236">
        <v>11</v>
      </c>
      <c r="V91" s="267" t="s">
        <v>329</v>
      </c>
      <c r="W91" s="242" t="e">
        <f t="shared" si="22"/>
        <v>#DIV/0!</v>
      </c>
      <c r="X91" s="242" t="e">
        <f t="shared" si="23"/>
        <v>#DIV/0!</v>
      </c>
      <c r="Y91" s="269" t="e">
        <f t="shared" si="28"/>
        <v>#DIV/0!</v>
      </c>
      <c r="AA91" s="236">
        <v>11</v>
      </c>
      <c r="AB91" s="267" t="s">
        <v>329</v>
      </c>
      <c r="AC91" s="242" t="e">
        <f t="shared" si="26"/>
        <v>#DIV/0!</v>
      </c>
      <c r="AD91" s="242"/>
      <c r="AE91" s="242" t="e">
        <f t="shared" si="27"/>
        <v>#DIV/0!</v>
      </c>
      <c r="AF91" s="269" t="e">
        <f t="shared" si="31"/>
        <v>#DIV/0!</v>
      </c>
    </row>
    <row r="92" spans="1:32" x14ac:dyDescent="0.5">
      <c r="A92" s="236">
        <v>12</v>
      </c>
      <c r="B92" s="267" t="s">
        <v>330</v>
      </c>
      <c r="C92" s="267" t="e">
        <f>C73*100/H73</f>
        <v>#DIV/0!</v>
      </c>
      <c r="D92" s="267" t="e">
        <f t="shared" si="16"/>
        <v>#DIV/0!</v>
      </c>
      <c r="E92" s="267" t="e">
        <f t="shared" si="17"/>
        <v>#DIV/0!</v>
      </c>
      <c r="F92" s="267" t="e">
        <f t="shared" si="18"/>
        <v>#DIV/0!</v>
      </c>
      <c r="G92" s="267" t="e">
        <f t="shared" si="19"/>
        <v>#DIV/0!</v>
      </c>
      <c r="H92" s="268" t="e">
        <f t="shared" si="32"/>
        <v>#DIV/0!</v>
      </c>
      <c r="I92" s="237"/>
      <c r="L92" s="236">
        <v>12</v>
      </c>
      <c r="M92" s="267" t="s">
        <v>330</v>
      </c>
      <c r="N92" s="242" t="e">
        <f t="shared" si="20"/>
        <v>#DIV/0!</v>
      </c>
      <c r="O92" s="242" t="e">
        <f t="shared" si="21"/>
        <v>#DIV/0!</v>
      </c>
      <c r="P92" s="242"/>
      <c r="Q92" s="242"/>
      <c r="R92" s="242"/>
      <c r="S92" s="269" t="e">
        <f>N92+O92+P92+Q92+R92+#REF!</f>
        <v>#DIV/0!</v>
      </c>
      <c r="U92" s="236">
        <v>12</v>
      </c>
      <c r="V92" s="267" t="s">
        <v>330</v>
      </c>
      <c r="W92" s="242" t="e">
        <f t="shared" si="22"/>
        <v>#DIV/0!</v>
      </c>
      <c r="X92" s="242" t="e">
        <f t="shared" si="23"/>
        <v>#DIV/0!</v>
      </c>
      <c r="Y92" s="269" t="e">
        <f t="shared" si="28"/>
        <v>#DIV/0!</v>
      </c>
      <c r="AA92" s="236">
        <v>12</v>
      </c>
      <c r="AB92" s="267" t="s">
        <v>330</v>
      </c>
      <c r="AC92" s="242" t="e">
        <f t="shared" si="26"/>
        <v>#DIV/0!</v>
      </c>
      <c r="AD92" s="242"/>
      <c r="AE92" s="242" t="e">
        <f t="shared" si="27"/>
        <v>#DIV/0!</v>
      </c>
      <c r="AF92" s="269" t="e">
        <f t="shared" si="31"/>
        <v>#DIV/0!</v>
      </c>
    </row>
    <row r="93" spans="1:32" ht="24" thickBot="1" x14ac:dyDescent="0.55000000000000004">
      <c r="A93" s="366" t="s">
        <v>397</v>
      </c>
      <c r="B93" s="367"/>
      <c r="C93" s="260" t="e">
        <f>SUM(C81:C92)</f>
        <v>#DIV/0!</v>
      </c>
      <c r="D93" s="260" t="e">
        <f>SUM(D81:D92)</f>
        <v>#DIV/0!</v>
      </c>
      <c r="E93" s="260" t="e">
        <f>SUM(E81:E92)</f>
        <v>#DIV/0!</v>
      </c>
      <c r="F93" s="261" t="e">
        <f>SUM(F81:F92)</f>
        <v>#DIV/0!</v>
      </c>
      <c r="G93" s="262" t="e">
        <f t="shared" ref="G93" si="33">SUM(G81:G92)</f>
        <v>#DIV/0!</v>
      </c>
      <c r="H93" s="260" t="e">
        <f>SUM(H81:H92)</f>
        <v>#DIV/0!</v>
      </c>
      <c r="I93" s="260"/>
      <c r="L93" s="247"/>
      <c r="M93" s="248" t="s">
        <v>397</v>
      </c>
      <c r="N93" s="251" t="e">
        <f>SUM(N81:N92)</f>
        <v>#DIV/0!</v>
      </c>
      <c r="O93" s="251" t="e">
        <f>SUM(O81:O92)</f>
        <v>#DIV/0!</v>
      </c>
      <c r="P93" s="251"/>
      <c r="Q93" s="251"/>
      <c r="R93" s="251"/>
      <c r="S93" s="251" t="e">
        <f>SUM(S81:S92)</f>
        <v>#DIV/0!</v>
      </c>
      <c r="U93" s="247"/>
      <c r="V93" s="248" t="s">
        <v>397</v>
      </c>
      <c r="W93" s="251" t="e">
        <f>SUM(W81:W92)</f>
        <v>#DIV/0!</v>
      </c>
      <c r="X93" s="251" t="e">
        <f>SUM(X81:X92)</f>
        <v>#DIV/0!</v>
      </c>
      <c r="Y93" s="251" t="e">
        <f>SUM(Y81:Y92)</f>
        <v>#DIV/0!</v>
      </c>
      <c r="AA93" s="247"/>
      <c r="AB93" s="248" t="s">
        <v>397</v>
      </c>
      <c r="AC93" s="251" t="e">
        <f>SUM(AC81:AC92)</f>
        <v>#DIV/0!</v>
      </c>
      <c r="AD93" s="250">
        <f>SUM(AD81:AD92)</f>
        <v>0</v>
      </c>
      <c r="AE93" s="251" t="e">
        <f>SUM(AE81:AE92)</f>
        <v>#DIV/0!</v>
      </c>
      <c r="AF93" s="251" t="e">
        <f>SUM(AF81:AF92)</f>
        <v>#DIV/0!</v>
      </c>
    </row>
    <row r="94" spans="1:32" ht="24" thickTop="1" x14ac:dyDescent="0.5">
      <c r="H94" s="270"/>
    </row>
  </sheetData>
  <mergeCells count="15">
    <mergeCell ref="A93:B93"/>
    <mergeCell ref="A1:I1"/>
    <mergeCell ref="L1:S1"/>
    <mergeCell ref="U1:Y1"/>
    <mergeCell ref="AA1:AF1"/>
    <mergeCell ref="A52:B52"/>
    <mergeCell ref="A60:I60"/>
    <mergeCell ref="L60:S60"/>
    <mergeCell ref="U60:Y60"/>
    <mergeCell ref="AA60:AF60"/>
    <mergeCell ref="A74:B74"/>
    <mergeCell ref="A79:I79"/>
    <mergeCell ref="L79:S79"/>
    <mergeCell ref="U79:Y79"/>
    <mergeCell ref="AA79:AF79"/>
  </mergeCells>
  <pageMargins left="0.38" right="0.2" top="0.61" bottom="0.56000000000000005" header="0.3" footer="0.3"/>
  <pageSetup paperSize="9" scale="23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1BD8-9CA5-4089-ACBD-AFBF5C1E5B8C}">
  <dimension ref="A1:AC53"/>
  <sheetViews>
    <sheetView topLeftCell="F28" workbookViewId="0">
      <selection activeCell="O3" sqref="O3:O49"/>
    </sheetView>
  </sheetViews>
  <sheetFormatPr defaultRowHeight="16.5" x14ac:dyDescent="0.3"/>
  <cols>
    <col min="1" max="1" width="3.5" customWidth="1"/>
    <col min="2" max="2" width="21.5" customWidth="1"/>
    <col min="3" max="3" width="12.75" customWidth="1"/>
    <col min="4" max="4" width="3.5" customWidth="1"/>
    <col min="5" max="5" width="21.5" customWidth="1"/>
    <col min="6" max="6" width="12.75" customWidth="1"/>
    <col min="7" max="7" width="3.5" customWidth="1"/>
    <col min="8" max="8" width="21.5" customWidth="1"/>
    <col min="9" max="9" width="12.75" customWidth="1"/>
    <col min="10" max="10" width="3.5" customWidth="1"/>
    <col min="11" max="11" width="21.5" customWidth="1"/>
    <col min="12" max="12" width="12.75" customWidth="1"/>
    <col min="13" max="13" width="3.5" customWidth="1"/>
    <col min="14" max="14" width="21.5" customWidth="1"/>
    <col min="15" max="15" width="12.75" customWidth="1"/>
  </cols>
  <sheetData>
    <row r="1" spans="1:29" ht="23.25" x14ac:dyDescent="0.5">
      <c r="B1" s="350" t="s">
        <v>319</v>
      </c>
      <c r="C1" s="350"/>
      <c r="E1" s="350" t="s">
        <v>320</v>
      </c>
      <c r="F1" s="350"/>
      <c r="H1" s="350" t="s">
        <v>321</v>
      </c>
      <c r="I1" s="350"/>
      <c r="K1" s="350" t="s">
        <v>322</v>
      </c>
      <c r="L1" s="350"/>
      <c r="N1" s="350" t="s">
        <v>323</v>
      </c>
      <c r="O1" s="350"/>
    </row>
    <row r="2" spans="1:29" ht="23.25" x14ac:dyDescent="0.5">
      <c r="B2" s="218" t="s">
        <v>331</v>
      </c>
      <c r="C2" s="217" t="s">
        <v>4</v>
      </c>
      <c r="E2" s="218" t="s">
        <v>331</v>
      </c>
      <c r="F2" s="217" t="s">
        <v>4</v>
      </c>
      <c r="H2" s="218" t="s">
        <v>331</v>
      </c>
      <c r="I2" s="217" t="s">
        <v>4</v>
      </c>
      <c r="K2" s="218" t="s">
        <v>331</v>
      </c>
      <c r="L2" s="217" t="s">
        <v>4</v>
      </c>
      <c r="N2" s="218" t="s">
        <v>331</v>
      </c>
      <c r="O2" s="217" t="s">
        <v>4</v>
      </c>
    </row>
    <row r="3" spans="1:29" ht="23.25" x14ac:dyDescent="0.5">
      <c r="A3">
        <v>1</v>
      </c>
      <c r="B3" s="219" t="s">
        <v>332</v>
      </c>
      <c r="C3" s="220">
        <f>มกราคม!C76+มกราคม!C95+มกราคม!C110+มกราคม!C115</f>
        <v>151633.46000000002</v>
      </c>
      <c r="D3">
        <v>1</v>
      </c>
      <c r="E3" s="219" t="s">
        <v>332</v>
      </c>
      <c r="F3" s="220">
        <f>กุมภาพันธ์!C77+กุมภาพันธ์!C97+กุมภาพันธ์!C107</f>
        <v>157577.60000000001</v>
      </c>
      <c r="G3">
        <v>1</v>
      </c>
      <c r="H3" s="219" t="s">
        <v>332</v>
      </c>
      <c r="I3" s="220">
        <f>มีนาคม!C91+มีนาคม!C111+มีนาคม!C128</f>
        <v>169218.43</v>
      </c>
      <c r="J3">
        <v>1</v>
      </c>
      <c r="K3" s="219" t="s">
        <v>332</v>
      </c>
      <c r="L3" s="220">
        <f>เมษายน!C113+เมษายน!C129+เมษายน!C148</f>
        <v>207602.08</v>
      </c>
      <c r="M3">
        <v>1</v>
      </c>
      <c r="N3" s="219" t="s">
        <v>332</v>
      </c>
      <c r="O3" s="220">
        <f>พฤษภาคม!C92+พฤษภาคม!C108+พฤษภาคม!C124</f>
        <v>181757.49</v>
      </c>
    </row>
    <row r="4" spans="1:29" ht="23.25" x14ac:dyDescent="0.5">
      <c r="A4">
        <v>2</v>
      </c>
      <c r="B4" s="219" t="s">
        <v>333</v>
      </c>
      <c r="C4" s="220">
        <f>มกราคม!C55</f>
        <v>106756.59000000001</v>
      </c>
      <c r="D4">
        <v>2</v>
      </c>
      <c r="E4" s="219" t="s">
        <v>333</v>
      </c>
      <c r="F4" s="220">
        <f>กุมภาพันธ์!C53</f>
        <v>113693.68</v>
      </c>
      <c r="G4">
        <v>2</v>
      </c>
      <c r="H4" s="219" t="s">
        <v>333</v>
      </c>
      <c r="I4" s="220">
        <f>มีนาคม!C67</f>
        <v>133183.56399999998</v>
      </c>
      <c r="J4">
        <v>2</v>
      </c>
      <c r="K4" s="219" t="s">
        <v>333</v>
      </c>
      <c r="L4" s="220">
        <f>เมษายน!C76</f>
        <v>169426.79</v>
      </c>
      <c r="M4">
        <v>2</v>
      </c>
      <c r="N4" s="219" t="s">
        <v>333</v>
      </c>
      <c r="O4" s="220">
        <f>พฤษภาคม!C51</f>
        <v>162967.37</v>
      </c>
    </row>
    <row r="5" spans="1:29" ht="23.25" x14ac:dyDescent="0.5">
      <c r="A5">
        <v>3</v>
      </c>
      <c r="B5" s="219" t="s">
        <v>334</v>
      </c>
      <c r="C5" s="220">
        <f>มกราคม!C154</f>
        <v>93627.689999999973</v>
      </c>
      <c r="D5">
        <v>3</v>
      </c>
      <c r="E5" s="219" t="s">
        <v>334</v>
      </c>
      <c r="F5" s="220">
        <f>กุมภาพันธ์!C132</f>
        <v>59832.07</v>
      </c>
      <c r="G5">
        <v>3</v>
      </c>
      <c r="H5" s="219" t="s">
        <v>334</v>
      </c>
      <c r="I5" s="220">
        <f>มีนาคม!C201</f>
        <v>131868.13999999998</v>
      </c>
      <c r="J5">
        <v>3</v>
      </c>
      <c r="K5" s="219" t="s">
        <v>334</v>
      </c>
      <c r="L5" s="220">
        <f>เมษายน!C193</f>
        <v>100224.13000000003</v>
      </c>
      <c r="M5">
        <v>3</v>
      </c>
      <c r="N5" s="219" t="s">
        <v>335</v>
      </c>
      <c r="O5" s="220">
        <f>พฤษภาคม!C281</f>
        <v>58257.700000000004</v>
      </c>
    </row>
    <row r="6" spans="1:29" ht="23.25" x14ac:dyDescent="0.5">
      <c r="A6">
        <v>4</v>
      </c>
      <c r="B6" s="219" t="s">
        <v>335</v>
      </c>
      <c r="C6" s="220">
        <f>มกราคม!C283</f>
        <v>42651.8</v>
      </c>
      <c r="D6">
        <v>4</v>
      </c>
      <c r="E6" s="219" t="s">
        <v>335</v>
      </c>
      <c r="F6" s="220">
        <f>กุมภาพันธ์!C236</f>
        <v>51817.000000000007</v>
      </c>
      <c r="G6">
        <v>4</v>
      </c>
      <c r="H6" s="219" t="s">
        <v>335</v>
      </c>
      <c r="I6" s="220">
        <f>มีนาคม!C352</f>
        <v>55416.69999999999</v>
      </c>
      <c r="J6">
        <v>4</v>
      </c>
      <c r="K6" s="219" t="s">
        <v>335</v>
      </c>
      <c r="L6" s="220">
        <f>เมษายน!C290</f>
        <v>50673.000000000007</v>
      </c>
      <c r="M6">
        <v>4</v>
      </c>
      <c r="N6" s="219" t="s">
        <v>334</v>
      </c>
      <c r="O6" s="220">
        <f>พฤษภาคม!C154</f>
        <v>50830.610000000008</v>
      </c>
    </row>
    <row r="7" spans="1:29" ht="23.25" x14ac:dyDescent="0.5">
      <c r="A7">
        <v>5</v>
      </c>
      <c r="B7" s="219" t="s">
        <v>336</v>
      </c>
      <c r="C7" s="220">
        <f>มกราคม!C226+มกราคม!E234</f>
        <v>36103.349999999991</v>
      </c>
      <c r="D7">
        <v>5</v>
      </c>
      <c r="E7" s="219" t="s">
        <v>336</v>
      </c>
      <c r="F7" s="220">
        <f>กุมภาพันธ์!C181</f>
        <v>29669.290000000005</v>
      </c>
      <c r="G7">
        <v>5</v>
      </c>
      <c r="H7" s="219" t="s">
        <v>336</v>
      </c>
      <c r="I7" s="220">
        <f>มีนาคม!C273+มีนาคม!E282</f>
        <v>47678.570000000014</v>
      </c>
      <c r="J7">
        <v>5</v>
      </c>
      <c r="K7" s="219" t="s">
        <v>336</v>
      </c>
      <c r="L7" s="220">
        <f>เมษายน!C243</f>
        <v>33662.630000000012</v>
      </c>
      <c r="M7">
        <v>5</v>
      </c>
      <c r="N7" s="219" t="s">
        <v>336</v>
      </c>
      <c r="O7" s="220">
        <f>พฤษภาคม!C218</f>
        <v>48255.41</v>
      </c>
    </row>
    <row r="8" spans="1:29" ht="26.25" x14ac:dyDescent="0.5">
      <c r="A8">
        <v>6</v>
      </c>
      <c r="B8" s="219" t="s">
        <v>340</v>
      </c>
      <c r="C8" s="220">
        <f>มกราคม!C590</f>
        <v>16057.479999999996</v>
      </c>
      <c r="D8">
        <v>6</v>
      </c>
      <c r="E8" s="219" t="s">
        <v>342</v>
      </c>
      <c r="F8" s="220">
        <f>กุมภาพันธ์!C585</f>
        <v>20249.100000000002</v>
      </c>
      <c r="G8">
        <v>6</v>
      </c>
      <c r="H8" s="219" t="s">
        <v>340</v>
      </c>
      <c r="I8" s="220">
        <f>มีนาคม!C592</f>
        <v>14388.910000000002</v>
      </c>
      <c r="J8">
        <v>6</v>
      </c>
      <c r="K8" s="221" t="s">
        <v>338</v>
      </c>
      <c r="L8" s="220">
        <f>เมษายน!C312+เมษายน!C319+เมษายน!C325+เมษายน!C331</f>
        <v>24339.85</v>
      </c>
      <c r="M8">
        <v>6</v>
      </c>
      <c r="N8" s="221" t="s">
        <v>338</v>
      </c>
      <c r="O8" s="220">
        <f>พฤษภาคม!C294+พฤษภาคม!C305+พฤษภาคม!C310+พฤษภาคม!C316</f>
        <v>26641.15</v>
      </c>
      <c r="AC8" s="347"/>
    </row>
    <row r="9" spans="1:29" ht="23.25" x14ac:dyDescent="0.5">
      <c r="A9">
        <v>7</v>
      </c>
      <c r="B9" s="219" t="s">
        <v>342</v>
      </c>
      <c r="C9" s="220">
        <f>มกราคม!C598</f>
        <v>14973.45</v>
      </c>
      <c r="D9">
        <v>7</v>
      </c>
      <c r="E9" s="219" t="s">
        <v>341</v>
      </c>
      <c r="F9" s="220">
        <f>กุมภาพันธ์!E397+กุมภาพันธ์!C415</f>
        <v>18147.250000000004</v>
      </c>
      <c r="G9">
        <v>7</v>
      </c>
      <c r="H9" s="219" t="s">
        <v>337</v>
      </c>
      <c r="I9" s="220">
        <f>มีนาคม!C393+มีนาคม!C403+มีนาคม!C432</f>
        <v>13307.25</v>
      </c>
      <c r="J9">
        <v>7</v>
      </c>
      <c r="K9" s="219" t="s">
        <v>337</v>
      </c>
      <c r="L9" s="220">
        <f>เมษายน!C361+เมษายน!C388</f>
        <v>22757.4</v>
      </c>
      <c r="M9">
        <v>7</v>
      </c>
      <c r="N9" s="219" t="s">
        <v>342</v>
      </c>
      <c r="O9" s="220">
        <f>พฤษภาคม!C560</f>
        <v>18313.05</v>
      </c>
    </row>
    <row r="10" spans="1:29" ht="23.25" x14ac:dyDescent="0.5">
      <c r="A10">
        <v>8</v>
      </c>
      <c r="B10" s="219" t="s">
        <v>337</v>
      </c>
      <c r="C10" s="220">
        <f>มกราคม!C339+มกราคม!C374</f>
        <v>14359.08</v>
      </c>
      <c r="D10">
        <v>8</v>
      </c>
      <c r="E10" s="219" t="s">
        <v>340</v>
      </c>
      <c r="F10" s="220">
        <f>กุมภาพันธ์!C576</f>
        <v>16658.34</v>
      </c>
      <c r="G10">
        <v>8</v>
      </c>
      <c r="H10" s="221" t="s">
        <v>338</v>
      </c>
      <c r="I10" s="220">
        <f>มีนาคม!C367+มีนาคม!C374</f>
        <v>8923.4</v>
      </c>
      <c r="J10">
        <v>8</v>
      </c>
      <c r="K10" s="219" t="s">
        <v>340</v>
      </c>
      <c r="L10" s="220">
        <f>เมษายน!C553</f>
        <v>13143.230000000003</v>
      </c>
      <c r="M10">
        <v>8</v>
      </c>
      <c r="N10" s="219" t="s">
        <v>340</v>
      </c>
      <c r="O10" s="220">
        <f>พฤษภาคม!C551</f>
        <v>12471.69</v>
      </c>
    </row>
    <row r="11" spans="1:29" ht="23.25" x14ac:dyDescent="0.5">
      <c r="A11">
        <v>9</v>
      </c>
      <c r="B11" s="221" t="s">
        <v>338</v>
      </c>
      <c r="C11" s="220">
        <f>มกราคม!C297+มกราคม!C302+มกราคม!C307</f>
        <v>12205.4</v>
      </c>
      <c r="D11">
        <v>9</v>
      </c>
      <c r="E11" s="221" t="s">
        <v>338</v>
      </c>
      <c r="F11" s="220">
        <f>กุมภาพันธ์!C256+กุมภาพันธ์!C262</f>
        <v>13145.650000000001</v>
      </c>
      <c r="G11">
        <v>9</v>
      </c>
      <c r="H11" s="219" t="s">
        <v>347</v>
      </c>
      <c r="I11" s="220">
        <f>มีนาคม!C475+มีนาคม!C492</f>
        <v>6181.45</v>
      </c>
      <c r="J11">
        <v>9</v>
      </c>
      <c r="K11" s="338" t="s">
        <v>675</v>
      </c>
      <c r="L11" s="220">
        <f>เมษายน!C657</f>
        <v>11889.9</v>
      </c>
      <c r="M11">
        <v>9</v>
      </c>
      <c r="N11" s="219" t="s">
        <v>337</v>
      </c>
      <c r="O11" s="220">
        <f>พฤษภาคม!C349+พฤษภาคม!C359+พฤษภาคม!C384</f>
        <v>11850.55</v>
      </c>
    </row>
    <row r="12" spans="1:29" ht="23.25" x14ac:dyDescent="0.5">
      <c r="A12">
        <v>10</v>
      </c>
      <c r="B12" s="219" t="s">
        <v>344</v>
      </c>
      <c r="C12" s="220">
        <f>มกราคม!C319</f>
        <v>7961.1</v>
      </c>
      <c r="D12">
        <v>10</v>
      </c>
      <c r="E12" s="219" t="s">
        <v>345</v>
      </c>
      <c r="F12" s="220">
        <f>กุมภาพันธ์!C543</f>
        <v>9956.2000000000007</v>
      </c>
      <c r="G12">
        <v>10</v>
      </c>
      <c r="H12" s="219" t="s">
        <v>344</v>
      </c>
      <c r="I12" s="220">
        <f>มีนาคม!C361</f>
        <v>5999.4000000000005</v>
      </c>
      <c r="J12">
        <v>10</v>
      </c>
      <c r="K12" s="219" t="s">
        <v>343</v>
      </c>
      <c r="L12" s="220">
        <f>เมษายน!C418</f>
        <v>9573.7999999999975</v>
      </c>
      <c r="M12">
        <v>10</v>
      </c>
      <c r="N12" s="219" t="s">
        <v>339</v>
      </c>
      <c r="O12" s="220">
        <f>พฤษภาคม!F479</f>
        <v>8349.98</v>
      </c>
    </row>
    <row r="13" spans="1:29" ht="23.25" x14ac:dyDescent="0.5">
      <c r="B13" s="219" t="s">
        <v>343</v>
      </c>
      <c r="C13" s="220">
        <f>มกราคม!C410</f>
        <v>7209.9499999999989</v>
      </c>
      <c r="E13" s="219" t="s">
        <v>337</v>
      </c>
      <c r="F13" s="220">
        <f>กุมภาพันธ์!C289+กุมภาพันธ์!C302+กุมภาพันธ์!C328</f>
        <v>9762.9</v>
      </c>
      <c r="H13" s="219" t="s">
        <v>341</v>
      </c>
      <c r="I13" s="220">
        <f>มีนาคม!C441</f>
        <v>5907.5499999999993</v>
      </c>
      <c r="K13" s="219" t="s">
        <v>342</v>
      </c>
      <c r="L13" s="220">
        <f>เมษายน!C560</f>
        <v>9551.15</v>
      </c>
      <c r="N13" s="219" t="s">
        <v>344</v>
      </c>
      <c r="O13" s="220">
        <f>พฤษภาคม!C328</f>
        <v>7208.6</v>
      </c>
    </row>
    <row r="14" spans="1:29" ht="23.25" x14ac:dyDescent="0.5">
      <c r="B14" s="219" t="s">
        <v>341</v>
      </c>
      <c r="C14" s="220">
        <f>มกราคม!C448</f>
        <v>6263.0999999999995</v>
      </c>
      <c r="E14" s="219" t="s">
        <v>344</v>
      </c>
      <c r="F14" s="220">
        <f>กุมภาพันธ์!C271</f>
        <v>7430.5</v>
      </c>
      <c r="H14" s="219" t="s">
        <v>343</v>
      </c>
      <c r="I14" s="220">
        <f>มีนาคม!C470</f>
        <v>5684.15</v>
      </c>
      <c r="K14" s="219" t="s">
        <v>773</v>
      </c>
      <c r="L14" s="220">
        <f>เมษายน!C686</f>
        <v>8634.35</v>
      </c>
      <c r="N14" s="219" t="s">
        <v>343</v>
      </c>
      <c r="O14" s="220">
        <f>พฤษภาคม!C413</f>
        <v>6036.4000000000005</v>
      </c>
    </row>
    <row r="15" spans="1:29" ht="23.25" x14ac:dyDescent="0.5">
      <c r="B15" s="219" t="s">
        <v>339</v>
      </c>
      <c r="C15" s="220">
        <f>มกราคม!F472</f>
        <v>5361.9919999999993</v>
      </c>
      <c r="E15" s="219" t="s">
        <v>343</v>
      </c>
      <c r="F15" s="220">
        <f>กุมภาพันธ์!C363</f>
        <v>7257.6999999999989</v>
      </c>
      <c r="H15" s="219" t="s">
        <v>345</v>
      </c>
      <c r="I15" s="220">
        <f>มีนาคม!C623</f>
        <v>4962.37</v>
      </c>
      <c r="K15" s="219" t="s">
        <v>341</v>
      </c>
      <c r="L15" s="220">
        <f>เมษายน!C455</f>
        <v>5983.25</v>
      </c>
      <c r="N15" s="219" t="s">
        <v>675</v>
      </c>
      <c r="O15" s="220">
        <f>พฤษภาคม!C659</f>
        <v>5982.95</v>
      </c>
    </row>
    <row r="16" spans="1:29" ht="23.25" x14ac:dyDescent="0.5">
      <c r="B16" s="219" t="s">
        <v>345</v>
      </c>
      <c r="C16" s="220">
        <f>มกราคม!C554</f>
        <v>4941.7</v>
      </c>
      <c r="E16" s="219" t="s">
        <v>347</v>
      </c>
      <c r="F16" s="220">
        <f>กุมภาพันธ์!C381</f>
        <v>4524.3</v>
      </c>
      <c r="H16" s="219" t="s">
        <v>339</v>
      </c>
      <c r="I16" s="220">
        <f>มีนาคม!F549</f>
        <v>4909.7008000000005</v>
      </c>
      <c r="K16" s="219" t="s">
        <v>354</v>
      </c>
      <c r="L16" s="220">
        <f>เมษายน!C648</f>
        <v>5019.2500000000009</v>
      </c>
      <c r="N16" s="219" t="s">
        <v>840</v>
      </c>
      <c r="O16" s="220">
        <f>พฤษภาคม!C129</f>
        <v>5976.1</v>
      </c>
    </row>
    <row r="17" spans="2:29" ht="23.25" x14ac:dyDescent="0.5">
      <c r="B17" s="219" t="s">
        <v>349</v>
      </c>
      <c r="C17" s="220">
        <f>มกราคม!E334</f>
        <v>4432</v>
      </c>
      <c r="E17" s="219" t="s">
        <v>354</v>
      </c>
      <c r="F17" s="220">
        <f>กุมภาพันธ์!C713</f>
        <v>4056.4000000000005</v>
      </c>
      <c r="H17" s="219" t="s">
        <v>342</v>
      </c>
      <c r="I17" s="220">
        <f>มีนาคม!C633</f>
        <v>4701.8</v>
      </c>
      <c r="K17" s="219" t="s">
        <v>347</v>
      </c>
      <c r="L17" s="220">
        <f>เมษายน!C423+เมษายน!C440</f>
        <v>4707.9000000000005</v>
      </c>
      <c r="N17" s="219" t="s">
        <v>571</v>
      </c>
      <c r="O17" s="220">
        <f>พฤษภาคม!C578</f>
        <v>4971.1000000000004</v>
      </c>
    </row>
    <row r="18" spans="2:29" ht="23.25" x14ac:dyDescent="0.5">
      <c r="B18" s="219" t="s">
        <v>348</v>
      </c>
      <c r="C18" s="220">
        <f>มกราคม!C292</f>
        <v>3929.8499999999995</v>
      </c>
      <c r="E18" s="219" t="s">
        <v>339</v>
      </c>
      <c r="F18" s="220">
        <f>กุมภาพันธ์!F454</f>
        <v>3945.4579999999996</v>
      </c>
      <c r="H18" s="219" t="s">
        <v>356</v>
      </c>
      <c r="I18" s="220">
        <f>มีนาคม!C664</f>
        <v>4118.5</v>
      </c>
      <c r="K18" s="219" t="s">
        <v>348</v>
      </c>
      <c r="L18" s="220">
        <f>เมษายน!C299</f>
        <v>4562.1499999999996</v>
      </c>
      <c r="N18" s="219" t="s">
        <v>359</v>
      </c>
      <c r="O18" s="220">
        <f>พฤษภาคม!C520</f>
        <v>3885.05</v>
      </c>
    </row>
    <row r="19" spans="2:29" ht="23.25" x14ac:dyDescent="0.5">
      <c r="B19" s="219" t="s">
        <v>354</v>
      </c>
      <c r="C19" s="220">
        <f>มกราคม!C647</f>
        <v>3586.2</v>
      </c>
      <c r="E19" s="219" t="s">
        <v>348</v>
      </c>
      <c r="F19" s="220">
        <f>กุมภาพันธ์!C243</f>
        <v>2996.25</v>
      </c>
      <c r="H19" s="219" t="s">
        <v>575</v>
      </c>
      <c r="I19" s="220">
        <f>มีนาคม!C658</f>
        <v>3987.95</v>
      </c>
      <c r="K19" s="219" t="s">
        <v>569</v>
      </c>
      <c r="L19" s="220">
        <f>เมษายน!C461+เมษายน!F471</f>
        <v>3807.85</v>
      </c>
      <c r="N19" s="219" t="s">
        <v>348</v>
      </c>
      <c r="O19" s="220">
        <f>พฤษภาคม!C288</f>
        <v>2994.75</v>
      </c>
    </row>
    <row r="20" spans="2:29" ht="23.25" x14ac:dyDescent="0.5">
      <c r="B20" s="219" t="s">
        <v>347</v>
      </c>
      <c r="C20" s="220">
        <f>มกราคม!C427</f>
        <v>3459.2999999999997</v>
      </c>
      <c r="E20" s="219" t="s">
        <v>569</v>
      </c>
      <c r="F20" s="220">
        <f>กุมภาพันธ์!F426</f>
        <v>2829</v>
      </c>
      <c r="H20" s="219" t="s">
        <v>346</v>
      </c>
      <c r="I20" s="220">
        <f>มีนาคม!C563</f>
        <v>3488.05</v>
      </c>
      <c r="K20" s="219" t="s">
        <v>571</v>
      </c>
      <c r="L20" s="220">
        <f>เมษายน!C575+เมษายน!C581</f>
        <v>3785.5</v>
      </c>
      <c r="N20" s="219" t="s">
        <v>361</v>
      </c>
      <c r="O20" s="220">
        <f>พฤษภาคม!C333</f>
        <v>2969.05</v>
      </c>
      <c r="AC20" s="346"/>
    </row>
    <row r="21" spans="2:29" ht="23.25" x14ac:dyDescent="0.5">
      <c r="B21" s="219" t="s">
        <v>346</v>
      </c>
      <c r="C21" s="220">
        <f>มกราคม!C495</f>
        <v>2747.6000000000004</v>
      </c>
      <c r="E21" s="219" t="s">
        <v>575</v>
      </c>
      <c r="F21" s="220">
        <f>กุมภาพันธ์!C627</f>
        <v>2810.8</v>
      </c>
      <c r="H21" s="219" t="s">
        <v>350</v>
      </c>
      <c r="I21" s="220">
        <f>มีนาคม!E519+มีนาคม!C534</f>
        <v>3158.8499999999995</v>
      </c>
      <c r="K21" s="219" t="s">
        <v>568</v>
      </c>
      <c r="L21" s="220">
        <f>เมษายน!C306</f>
        <v>2980.55</v>
      </c>
      <c r="N21" s="219" t="s">
        <v>356</v>
      </c>
      <c r="O21" s="220">
        <f>พฤษภาคม!C591</f>
        <v>2927.95</v>
      </c>
    </row>
    <row r="22" spans="2:29" ht="23.25" x14ac:dyDescent="0.5">
      <c r="B22" s="219" t="s">
        <v>364</v>
      </c>
      <c r="C22" s="220">
        <f>มกราคม!C488</f>
        <v>2566.65</v>
      </c>
      <c r="E22" s="219" t="s">
        <v>350</v>
      </c>
      <c r="F22" s="220">
        <f>กุมภาพันธ์!C439</f>
        <v>2541.5500000000002</v>
      </c>
      <c r="H22" s="219" t="s">
        <v>569</v>
      </c>
      <c r="I22" s="220">
        <f>มีนาคม!F510</f>
        <v>2829</v>
      </c>
      <c r="K22" s="219" t="s">
        <v>361</v>
      </c>
      <c r="L22" s="220">
        <f>เมษายน!C343</f>
        <v>2581.9499999999998</v>
      </c>
      <c r="N22" s="219" t="s">
        <v>350</v>
      </c>
      <c r="O22" s="220">
        <f>พฤษภาคม!C455</f>
        <v>2701.6000000000004</v>
      </c>
      <c r="AC22" s="346"/>
    </row>
    <row r="23" spans="2:29" ht="23.25" x14ac:dyDescent="0.5">
      <c r="B23" s="219" t="s">
        <v>359</v>
      </c>
      <c r="C23" s="220">
        <f>มกราคม!C529</f>
        <v>2560.5500000000002</v>
      </c>
      <c r="E23" s="219" t="s">
        <v>349</v>
      </c>
      <c r="F23" s="220">
        <f>กุมภาพันธ์!E283</f>
        <v>2216</v>
      </c>
      <c r="H23" s="219" t="s">
        <v>349</v>
      </c>
      <c r="I23" s="220">
        <f>มีนาคม!E386</f>
        <v>2216</v>
      </c>
      <c r="K23" s="219" t="s">
        <v>350</v>
      </c>
      <c r="L23" s="220">
        <f>เมษายน!C482</f>
        <v>2544.0499999999997</v>
      </c>
      <c r="N23" s="219" t="s">
        <v>841</v>
      </c>
      <c r="O23" s="220">
        <f>พฤษภาคม!C506</f>
        <v>2573.6999999999998</v>
      </c>
    </row>
    <row r="24" spans="2:29" ht="23.25" x14ac:dyDescent="0.5">
      <c r="B24" s="219" t="s">
        <v>352</v>
      </c>
      <c r="C24" s="220">
        <f>มกราคม!C516</f>
        <v>2378.5</v>
      </c>
      <c r="E24" s="219" t="s">
        <v>571</v>
      </c>
      <c r="F24" s="220">
        <f>กุมภาพันธ์!C592</f>
        <v>1994.9</v>
      </c>
      <c r="H24" s="219" t="s">
        <v>348</v>
      </c>
      <c r="I24" s="220">
        <f>มีนาคม!C289</f>
        <v>2161.6</v>
      </c>
      <c r="K24" s="219" t="s">
        <v>344</v>
      </c>
      <c r="L24" s="220">
        <f>เมษายน!C337</f>
        <v>2489.8000000000002</v>
      </c>
      <c r="N24" s="219" t="s">
        <v>667</v>
      </c>
      <c r="O24" s="220">
        <f>พฤษภาคม!C566</f>
        <v>2081.4</v>
      </c>
      <c r="AC24" s="346"/>
    </row>
    <row r="25" spans="2:29" ht="23.25" x14ac:dyDescent="0.5">
      <c r="B25" s="219" t="s">
        <v>350</v>
      </c>
      <c r="C25" s="220">
        <f>มกราคม!C456</f>
        <v>1972</v>
      </c>
      <c r="E25" s="219" t="s">
        <v>352</v>
      </c>
      <c r="F25" s="220">
        <f>กุมภาพันธ์!C495</f>
        <v>1975.25</v>
      </c>
      <c r="H25" s="219" t="s">
        <v>354</v>
      </c>
      <c r="I25" s="220">
        <f>มีนาคม!C718</f>
        <v>2104.25</v>
      </c>
      <c r="K25" s="219" t="s">
        <v>767</v>
      </c>
      <c r="L25" s="220">
        <f>เมษายน!C612</f>
        <v>2447</v>
      </c>
      <c r="N25" s="219" t="s">
        <v>364</v>
      </c>
      <c r="O25" s="220">
        <f>พฤษภาคม!C491</f>
        <v>1952.45</v>
      </c>
      <c r="AC25" s="346"/>
    </row>
    <row r="26" spans="2:29" ht="23.25" x14ac:dyDescent="0.5">
      <c r="B26" s="219" t="s">
        <v>356</v>
      </c>
      <c r="C26" s="220">
        <f>มกราคม!C608</f>
        <v>1951.65</v>
      </c>
      <c r="E26" s="219" t="s">
        <v>356</v>
      </c>
      <c r="F26" s="220">
        <f>กุมภาพันธ์!C633</f>
        <v>1973.9</v>
      </c>
      <c r="H26" s="219" t="s">
        <v>355</v>
      </c>
      <c r="I26" s="220">
        <f>มีนาคม!C687</f>
        <v>1983.75</v>
      </c>
      <c r="K26" s="219" t="s">
        <v>355</v>
      </c>
      <c r="L26" s="220">
        <f>เมษายน!C630</f>
        <v>2078.85</v>
      </c>
      <c r="N26" s="219" t="s">
        <v>347</v>
      </c>
      <c r="O26" s="220">
        <f>พฤษภาคม!C418+พฤษภาคม!C429</f>
        <v>1792.6499999999999</v>
      </c>
    </row>
    <row r="27" spans="2:29" ht="23.25" x14ac:dyDescent="0.5">
      <c r="B27" s="219" t="s">
        <v>351</v>
      </c>
      <c r="C27" s="220">
        <f>มกราคม!C439</f>
        <v>1589.6</v>
      </c>
      <c r="E27" s="219" t="s">
        <v>543</v>
      </c>
      <c r="F27" s="220">
        <f>กุมภาพันธ์!C680</f>
        <v>1603.8</v>
      </c>
      <c r="H27" s="219" t="s">
        <v>352</v>
      </c>
      <c r="I27" s="220">
        <f>มีนาคม!C612</f>
        <v>1971.35</v>
      </c>
      <c r="K27" s="219" t="s">
        <v>349</v>
      </c>
      <c r="L27" s="220">
        <f>เมษายน!E351</f>
        <v>1994.4</v>
      </c>
      <c r="N27" s="219" t="s">
        <v>362</v>
      </c>
      <c r="O27" s="220">
        <f>พฤษภาคม!C526</f>
        <v>1771</v>
      </c>
    </row>
    <row r="28" spans="2:29" ht="23.25" x14ac:dyDescent="0.5">
      <c r="B28" s="219" t="s">
        <v>355</v>
      </c>
      <c r="C28" s="220">
        <f>มกราคม!C627</f>
        <v>1408.3400000000001</v>
      </c>
      <c r="E28" s="219" t="s">
        <v>359</v>
      </c>
      <c r="F28" s="220">
        <f>กุมภาพันธ์!C502</f>
        <v>1364.85</v>
      </c>
      <c r="H28" s="219" t="s">
        <v>675</v>
      </c>
      <c r="I28" s="220">
        <f>มีนาคม!C759</f>
        <v>1915.75</v>
      </c>
      <c r="K28" s="219" t="s">
        <v>352</v>
      </c>
      <c r="L28" s="220">
        <f>เมษายน!C521</f>
        <v>1549.5</v>
      </c>
      <c r="N28" s="219" t="s">
        <v>349</v>
      </c>
      <c r="O28" s="220">
        <f>พฤษภาคม!E340</f>
        <v>1551.2</v>
      </c>
    </row>
    <row r="29" spans="2:29" ht="23.25" x14ac:dyDescent="0.5">
      <c r="B29" s="219" t="s">
        <v>361</v>
      </c>
      <c r="C29" s="220">
        <f>มกราคม!C324</f>
        <v>1034.1500000000001</v>
      </c>
      <c r="E29" s="219" t="s">
        <v>351</v>
      </c>
      <c r="F29" s="220">
        <f>กุมภาพันธ์!C390</f>
        <v>1222.25</v>
      </c>
      <c r="H29" s="219" t="s">
        <v>359</v>
      </c>
      <c r="I29" s="220">
        <f>มีนาคม!C618</f>
        <v>1438.6499999999999</v>
      </c>
      <c r="K29" s="219" t="s">
        <v>367</v>
      </c>
      <c r="L29" s="220">
        <f>เมษายน!C619</f>
        <v>1463.25</v>
      </c>
      <c r="N29" s="219" t="s">
        <v>352</v>
      </c>
      <c r="O29" s="220">
        <f>พฤษภาคม!C497</f>
        <v>1028.9000000000001</v>
      </c>
    </row>
    <row r="30" spans="2:29" ht="23.25" x14ac:dyDescent="0.5">
      <c r="B30" s="219" t="s">
        <v>353</v>
      </c>
      <c r="C30" s="220">
        <f>มกราคม!C603</f>
        <v>1026.5</v>
      </c>
      <c r="E30" s="219" t="s">
        <v>577</v>
      </c>
      <c r="F30" s="220">
        <f>กุมภาพันธ์!F643</f>
        <v>1076.3999999999999</v>
      </c>
      <c r="H30" s="219" t="s">
        <v>361</v>
      </c>
      <c r="I30" s="220">
        <f>มีนาคม!C379</f>
        <v>1043.3499999999999</v>
      </c>
      <c r="K30" s="219" t="s">
        <v>359</v>
      </c>
      <c r="L30" s="220">
        <f>เมษายน!C527</f>
        <v>1387.8</v>
      </c>
      <c r="N30" s="219" t="s">
        <v>844</v>
      </c>
      <c r="O30" s="220">
        <f>พฤษภาคม!E682</f>
        <v>994.73849999999993</v>
      </c>
    </row>
    <row r="31" spans="2:29" ht="23.25" x14ac:dyDescent="0.5">
      <c r="B31" s="338" t="s">
        <v>367</v>
      </c>
      <c r="C31" s="220">
        <f>มกราคม!C708</f>
        <v>492.2</v>
      </c>
      <c r="E31" s="219" t="s">
        <v>361</v>
      </c>
      <c r="F31" s="220">
        <f>กุมภาพันธ์!C276</f>
        <v>1043.25</v>
      </c>
      <c r="H31" s="219" t="s">
        <v>667</v>
      </c>
      <c r="I31" s="220">
        <f>มีนาคม!C638</f>
        <v>1025.6500000000001</v>
      </c>
      <c r="K31" s="219" t="s">
        <v>339</v>
      </c>
      <c r="L31" s="220">
        <f>เมษายน!F499</f>
        <v>994.68000000000006</v>
      </c>
      <c r="N31" s="219" t="s">
        <v>355</v>
      </c>
      <c r="O31" s="220">
        <f>พฤษภาคม!C610</f>
        <v>940.6</v>
      </c>
    </row>
    <row r="32" spans="2:29" ht="23.25" x14ac:dyDescent="0.5">
      <c r="B32" s="219" t="s">
        <v>362</v>
      </c>
      <c r="C32" s="220">
        <f>มกราคม!C559</f>
        <v>460.75</v>
      </c>
      <c r="E32" s="219" t="s">
        <v>357</v>
      </c>
      <c r="F32" s="220">
        <f>กุมภาพันธ์!C667</f>
        <v>1015.9000000000001</v>
      </c>
      <c r="H32" s="219" t="s">
        <v>364</v>
      </c>
      <c r="I32" s="220">
        <f>มีนาคม!C524</f>
        <v>972.7</v>
      </c>
      <c r="K32" s="338" t="s">
        <v>769</v>
      </c>
      <c r="L32" s="220">
        <f>เมษายน!C663</f>
        <v>974.34999999999991</v>
      </c>
      <c r="N32" s="219" t="s">
        <v>569</v>
      </c>
      <c r="O32" s="220">
        <f>พฤษภาคม!F442</f>
        <v>825</v>
      </c>
    </row>
    <row r="33" spans="2:15" ht="23.25" x14ac:dyDescent="0.5">
      <c r="B33" s="219" t="s">
        <v>366</v>
      </c>
      <c r="C33" s="220">
        <f>มกราคม!C522</f>
        <v>390.35</v>
      </c>
      <c r="E33" s="219" t="s">
        <v>355</v>
      </c>
      <c r="F33" s="220">
        <f>กุมภาพันธ์!C672</f>
        <v>994.4</v>
      </c>
      <c r="H33" s="219" t="s">
        <v>580</v>
      </c>
      <c r="I33" s="220">
        <f>มีนาคม!C692</f>
        <v>812.6</v>
      </c>
      <c r="K33" s="338" t="s">
        <v>772</v>
      </c>
      <c r="L33" s="220">
        <f>เมษายน!C681</f>
        <v>969.5</v>
      </c>
      <c r="N33" s="338" t="s">
        <v>847</v>
      </c>
      <c r="O33" s="349">
        <f>พฤษภาคม!E701</f>
        <v>663</v>
      </c>
    </row>
    <row r="34" spans="2:15" ht="23.25" x14ac:dyDescent="0.5">
      <c r="B34" s="219" t="s">
        <v>368</v>
      </c>
      <c r="C34" s="220">
        <f>มกราคม!C641</f>
        <v>386.6</v>
      </c>
      <c r="E34" s="219" t="s">
        <v>358</v>
      </c>
      <c r="F34" s="220">
        <f>กุมภาพันธ์!F535</f>
        <v>713.01420000000007</v>
      </c>
      <c r="H34" s="219" t="s">
        <v>571</v>
      </c>
      <c r="I34" s="220">
        <f>มีนาคม!C643</f>
        <v>712.6</v>
      </c>
      <c r="K34" s="219" t="s">
        <v>575</v>
      </c>
      <c r="L34" s="220">
        <f>เมษายน!C601</f>
        <v>967.96</v>
      </c>
      <c r="N34" s="219" t="s">
        <v>672</v>
      </c>
      <c r="O34" s="220">
        <f>พฤษภาคม!E653</f>
        <v>621</v>
      </c>
    </row>
    <row r="35" spans="2:15" ht="23.25" x14ac:dyDescent="0.5">
      <c r="B35" s="219" t="s">
        <v>363</v>
      </c>
      <c r="C35" s="220">
        <f>มกราคม!F503</f>
        <v>364.8</v>
      </c>
      <c r="E35" s="219" t="s">
        <v>364</v>
      </c>
      <c r="F35" s="220">
        <f>กุมภาพันธ์!C468</f>
        <v>702.1</v>
      </c>
      <c r="H35" s="219" t="s">
        <v>581</v>
      </c>
      <c r="I35" s="220">
        <f>มีนาคม!C724</f>
        <v>647.25</v>
      </c>
      <c r="K35" s="219" t="s">
        <v>667</v>
      </c>
      <c r="L35" s="220">
        <f>เมษายน!C565</f>
        <v>876.75</v>
      </c>
      <c r="N35" s="219" t="s">
        <v>368</v>
      </c>
      <c r="O35" s="220">
        <f>พฤษภาคม!C632</f>
        <v>589.45000000000005</v>
      </c>
    </row>
    <row r="36" spans="2:15" ht="23.25" x14ac:dyDescent="0.5">
      <c r="B36" s="219" t="s">
        <v>365</v>
      </c>
      <c r="C36" s="220">
        <f>มกราคม!C620</f>
        <v>286.14999999999998</v>
      </c>
      <c r="E36" s="219" t="s">
        <v>365</v>
      </c>
      <c r="F36" s="220">
        <f>กุมภาพันธ์!C686</f>
        <v>604.70000000000005</v>
      </c>
      <c r="H36" s="219" t="s">
        <v>672</v>
      </c>
      <c r="I36" s="220">
        <f>มีนาคม!E743</f>
        <v>621</v>
      </c>
      <c r="K36" s="219" t="s">
        <v>351</v>
      </c>
      <c r="L36" s="220">
        <f>เมษายน!C448</f>
        <v>766.44999999999993</v>
      </c>
      <c r="N36" s="219" t="s">
        <v>360</v>
      </c>
      <c r="O36" s="220">
        <f>พฤษภาคม!F625</f>
        <v>502.29999999999995</v>
      </c>
    </row>
    <row r="37" spans="2:15" ht="23.25" x14ac:dyDescent="0.5">
      <c r="B37" s="219" t="s">
        <v>372</v>
      </c>
      <c r="C37" s="220">
        <f>มกราคม!C664</f>
        <v>252.45</v>
      </c>
      <c r="E37" s="219" t="s">
        <v>582</v>
      </c>
      <c r="F37" s="220">
        <f>กุมภาพันธ์!C735</f>
        <v>590.79999999999995</v>
      </c>
      <c r="H37" s="219" t="s">
        <v>362</v>
      </c>
      <c r="I37" s="220">
        <f>มีนาคม!C628</f>
        <v>506.65</v>
      </c>
      <c r="K37" s="219" t="s">
        <v>574</v>
      </c>
      <c r="L37" s="220">
        <f>เมษายน!E596</f>
        <v>600</v>
      </c>
      <c r="N37" s="219" t="s">
        <v>578</v>
      </c>
      <c r="O37" s="220">
        <f>พฤษภาคม!C600</f>
        <v>492.65</v>
      </c>
    </row>
    <row r="38" spans="2:15" ht="23.25" x14ac:dyDescent="0.5">
      <c r="B38" s="219" t="s">
        <v>360</v>
      </c>
      <c r="C38" s="220">
        <f>มกราคม!F634</f>
        <v>251.14999999999998</v>
      </c>
      <c r="E38" s="219" t="s">
        <v>360</v>
      </c>
      <c r="F38" s="220">
        <f>กุมภาพันธ์!F703</f>
        <v>502.29999999999995</v>
      </c>
      <c r="H38" s="219" t="s">
        <v>367</v>
      </c>
      <c r="I38" s="220">
        <f>มีนาคม!C676</f>
        <v>455</v>
      </c>
      <c r="K38" s="219" t="s">
        <v>572</v>
      </c>
      <c r="L38" s="220">
        <f>เมษายน!E588</f>
        <v>598</v>
      </c>
      <c r="N38" s="219" t="s">
        <v>776</v>
      </c>
      <c r="O38" s="220">
        <f>พฤษภาคม!F675</f>
        <v>331.4</v>
      </c>
    </row>
    <row r="39" spans="2:15" ht="23.25" x14ac:dyDescent="0.5">
      <c r="B39" s="219" t="s">
        <v>369</v>
      </c>
      <c r="C39" s="220">
        <f>มกราคม!E690</f>
        <v>248.39999999999998</v>
      </c>
      <c r="E39" s="219" t="s">
        <v>578</v>
      </c>
      <c r="F39" s="220">
        <f>กุมภาพันธ์!C654</f>
        <v>495.5</v>
      </c>
      <c r="H39" s="219" t="s">
        <v>351</v>
      </c>
      <c r="I39" s="220">
        <f>มีนาคม!C499</f>
        <v>452.79999999999995</v>
      </c>
      <c r="K39" s="219" t="s">
        <v>364</v>
      </c>
      <c r="L39" s="220">
        <f>เมษายน!C509</f>
        <v>434.8</v>
      </c>
      <c r="N39" s="219" t="s">
        <v>771</v>
      </c>
      <c r="O39" s="220">
        <f>พฤษภาคม!E666</f>
        <v>331.2</v>
      </c>
    </row>
    <row r="40" spans="2:15" ht="23.25" x14ac:dyDescent="0.5">
      <c r="B40" s="219" t="s">
        <v>357</v>
      </c>
      <c r="C40" s="220">
        <f>มกราคม!E615</f>
        <v>248.39999999999998</v>
      </c>
      <c r="E40" s="219" t="s">
        <v>363</v>
      </c>
      <c r="F40" s="220">
        <f>กุมภาพันธ์!F482</f>
        <v>364.8</v>
      </c>
      <c r="H40" s="219" t="s">
        <v>573</v>
      </c>
      <c r="I40" s="220">
        <f>มีนาคม!E650</f>
        <v>315.2</v>
      </c>
      <c r="K40" s="219" t="s">
        <v>776</v>
      </c>
      <c r="L40" s="220">
        <f>เมษายน!F709</f>
        <v>331.4</v>
      </c>
      <c r="N40" s="219" t="s">
        <v>547</v>
      </c>
      <c r="O40" s="220">
        <f>พฤษภาคม!C605</f>
        <v>324.5</v>
      </c>
    </row>
    <row r="41" spans="2:15" ht="23.25" x14ac:dyDescent="0.5">
      <c r="B41" s="219" t="s">
        <v>370</v>
      </c>
      <c r="C41" s="220">
        <f>มกราคม!F658</f>
        <v>194.64</v>
      </c>
      <c r="E41" s="219" t="s">
        <v>572</v>
      </c>
      <c r="F41" s="220">
        <f>กุมภาพันธ์!E600</f>
        <v>358.8</v>
      </c>
      <c r="H41" s="219" t="s">
        <v>365</v>
      </c>
      <c r="I41" s="220">
        <f>มีนาคม!C681</f>
        <v>297.39999999999998</v>
      </c>
      <c r="K41" s="338" t="s">
        <v>771</v>
      </c>
      <c r="L41" s="220">
        <f>เมษายน!E675</f>
        <v>331.2</v>
      </c>
      <c r="N41" s="219" t="s">
        <v>574</v>
      </c>
      <c r="O41" s="220">
        <f>พฤษภาคม!E585</f>
        <v>320</v>
      </c>
    </row>
    <row r="42" spans="2:15" ht="23.25" x14ac:dyDescent="0.5">
      <c r="B42" s="219" t="s">
        <v>373</v>
      </c>
      <c r="C42" s="220">
        <f>มกราคม!C676</f>
        <v>190.7</v>
      </c>
      <c r="E42" s="338" t="s">
        <v>581</v>
      </c>
      <c r="F42" s="220">
        <f>กุมภาพันธ์!C728</f>
        <v>355.85</v>
      </c>
      <c r="H42" s="219" t="s">
        <v>360</v>
      </c>
      <c r="I42" s="220">
        <f>มีนาคม!F699</f>
        <v>251.14999999999998</v>
      </c>
      <c r="K42" s="219" t="s">
        <v>770</v>
      </c>
      <c r="L42" s="220">
        <f>เมษายน!C668</f>
        <v>313.5</v>
      </c>
      <c r="N42" s="219" t="s">
        <v>369</v>
      </c>
      <c r="O42" s="220">
        <f>พฤษภาคม!E639</f>
        <v>248.39999999999998</v>
      </c>
    </row>
    <row r="43" spans="2:15" ht="23.25" x14ac:dyDescent="0.5">
      <c r="B43" s="219" t="s">
        <v>374</v>
      </c>
      <c r="C43" s="220">
        <f>มกราคม!E683</f>
        <v>165.79999999999998</v>
      </c>
      <c r="E43" s="219" t="s">
        <v>568</v>
      </c>
      <c r="F43" s="220">
        <f>กุมภาพันธ์!C249</f>
        <v>296.35000000000002</v>
      </c>
      <c r="H43" s="219" t="s">
        <v>579</v>
      </c>
      <c r="I43" s="220">
        <f>มีนาคม!E671</f>
        <v>248.39999999999998</v>
      </c>
      <c r="K43" s="219" t="s">
        <v>365</v>
      </c>
      <c r="L43" s="220">
        <f>เมษายน!C624</f>
        <v>299.39999999999998</v>
      </c>
      <c r="N43" s="219" t="s">
        <v>845</v>
      </c>
      <c r="O43" s="220">
        <f>พฤษภาคม!C686</f>
        <v>207.9</v>
      </c>
    </row>
    <row r="44" spans="2:15" ht="23.25" x14ac:dyDescent="0.5">
      <c r="B44" s="219" t="s">
        <v>358</v>
      </c>
      <c r="C44" s="220">
        <f>มกราคม!F549</f>
        <v>87</v>
      </c>
      <c r="E44" s="219" t="s">
        <v>346</v>
      </c>
      <c r="F44" s="220">
        <f>กุมภาพันธ์!C473</f>
        <v>288.39999999999998</v>
      </c>
      <c r="H44" s="219" t="s">
        <v>674</v>
      </c>
      <c r="I44" s="220">
        <f>มีนาคม!C753</f>
        <v>206</v>
      </c>
      <c r="K44" s="219" t="s">
        <v>363</v>
      </c>
      <c r="L44" s="220">
        <f>เมษายน!C514</f>
        <v>284</v>
      </c>
      <c r="N44" s="219" t="s">
        <v>351</v>
      </c>
      <c r="O44" s="220">
        <f>พฤษภาคม!C434</f>
        <v>192.9</v>
      </c>
    </row>
    <row r="45" spans="2:15" ht="23.25" x14ac:dyDescent="0.5">
      <c r="B45" s="219" t="s">
        <v>375</v>
      </c>
      <c r="C45" s="220">
        <f>มกราคม!C696</f>
        <v>85.7</v>
      </c>
      <c r="E45" s="219" t="s">
        <v>547</v>
      </c>
      <c r="F45" s="220">
        <f>กุมภาพันธ์!C691</f>
        <v>288.14999999999998</v>
      </c>
      <c r="H45" s="219" t="s">
        <v>363</v>
      </c>
      <c r="I45" s="220">
        <f>มีนาคม!F600</f>
        <v>204.28800000000001</v>
      </c>
      <c r="K45" s="338" t="s">
        <v>774</v>
      </c>
      <c r="L45" s="220">
        <f>เมษายน!E693</f>
        <v>260.82</v>
      </c>
      <c r="N45" s="219" t="s">
        <v>842</v>
      </c>
      <c r="O45" s="220">
        <f>พฤษภาคม!C511</f>
        <v>187.65</v>
      </c>
    </row>
    <row r="46" spans="2:15" ht="23.25" x14ac:dyDescent="0.5">
      <c r="B46" s="219" t="s">
        <v>371</v>
      </c>
      <c r="C46" s="220">
        <f>มกราคม!E671</f>
        <v>62.099999999999994</v>
      </c>
      <c r="E46" s="219" t="s">
        <v>579</v>
      </c>
      <c r="F46" s="220">
        <f>กุมภาพันธ์!E661</f>
        <v>248.39999999999998</v>
      </c>
      <c r="H46" s="338" t="s">
        <v>671</v>
      </c>
      <c r="I46" s="220">
        <f>มีนาคม!C736</f>
        <v>203.75</v>
      </c>
      <c r="K46" s="338" t="s">
        <v>777</v>
      </c>
      <c r="L46" s="220">
        <f>เมษายน!F718</f>
        <v>215.39999999999998</v>
      </c>
      <c r="N46" s="338" t="s">
        <v>846</v>
      </c>
      <c r="O46" s="349">
        <f>พฤษภาคม!E694</f>
        <v>49.8</v>
      </c>
    </row>
    <row r="47" spans="2:15" ht="23.25" x14ac:dyDescent="0.5">
      <c r="B47" s="219" t="s">
        <v>376</v>
      </c>
      <c r="C47" s="220">
        <f>มกราคม!E703</f>
        <v>24.839999999999996</v>
      </c>
      <c r="E47" s="219" t="s">
        <v>574</v>
      </c>
      <c r="F47" s="220">
        <f>กุมภาพันธ์!E617</f>
        <v>200</v>
      </c>
      <c r="H47" s="338" t="s">
        <v>673</v>
      </c>
      <c r="I47" s="220">
        <f>มีนาคม!C748</f>
        <v>173.3</v>
      </c>
      <c r="K47" s="219" t="s">
        <v>570</v>
      </c>
      <c r="L47" s="220">
        <f>เมษายน!E732</f>
        <v>124.19999999999999</v>
      </c>
      <c r="N47" s="219" t="s">
        <v>376</v>
      </c>
      <c r="O47" s="220">
        <f>พฤษภาคม!E646</f>
        <v>24.839999999999996</v>
      </c>
    </row>
    <row r="48" spans="2:15" ht="23.25" x14ac:dyDescent="0.5">
      <c r="B48" s="218" t="s">
        <v>15</v>
      </c>
      <c r="C48" s="222">
        <f>SUM(C3:C47)</f>
        <v>558941.06199999992</v>
      </c>
      <c r="E48" s="219" t="s">
        <v>580</v>
      </c>
      <c r="F48" s="220">
        <f>กุมภาพันธ์!C696</f>
        <v>185.85</v>
      </c>
      <c r="H48" s="338" t="s">
        <v>670</v>
      </c>
      <c r="I48" s="220">
        <f>มีนาคม!E731</f>
        <v>170.5</v>
      </c>
      <c r="K48" s="219" t="s">
        <v>775</v>
      </c>
      <c r="L48" s="220">
        <f>เมษายน!E700</f>
        <v>124.19999999999999</v>
      </c>
      <c r="N48" s="219" t="s">
        <v>843</v>
      </c>
      <c r="O48" s="220">
        <f>พฤษภาคม!E617</f>
        <v>12.419999999999998</v>
      </c>
    </row>
    <row r="49" spans="5:15" ht="23.25" x14ac:dyDescent="0.5">
      <c r="E49" s="219" t="s">
        <v>573</v>
      </c>
      <c r="F49" s="220">
        <f>กุมภาพันธ์!E608</f>
        <v>157.6</v>
      </c>
      <c r="H49" s="219" t="s">
        <v>668</v>
      </c>
      <c r="I49" s="220">
        <f>มีนาคม!C705</f>
        <v>165.1</v>
      </c>
      <c r="K49" s="338" t="s">
        <v>778</v>
      </c>
      <c r="L49" s="220">
        <f>เมษายน!E725</f>
        <v>124.19999999999999</v>
      </c>
      <c r="N49" s="218" t="s">
        <v>15</v>
      </c>
      <c r="O49" s="222">
        <f>SUM(O3:O48)</f>
        <v>645959.59849999996</v>
      </c>
    </row>
    <row r="50" spans="5:15" ht="23.25" x14ac:dyDescent="0.5">
      <c r="E50" s="219" t="s">
        <v>570</v>
      </c>
      <c r="F50" s="220">
        <f>กุมภาพันธ์!E511</f>
        <v>124.19999999999999</v>
      </c>
      <c r="H50" s="219" t="s">
        <v>669</v>
      </c>
      <c r="I50" s="220">
        <f>มีนาคม!E712</f>
        <v>124.19999999999999</v>
      </c>
      <c r="K50" s="219" t="s">
        <v>768</v>
      </c>
      <c r="L50" s="220">
        <f>เมษายน!E637</f>
        <v>24.599999999999998</v>
      </c>
    </row>
    <row r="51" spans="5:15" ht="23.25" x14ac:dyDescent="0.5">
      <c r="E51" s="219" t="s">
        <v>370</v>
      </c>
      <c r="F51" s="220">
        <f>กุมภาพันธ์!F722</f>
        <v>117.9</v>
      </c>
      <c r="H51" s="219" t="s">
        <v>676</v>
      </c>
      <c r="I51" s="220">
        <f>มีนาคม!E766</f>
        <v>24.839999999999996</v>
      </c>
      <c r="K51" s="218" t="s">
        <v>15</v>
      </c>
      <c r="L51" s="222">
        <f>SUM(L3:L50)</f>
        <v>720476.77</v>
      </c>
    </row>
    <row r="52" spans="5:15" ht="23.25" x14ac:dyDescent="0.5">
      <c r="E52" s="218" t="s">
        <v>15</v>
      </c>
      <c r="F52" s="222">
        <f>SUM(F3:F51)</f>
        <v>561976.65220000036</v>
      </c>
      <c r="H52" s="218" t="s">
        <v>15</v>
      </c>
      <c r="I52" s="222">
        <f>SUM(I3:I51)</f>
        <v>653338.81279999996</v>
      </c>
    </row>
    <row r="53" spans="5:15" x14ac:dyDescent="0.3">
      <c r="I53" s="186"/>
    </row>
  </sheetData>
  <autoFilter ref="N2:O2" xr:uid="{80FA1BD8-9CA5-4089-ACBD-AFBF5C1E5B8C}">
    <sortState xmlns:xlrd2="http://schemas.microsoft.com/office/spreadsheetml/2017/richdata2" ref="N3:O52">
      <sortCondition descending="1" ref="O2"/>
    </sortState>
  </autoFilter>
  <mergeCells count="5">
    <mergeCell ref="B1:C1"/>
    <mergeCell ref="E1:F1"/>
    <mergeCell ref="H1:I1"/>
    <mergeCell ref="K1:L1"/>
    <mergeCell ref="N1:O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2DE0-BF7C-4176-8560-2D3BCBB43363}">
  <dimension ref="A1:K777"/>
  <sheetViews>
    <sheetView topLeftCell="A265" zoomScaleNormal="100" workbookViewId="0">
      <selection activeCell="H272" sqref="H272"/>
    </sheetView>
  </sheetViews>
  <sheetFormatPr defaultRowHeight="16.5" x14ac:dyDescent="0.3"/>
  <cols>
    <col min="1" max="1" width="5.875" customWidth="1"/>
    <col min="2" max="2" width="39.75" customWidth="1"/>
    <col min="3" max="3" width="9.625" customWidth="1"/>
    <col min="4" max="4" width="7.75" customWidth="1"/>
    <col min="5" max="5" width="11.375" customWidth="1"/>
    <col min="6" max="6" width="7.75" customWidth="1"/>
    <col min="7" max="7" width="9.625" customWidth="1"/>
  </cols>
  <sheetData>
    <row r="1" spans="1:9" ht="23.25" x14ac:dyDescent="0.5">
      <c r="A1" s="363" t="s">
        <v>0</v>
      </c>
      <c r="B1" s="364"/>
      <c r="C1" s="364"/>
      <c r="D1" s="364"/>
      <c r="E1" s="364"/>
      <c r="F1" s="364"/>
      <c r="G1" s="364"/>
    </row>
    <row r="2" spans="1:9" ht="23.25" x14ac:dyDescent="0.3">
      <c r="A2" s="359" t="s">
        <v>1</v>
      </c>
      <c r="B2" s="365"/>
      <c r="C2" s="365"/>
      <c r="D2" s="365"/>
      <c r="E2" s="365"/>
      <c r="F2" s="365"/>
      <c r="G2" s="365"/>
    </row>
    <row r="3" spans="1:9" ht="18" customHeight="1" x14ac:dyDescent="0.3">
      <c r="A3" s="1" t="s">
        <v>2</v>
      </c>
      <c r="B3" s="2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2" t="s">
        <v>8</v>
      </c>
    </row>
    <row r="4" spans="1:9" ht="18" customHeight="1" x14ac:dyDescent="0.4">
      <c r="A4" s="4" t="s">
        <v>587</v>
      </c>
      <c r="B4" s="5" t="s">
        <v>9</v>
      </c>
      <c r="C4" s="6">
        <v>495.6</v>
      </c>
      <c r="D4" s="7">
        <v>52</v>
      </c>
      <c r="E4" s="37">
        <f t="shared" ref="E4:E59" si="0">+C4*D4</f>
        <v>25771.200000000001</v>
      </c>
      <c r="F4" s="8">
        <f t="shared" ref="F4:F59" si="1">+E4*7%</f>
        <v>1803.9840000000002</v>
      </c>
      <c r="G4" s="8">
        <f t="shared" ref="G4:G59" si="2">+E4+F4</f>
        <v>27575.184000000001</v>
      </c>
      <c r="I4">
        <v>6903025</v>
      </c>
    </row>
    <row r="5" spans="1:9" ht="18" customHeight="1" x14ac:dyDescent="0.4">
      <c r="A5" s="4" t="s">
        <v>588</v>
      </c>
      <c r="B5" s="5" t="s">
        <v>504</v>
      </c>
      <c r="C5" s="6">
        <v>995.5</v>
      </c>
      <c r="D5" s="7">
        <v>52</v>
      </c>
      <c r="E5" s="37">
        <f t="shared" si="0"/>
        <v>51766</v>
      </c>
      <c r="F5" s="8">
        <f t="shared" si="1"/>
        <v>3623.6200000000003</v>
      </c>
      <c r="G5" s="8">
        <f t="shared" si="2"/>
        <v>55389.62</v>
      </c>
      <c r="I5">
        <v>6903267</v>
      </c>
    </row>
    <row r="6" spans="1:9" ht="18" customHeight="1" x14ac:dyDescent="0.4">
      <c r="A6" s="4" t="s">
        <v>587</v>
      </c>
      <c r="B6" s="5" t="s">
        <v>10</v>
      </c>
      <c r="C6" s="6">
        <v>4799.09</v>
      </c>
      <c r="D6" s="7">
        <v>52</v>
      </c>
      <c r="E6" s="37">
        <f t="shared" si="0"/>
        <v>249552.68</v>
      </c>
      <c r="F6" s="8">
        <f t="shared" si="1"/>
        <v>17468.687600000001</v>
      </c>
      <c r="G6" s="8">
        <f t="shared" si="2"/>
        <v>267021.3676</v>
      </c>
      <c r="I6">
        <v>6903026</v>
      </c>
    </row>
    <row r="7" spans="1:9" ht="18" customHeight="1" x14ac:dyDescent="0.4">
      <c r="A7" s="4" t="s">
        <v>589</v>
      </c>
      <c r="B7" s="5" t="s">
        <v>10</v>
      </c>
      <c r="C7" s="9">
        <v>4793.1400000000003</v>
      </c>
      <c r="D7" s="10">
        <v>52</v>
      </c>
      <c r="E7" s="37">
        <f t="shared" si="0"/>
        <v>249243.28000000003</v>
      </c>
      <c r="F7" s="8">
        <f t="shared" si="1"/>
        <v>17447.029600000005</v>
      </c>
      <c r="G7" s="8">
        <f t="shared" si="2"/>
        <v>266690.30960000004</v>
      </c>
      <c r="I7">
        <v>6903055</v>
      </c>
    </row>
    <row r="8" spans="1:9" ht="18" customHeight="1" x14ac:dyDescent="0.4">
      <c r="A8" s="4" t="s">
        <v>590</v>
      </c>
      <c r="B8" s="5" t="s">
        <v>10</v>
      </c>
      <c r="C8" s="6">
        <v>4788.1540000000005</v>
      </c>
      <c r="D8" s="7">
        <v>52</v>
      </c>
      <c r="E8" s="37">
        <f t="shared" si="0"/>
        <v>248984.00800000003</v>
      </c>
      <c r="F8" s="8">
        <f t="shared" si="1"/>
        <v>17428.880560000005</v>
      </c>
      <c r="G8" s="8">
        <f t="shared" si="2"/>
        <v>266412.88856000005</v>
      </c>
      <c r="I8">
        <v>6903077</v>
      </c>
    </row>
    <row r="9" spans="1:9" ht="18" customHeight="1" x14ac:dyDescent="0.4">
      <c r="A9" s="4" t="s">
        <v>591</v>
      </c>
      <c r="B9" s="5" t="s">
        <v>10</v>
      </c>
      <c r="C9" s="6">
        <v>4778.45</v>
      </c>
      <c r="D9" s="7">
        <v>52</v>
      </c>
      <c r="E9" s="37">
        <f t="shared" si="0"/>
        <v>248479.4</v>
      </c>
      <c r="F9" s="8">
        <f t="shared" si="1"/>
        <v>17393.558000000001</v>
      </c>
      <c r="G9" s="8">
        <f t="shared" si="2"/>
        <v>265872.95799999998</v>
      </c>
      <c r="I9">
        <v>6903113</v>
      </c>
    </row>
    <row r="10" spans="1:9" ht="18" customHeight="1" x14ac:dyDescent="0.4">
      <c r="A10" s="4" t="s">
        <v>592</v>
      </c>
      <c r="B10" s="5" t="s">
        <v>10</v>
      </c>
      <c r="C10" s="6">
        <v>4605.08</v>
      </c>
      <c r="D10" s="7">
        <v>52</v>
      </c>
      <c r="E10" s="37">
        <f t="shared" si="0"/>
        <v>239464.16</v>
      </c>
      <c r="F10" s="8">
        <f t="shared" si="1"/>
        <v>16762.4912</v>
      </c>
      <c r="G10" s="8">
        <f t="shared" si="2"/>
        <v>256226.65119999999</v>
      </c>
      <c r="I10">
        <v>6903128</v>
      </c>
    </row>
    <row r="11" spans="1:9" ht="18" customHeight="1" x14ac:dyDescent="0.4">
      <c r="A11" s="4" t="s">
        <v>593</v>
      </c>
      <c r="B11" s="5" t="s">
        <v>10</v>
      </c>
      <c r="C11" s="6">
        <v>4780.34</v>
      </c>
      <c r="D11" s="7">
        <v>52</v>
      </c>
      <c r="E11" s="37">
        <f t="shared" si="0"/>
        <v>248577.68</v>
      </c>
      <c r="F11" s="8">
        <f t="shared" si="1"/>
        <v>17400.437600000001</v>
      </c>
      <c r="G11" s="8">
        <f t="shared" si="2"/>
        <v>265978.1176</v>
      </c>
      <c r="I11">
        <v>6903168</v>
      </c>
    </row>
    <row r="12" spans="1:9" ht="18" customHeight="1" x14ac:dyDescent="0.4">
      <c r="A12" s="4" t="s">
        <v>595</v>
      </c>
      <c r="B12" s="5" t="s">
        <v>10</v>
      </c>
      <c r="C12" s="6">
        <v>4786.5600000000004</v>
      </c>
      <c r="D12" s="7">
        <v>52</v>
      </c>
      <c r="E12" s="37">
        <f>+C12*D12</f>
        <v>248901.12000000002</v>
      </c>
      <c r="F12" s="8">
        <f>+E12*7%</f>
        <v>17423.078400000002</v>
      </c>
      <c r="G12" s="8">
        <f>+E12+F12</f>
        <v>266324.19840000005</v>
      </c>
      <c r="I12">
        <v>6903185</v>
      </c>
    </row>
    <row r="13" spans="1:9" ht="18" customHeight="1" x14ac:dyDescent="0.4">
      <c r="A13" s="4" t="s">
        <v>594</v>
      </c>
      <c r="B13" s="5" t="s">
        <v>10</v>
      </c>
      <c r="C13" s="6">
        <v>4795.28</v>
      </c>
      <c r="D13" s="7">
        <v>52</v>
      </c>
      <c r="E13" s="37">
        <f t="shared" si="0"/>
        <v>249354.56</v>
      </c>
      <c r="F13" s="8">
        <f t="shared" si="1"/>
        <v>17454.819200000002</v>
      </c>
      <c r="G13" s="8">
        <f t="shared" si="2"/>
        <v>266809.37920000002</v>
      </c>
      <c r="I13">
        <v>6903191</v>
      </c>
    </row>
    <row r="14" spans="1:9" ht="18" customHeight="1" x14ac:dyDescent="0.4">
      <c r="A14" s="4" t="s">
        <v>596</v>
      </c>
      <c r="B14" s="5" t="s">
        <v>10</v>
      </c>
      <c r="C14" s="6">
        <v>4794.7700000000004</v>
      </c>
      <c r="D14" s="7">
        <v>52</v>
      </c>
      <c r="E14" s="37">
        <f t="shared" si="0"/>
        <v>249328.04000000004</v>
      </c>
      <c r="F14" s="8">
        <f t="shared" si="1"/>
        <v>17452.962800000005</v>
      </c>
      <c r="G14" s="8">
        <f t="shared" si="2"/>
        <v>266781.00280000002</v>
      </c>
      <c r="I14">
        <v>6903204</v>
      </c>
    </row>
    <row r="15" spans="1:9" ht="18" customHeight="1" x14ac:dyDescent="0.4">
      <c r="A15" s="4" t="s">
        <v>597</v>
      </c>
      <c r="B15" s="5" t="s">
        <v>10</v>
      </c>
      <c r="C15" s="6">
        <v>4785.1400000000003</v>
      </c>
      <c r="D15" s="7">
        <v>52</v>
      </c>
      <c r="E15" s="37">
        <f t="shared" si="0"/>
        <v>248827.28000000003</v>
      </c>
      <c r="F15" s="8">
        <f t="shared" si="1"/>
        <v>17417.909600000003</v>
      </c>
      <c r="G15" s="8">
        <f t="shared" si="2"/>
        <v>266245.18960000004</v>
      </c>
      <c r="I15">
        <v>6903212</v>
      </c>
    </row>
    <row r="16" spans="1:9" ht="18" customHeight="1" x14ac:dyDescent="0.4">
      <c r="A16" s="4" t="s">
        <v>599</v>
      </c>
      <c r="B16" s="5" t="s">
        <v>10</v>
      </c>
      <c r="C16" s="6">
        <v>4797.99</v>
      </c>
      <c r="D16" s="7">
        <v>52</v>
      </c>
      <c r="E16" s="37">
        <f>+C16*D16</f>
        <v>249495.47999999998</v>
      </c>
      <c r="F16" s="8">
        <f>+E16*7%</f>
        <v>17464.6836</v>
      </c>
      <c r="G16" s="8">
        <f>+E16+F16</f>
        <v>266960.16359999997</v>
      </c>
      <c r="I16">
        <v>6903237</v>
      </c>
    </row>
    <row r="17" spans="1:9" ht="18" customHeight="1" x14ac:dyDescent="0.4">
      <c r="A17" s="4" t="s">
        <v>598</v>
      </c>
      <c r="B17" s="5" t="s">
        <v>10</v>
      </c>
      <c r="C17" s="6">
        <v>3666.55</v>
      </c>
      <c r="D17" s="7">
        <v>52</v>
      </c>
      <c r="E17" s="37">
        <f t="shared" si="0"/>
        <v>190660.6</v>
      </c>
      <c r="F17" s="8">
        <f t="shared" si="1"/>
        <v>13346.242000000002</v>
      </c>
      <c r="G17" s="8">
        <f t="shared" si="2"/>
        <v>204006.842</v>
      </c>
      <c r="I17">
        <v>6903249</v>
      </c>
    </row>
    <row r="18" spans="1:9" ht="18" customHeight="1" x14ac:dyDescent="0.4">
      <c r="A18" s="4" t="s">
        <v>588</v>
      </c>
      <c r="B18" s="5" t="s">
        <v>10</v>
      </c>
      <c r="C18" s="6">
        <v>4050.61</v>
      </c>
      <c r="D18" s="7">
        <v>52</v>
      </c>
      <c r="E18" s="37">
        <f t="shared" si="0"/>
        <v>210631.72</v>
      </c>
      <c r="F18" s="8">
        <f t="shared" si="1"/>
        <v>14744.220400000002</v>
      </c>
      <c r="G18" s="8">
        <f t="shared" si="2"/>
        <v>225375.94039999999</v>
      </c>
      <c r="I18">
        <v>6903266</v>
      </c>
    </row>
    <row r="19" spans="1:9" ht="18" customHeight="1" x14ac:dyDescent="0.4">
      <c r="A19" s="4" t="s">
        <v>600</v>
      </c>
      <c r="B19" s="5" t="s">
        <v>10</v>
      </c>
      <c r="C19" s="6">
        <v>4781.16</v>
      </c>
      <c r="D19" s="7">
        <v>52</v>
      </c>
      <c r="E19" s="37">
        <f t="shared" si="0"/>
        <v>248620.32</v>
      </c>
      <c r="F19" s="8">
        <f t="shared" si="1"/>
        <v>17403.422400000003</v>
      </c>
      <c r="G19" s="8">
        <f t="shared" si="2"/>
        <v>266023.74239999999</v>
      </c>
      <c r="I19">
        <v>6903272</v>
      </c>
    </row>
    <row r="20" spans="1:9" ht="18" customHeight="1" x14ac:dyDescent="0.4">
      <c r="A20" s="4" t="s">
        <v>601</v>
      </c>
      <c r="B20" s="5" t="s">
        <v>10</v>
      </c>
      <c r="C20" s="6">
        <v>4780.6099999999997</v>
      </c>
      <c r="D20" s="7">
        <v>52</v>
      </c>
      <c r="E20" s="37">
        <f t="shared" si="0"/>
        <v>248591.71999999997</v>
      </c>
      <c r="F20" s="8">
        <f t="shared" si="1"/>
        <v>17401.420399999999</v>
      </c>
      <c r="G20" s="8">
        <f t="shared" si="2"/>
        <v>265993.14039999997</v>
      </c>
      <c r="I20">
        <v>6903289</v>
      </c>
    </row>
    <row r="21" spans="1:9" ht="18" customHeight="1" x14ac:dyDescent="0.4">
      <c r="A21" s="4" t="s">
        <v>602</v>
      </c>
      <c r="B21" s="5" t="s">
        <v>10</v>
      </c>
      <c r="C21" s="6">
        <v>4787.0200000000004</v>
      </c>
      <c r="D21" s="7">
        <v>52</v>
      </c>
      <c r="E21" s="37">
        <f t="shared" si="0"/>
        <v>248925.04000000004</v>
      </c>
      <c r="F21" s="8">
        <f t="shared" si="1"/>
        <v>17424.752800000006</v>
      </c>
      <c r="G21" s="8">
        <f t="shared" si="2"/>
        <v>266349.79280000005</v>
      </c>
      <c r="I21">
        <v>6903306</v>
      </c>
    </row>
    <row r="22" spans="1:9" ht="18" customHeight="1" x14ac:dyDescent="0.4">
      <c r="A22" s="4" t="s">
        <v>605</v>
      </c>
      <c r="B22" s="5" t="s">
        <v>10</v>
      </c>
      <c r="C22" s="6">
        <v>2228.42</v>
      </c>
      <c r="D22" s="7">
        <v>52</v>
      </c>
      <c r="E22" s="37">
        <f>+C22*D22</f>
        <v>115877.84</v>
      </c>
      <c r="F22" s="8">
        <f>+E22*7%</f>
        <v>8111.4488000000001</v>
      </c>
      <c r="G22" s="8">
        <f>+E22+F22</f>
        <v>123989.28879999999</v>
      </c>
      <c r="I22">
        <v>6903356</v>
      </c>
    </row>
    <row r="23" spans="1:9" ht="18" customHeight="1" x14ac:dyDescent="0.4">
      <c r="A23" s="4" t="s">
        <v>605</v>
      </c>
      <c r="B23" s="5" t="s">
        <v>10</v>
      </c>
      <c r="C23" s="6">
        <v>2549.44</v>
      </c>
      <c r="D23" s="7">
        <v>52</v>
      </c>
      <c r="E23" s="37">
        <f>+C23*D23</f>
        <v>132570.88</v>
      </c>
      <c r="F23" s="8">
        <f>+E23*7%</f>
        <v>9279.9616000000005</v>
      </c>
      <c r="G23" s="8">
        <f>+E23+F23</f>
        <v>141850.84160000001</v>
      </c>
      <c r="I23">
        <v>6903357</v>
      </c>
    </row>
    <row r="24" spans="1:9" ht="18" customHeight="1" x14ac:dyDescent="0.4">
      <c r="A24" s="4" t="s">
        <v>604</v>
      </c>
      <c r="B24" s="5" t="s">
        <v>10</v>
      </c>
      <c r="C24" s="6">
        <v>4781.55</v>
      </c>
      <c r="D24" s="7">
        <v>52</v>
      </c>
      <c r="E24" s="37">
        <f>+C24*D24</f>
        <v>248640.6</v>
      </c>
      <c r="F24" s="8">
        <f>+E24*7%</f>
        <v>17404.842000000001</v>
      </c>
      <c r="G24" s="8">
        <f>+E24+F24</f>
        <v>266045.44199999998</v>
      </c>
      <c r="I24">
        <v>6903364</v>
      </c>
    </row>
    <row r="25" spans="1:9" ht="18" customHeight="1" x14ac:dyDescent="0.4">
      <c r="A25" s="4" t="s">
        <v>603</v>
      </c>
      <c r="B25" s="5" t="s">
        <v>10</v>
      </c>
      <c r="C25" s="6">
        <v>4775.25</v>
      </c>
      <c r="D25" s="7">
        <v>57</v>
      </c>
      <c r="E25" s="37">
        <f t="shared" si="0"/>
        <v>272189.25</v>
      </c>
      <c r="F25" s="8">
        <f t="shared" si="1"/>
        <v>19053.247500000001</v>
      </c>
      <c r="G25" s="8">
        <f t="shared" si="2"/>
        <v>291242.4975</v>
      </c>
      <c r="I25">
        <v>6903380</v>
      </c>
    </row>
    <row r="26" spans="1:9" ht="18" customHeight="1" x14ac:dyDescent="0.4">
      <c r="A26" s="4" t="s">
        <v>606</v>
      </c>
      <c r="B26" s="275" t="s">
        <v>607</v>
      </c>
      <c r="C26" s="333">
        <v>1491.65</v>
      </c>
      <c r="D26" s="334">
        <v>68</v>
      </c>
      <c r="E26" s="37">
        <f t="shared" si="0"/>
        <v>101432.20000000001</v>
      </c>
      <c r="F26" s="8">
        <f t="shared" si="1"/>
        <v>7100.2540000000017</v>
      </c>
      <c r="G26" s="8">
        <f t="shared" si="2"/>
        <v>108532.45400000001</v>
      </c>
      <c r="I26">
        <v>6903095</v>
      </c>
    </row>
    <row r="27" spans="1:9" ht="18" customHeight="1" x14ac:dyDescent="0.4">
      <c r="A27" s="4" t="s">
        <v>593</v>
      </c>
      <c r="B27" s="275" t="s">
        <v>607</v>
      </c>
      <c r="C27" s="333">
        <v>1496.2</v>
      </c>
      <c r="D27" s="334">
        <v>68</v>
      </c>
      <c r="E27" s="37">
        <f>+C27*D27</f>
        <v>101741.6</v>
      </c>
      <c r="F27" s="8">
        <f>+E27*7%</f>
        <v>7121.9120000000012</v>
      </c>
      <c r="G27" s="8">
        <f>+E27+F27</f>
        <v>108863.512</v>
      </c>
      <c r="I27">
        <v>6903170</v>
      </c>
    </row>
    <row r="28" spans="1:9" ht="18" customHeight="1" x14ac:dyDescent="0.4">
      <c r="A28" s="4" t="s">
        <v>608</v>
      </c>
      <c r="B28" s="275" t="s">
        <v>664</v>
      </c>
      <c r="C28" s="333">
        <v>1497</v>
      </c>
      <c r="D28" s="334">
        <v>68</v>
      </c>
      <c r="E28" s="37">
        <f t="shared" si="0"/>
        <v>101796</v>
      </c>
      <c r="F28" s="8">
        <f t="shared" si="1"/>
        <v>7125.72</v>
      </c>
      <c r="G28" s="8">
        <f t="shared" si="2"/>
        <v>108921.72</v>
      </c>
      <c r="I28">
        <v>6903030</v>
      </c>
    </row>
    <row r="29" spans="1:9" ht="18" customHeight="1" x14ac:dyDescent="0.4">
      <c r="A29" s="4" t="s">
        <v>601</v>
      </c>
      <c r="B29" s="275" t="s">
        <v>664</v>
      </c>
      <c r="C29" s="333">
        <v>1482.15</v>
      </c>
      <c r="D29" s="334">
        <v>68</v>
      </c>
      <c r="E29" s="37">
        <f>+C29*D29</f>
        <v>100786.20000000001</v>
      </c>
      <c r="F29" s="8">
        <f>+E29*7%</f>
        <v>7055.0340000000015</v>
      </c>
      <c r="G29" s="8">
        <f>+E29+F29</f>
        <v>107841.23400000001</v>
      </c>
      <c r="I29">
        <v>6903290</v>
      </c>
    </row>
    <row r="30" spans="1:9" ht="18" customHeight="1" x14ac:dyDescent="0.4">
      <c r="A30" s="4" t="s">
        <v>608</v>
      </c>
      <c r="B30" s="275" t="s">
        <v>146</v>
      </c>
      <c r="C30" s="333">
        <v>1476.75</v>
      </c>
      <c r="D30" s="334">
        <v>68</v>
      </c>
      <c r="E30" s="37">
        <f t="shared" si="0"/>
        <v>100419</v>
      </c>
      <c r="F30" s="8">
        <f t="shared" si="1"/>
        <v>7029.3300000000008</v>
      </c>
      <c r="G30" s="8">
        <f t="shared" si="2"/>
        <v>107448.33</v>
      </c>
      <c r="I30">
        <v>6903031</v>
      </c>
    </row>
    <row r="31" spans="1:9" ht="18" customHeight="1" x14ac:dyDescent="0.4">
      <c r="A31" s="4" t="s">
        <v>591</v>
      </c>
      <c r="B31" s="275" t="s">
        <v>146</v>
      </c>
      <c r="C31" s="333">
        <v>1481.9</v>
      </c>
      <c r="D31" s="334">
        <v>68</v>
      </c>
      <c r="E31" s="37">
        <f t="shared" si="0"/>
        <v>100769.20000000001</v>
      </c>
      <c r="F31" s="8">
        <f t="shared" si="1"/>
        <v>7053.8440000000019</v>
      </c>
      <c r="G31" s="8">
        <f t="shared" si="2"/>
        <v>107823.04400000001</v>
      </c>
      <c r="I31">
        <v>6903114</v>
      </c>
    </row>
    <row r="32" spans="1:9" ht="18" customHeight="1" x14ac:dyDescent="0.4">
      <c r="A32" s="4" t="s">
        <v>609</v>
      </c>
      <c r="B32" s="275" t="s">
        <v>146</v>
      </c>
      <c r="C32" s="333">
        <v>1488.95</v>
      </c>
      <c r="D32" s="334">
        <v>68</v>
      </c>
      <c r="E32" s="37">
        <f t="shared" si="0"/>
        <v>101248.6</v>
      </c>
      <c r="F32" s="8">
        <f t="shared" si="1"/>
        <v>7087.402000000001</v>
      </c>
      <c r="G32" s="8">
        <f t="shared" si="2"/>
        <v>108336.00200000001</v>
      </c>
      <c r="I32">
        <v>6903154</v>
      </c>
    </row>
    <row r="33" spans="1:9" ht="18" customHeight="1" x14ac:dyDescent="0.4">
      <c r="A33" s="4" t="s">
        <v>594</v>
      </c>
      <c r="B33" s="275" t="s">
        <v>146</v>
      </c>
      <c r="C33" s="333">
        <v>1493.15</v>
      </c>
      <c r="D33" s="334">
        <v>68</v>
      </c>
      <c r="E33" s="37">
        <f t="shared" si="0"/>
        <v>101534.20000000001</v>
      </c>
      <c r="F33" s="8">
        <f t="shared" si="1"/>
        <v>7107.3940000000011</v>
      </c>
      <c r="G33" s="8">
        <f t="shared" si="2"/>
        <v>108641.59400000001</v>
      </c>
      <c r="I33">
        <v>6903192</v>
      </c>
    </row>
    <row r="34" spans="1:9" ht="18" customHeight="1" x14ac:dyDescent="0.4">
      <c r="A34" s="4" t="s">
        <v>599</v>
      </c>
      <c r="B34" s="275" t="s">
        <v>146</v>
      </c>
      <c r="C34" s="333">
        <v>1494.7</v>
      </c>
      <c r="D34" s="334">
        <v>68</v>
      </c>
      <c r="E34" s="37">
        <f t="shared" si="0"/>
        <v>101639.6</v>
      </c>
      <c r="F34" s="8">
        <f t="shared" si="1"/>
        <v>7114.7720000000008</v>
      </c>
      <c r="G34" s="8">
        <f t="shared" si="2"/>
        <v>108754.372</v>
      </c>
      <c r="I34">
        <v>6903238</v>
      </c>
    </row>
    <row r="35" spans="1:9" ht="18" customHeight="1" x14ac:dyDescent="0.4">
      <c r="A35" s="4" t="s">
        <v>588</v>
      </c>
      <c r="B35" s="275" t="s">
        <v>146</v>
      </c>
      <c r="C35" s="333">
        <v>1468.1</v>
      </c>
      <c r="D35" s="334">
        <v>68</v>
      </c>
      <c r="E35" s="37">
        <f t="shared" si="0"/>
        <v>99830.799999999988</v>
      </c>
      <c r="F35" s="8">
        <f t="shared" si="1"/>
        <v>6988.1559999999999</v>
      </c>
      <c r="G35" s="8">
        <f t="shared" si="2"/>
        <v>106818.95599999999</v>
      </c>
      <c r="I35">
        <v>6903265</v>
      </c>
    </row>
    <row r="36" spans="1:9" ht="18" customHeight="1" x14ac:dyDescent="0.4">
      <c r="A36" s="4" t="s">
        <v>600</v>
      </c>
      <c r="B36" s="275" t="s">
        <v>146</v>
      </c>
      <c r="C36" s="333">
        <v>1470.4</v>
      </c>
      <c r="D36" s="334">
        <v>68</v>
      </c>
      <c r="E36" s="37">
        <f t="shared" si="0"/>
        <v>99987.200000000012</v>
      </c>
      <c r="F36" s="8">
        <f t="shared" si="1"/>
        <v>6999.1040000000012</v>
      </c>
      <c r="G36" s="8">
        <f t="shared" si="2"/>
        <v>106986.30400000002</v>
      </c>
      <c r="I36">
        <v>6903273</v>
      </c>
    </row>
    <row r="37" spans="1:9" ht="18" customHeight="1" x14ac:dyDescent="0.4">
      <c r="A37" s="4" t="s">
        <v>610</v>
      </c>
      <c r="B37" s="275" t="s">
        <v>146</v>
      </c>
      <c r="C37" s="333">
        <v>1494.8</v>
      </c>
      <c r="D37" s="334">
        <v>68</v>
      </c>
      <c r="E37" s="37">
        <f t="shared" si="0"/>
        <v>101646.39999999999</v>
      </c>
      <c r="F37" s="8">
        <f t="shared" si="1"/>
        <v>7115.2480000000005</v>
      </c>
      <c r="G37" s="8">
        <f t="shared" si="2"/>
        <v>108761.648</v>
      </c>
      <c r="I37">
        <v>6903353</v>
      </c>
    </row>
    <row r="38" spans="1:9" ht="18" customHeight="1" x14ac:dyDescent="0.4">
      <c r="A38" s="4" t="s">
        <v>604</v>
      </c>
      <c r="B38" s="275" t="s">
        <v>146</v>
      </c>
      <c r="C38" s="333">
        <v>1488.5</v>
      </c>
      <c r="D38" s="334">
        <v>68</v>
      </c>
      <c r="E38" s="37">
        <f t="shared" si="0"/>
        <v>101218</v>
      </c>
      <c r="F38" s="8">
        <f t="shared" si="1"/>
        <v>7085.2600000000011</v>
      </c>
      <c r="G38" s="8">
        <f t="shared" si="2"/>
        <v>108303.26</v>
      </c>
      <c r="I38">
        <v>6903365</v>
      </c>
    </row>
    <row r="39" spans="1:9" ht="18" customHeight="1" x14ac:dyDescent="0.4">
      <c r="A39" s="4" t="s">
        <v>612</v>
      </c>
      <c r="B39" s="275" t="s">
        <v>482</v>
      </c>
      <c r="C39" s="333">
        <v>487.6</v>
      </c>
      <c r="D39" s="334">
        <v>68</v>
      </c>
      <c r="E39" s="37">
        <f t="shared" si="0"/>
        <v>33156.800000000003</v>
      </c>
      <c r="F39" s="8">
        <f t="shared" si="1"/>
        <v>2320.9760000000006</v>
      </c>
      <c r="G39" s="8">
        <f t="shared" si="2"/>
        <v>35477.776000000005</v>
      </c>
      <c r="I39">
        <v>6903327</v>
      </c>
    </row>
    <row r="40" spans="1:9" ht="18" customHeight="1" x14ac:dyDescent="0.4">
      <c r="A40" s="11" t="s">
        <v>589</v>
      </c>
      <c r="B40" s="275" t="s">
        <v>11</v>
      </c>
      <c r="C40" s="333">
        <v>1494.45</v>
      </c>
      <c r="D40" s="334">
        <v>68</v>
      </c>
      <c r="E40" s="37">
        <f t="shared" si="0"/>
        <v>101622.6</v>
      </c>
      <c r="F40" s="8">
        <f t="shared" si="1"/>
        <v>7113.5820000000012</v>
      </c>
      <c r="G40" s="8">
        <f t="shared" si="2"/>
        <v>108736.182</v>
      </c>
      <c r="I40">
        <v>6903057</v>
      </c>
    </row>
    <row r="41" spans="1:9" ht="18" customHeight="1" x14ac:dyDescent="0.4">
      <c r="A41" s="4" t="s">
        <v>592</v>
      </c>
      <c r="B41" s="275" t="s">
        <v>11</v>
      </c>
      <c r="C41" s="335">
        <v>1483.55</v>
      </c>
      <c r="D41" s="336">
        <v>68</v>
      </c>
      <c r="E41" s="37">
        <f t="shared" si="0"/>
        <v>100881.4</v>
      </c>
      <c r="F41" s="8">
        <f t="shared" si="1"/>
        <v>7061.6980000000003</v>
      </c>
      <c r="G41" s="8">
        <f t="shared" si="2"/>
        <v>107943.098</v>
      </c>
      <c r="I41">
        <v>6903129</v>
      </c>
    </row>
    <row r="42" spans="1:9" ht="18" customHeight="1" x14ac:dyDescent="0.4">
      <c r="A42" s="4" t="s">
        <v>597</v>
      </c>
      <c r="B42" s="275" t="s">
        <v>11</v>
      </c>
      <c r="C42" s="335">
        <v>1489.05</v>
      </c>
      <c r="D42" s="336">
        <v>68</v>
      </c>
      <c r="E42" s="37">
        <f t="shared" si="0"/>
        <v>101255.4</v>
      </c>
      <c r="F42" s="8">
        <f t="shared" si="1"/>
        <v>7087.8780000000006</v>
      </c>
      <c r="G42" s="8">
        <f t="shared" si="2"/>
        <v>108343.27799999999</v>
      </c>
      <c r="I42">
        <v>6903214</v>
      </c>
    </row>
    <row r="43" spans="1:9" ht="18" customHeight="1" x14ac:dyDescent="0.4">
      <c r="A43" s="4" t="s">
        <v>602</v>
      </c>
      <c r="B43" s="275" t="s">
        <v>11</v>
      </c>
      <c r="C43" s="335">
        <v>1530.8</v>
      </c>
      <c r="D43" s="336">
        <v>68</v>
      </c>
      <c r="E43" s="37">
        <f t="shared" si="0"/>
        <v>104094.39999999999</v>
      </c>
      <c r="F43" s="8">
        <f t="shared" si="1"/>
        <v>7286.6080000000002</v>
      </c>
      <c r="G43" s="8">
        <f t="shared" si="2"/>
        <v>111381.008</v>
      </c>
      <c r="I43">
        <v>6903307</v>
      </c>
    </row>
    <row r="44" spans="1:9" ht="18" customHeight="1" x14ac:dyDescent="0.4">
      <c r="A44" s="12" t="s">
        <v>606</v>
      </c>
      <c r="B44" s="275" t="s">
        <v>236</v>
      </c>
      <c r="C44" s="335">
        <v>685.85</v>
      </c>
      <c r="D44" s="336">
        <v>68</v>
      </c>
      <c r="E44" s="37">
        <f t="shared" si="0"/>
        <v>46637.8</v>
      </c>
      <c r="F44" s="8">
        <f t="shared" si="1"/>
        <v>3264.6460000000006</v>
      </c>
      <c r="G44" s="8">
        <f t="shared" si="2"/>
        <v>49902.446000000004</v>
      </c>
      <c r="I44">
        <v>6903094</v>
      </c>
    </row>
    <row r="45" spans="1:9" ht="18" customHeight="1" x14ac:dyDescent="0.4">
      <c r="A45" s="12" t="s">
        <v>602</v>
      </c>
      <c r="B45" s="275" t="s">
        <v>236</v>
      </c>
      <c r="C45" s="335">
        <v>5.85</v>
      </c>
      <c r="D45" s="336">
        <v>68</v>
      </c>
      <c r="E45" s="37">
        <f t="shared" si="0"/>
        <v>397.79999999999995</v>
      </c>
      <c r="F45" s="8">
        <f t="shared" si="1"/>
        <v>27.846</v>
      </c>
      <c r="G45" s="8">
        <f t="shared" si="2"/>
        <v>425.64599999999996</v>
      </c>
      <c r="I45">
        <v>6903323</v>
      </c>
    </row>
    <row r="46" spans="1:9" ht="18" customHeight="1" x14ac:dyDescent="0.4">
      <c r="A46" s="12" t="s">
        <v>602</v>
      </c>
      <c r="B46" s="275" t="s">
        <v>236</v>
      </c>
      <c r="C46" s="335">
        <v>14.15</v>
      </c>
      <c r="D46" s="336">
        <v>68</v>
      </c>
      <c r="E46" s="37">
        <f t="shared" si="0"/>
        <v>962.2</v>
      </c>
      <c r="F46" s="8">
        <f t="shared" si="1"/>
        <v>67.354000000000013</v>
      </c>
      <c r="G46" s="8">
        <f t="shared" si="2"/>
        <v>1029.5540000000001</v>
      </c>
      <c r="I46">
        <v>6903309</v>
      </c>
    </row>
    <row r="47" spans="1:9" ht="18" customHeight="1" x14ac:dyDescent="0.4">
      <c r="A47" s="12" t="s">
        <v>589</v>
      </c>
      <c r="B47" s="275" t="s">
        <v>12</v>
      </c>
      <c r="C47" s="335">
        <v>696.85</v>
      </c>
      <c r="D47" s="336">
        <v>68</v>
      </c>
      <c r="E47" s="37">
        <f t="shared" si="0"/>
        <v>47385.8</v>
      </c>
      <c r="F47" s="8">
        <f t="shared" si="1"/>
        <v>3317.0060000000003</v>
      </c>
      <c r="G47" s="8">
        <f t="shared" si="2"/>
        <v>50702.806000000004</v>
      </c>
      <c r="I47">
        <v>6903056</v>
      </c>
    </row>
    <row r="48" spans="1:9" ht="18" customHeight="1" x14ac:dyDescent="0.4">
      <c r="A48" s="12" t="s">
        <v>602</v>
      </c>
      <c r="B48" s="275" t="s">
        <v>190</v>
      </c>
      <c r="C48" s="335">
        <v>255.95</v>
      </c>
      <c r="D48" s="336">
        <v>68</v>
      </c>
      <c r="E48" s="37">
        <f t="shared" si="0"/>
        <v>17404.599999999999</v>
      </c>
      <c r="F48" s="8">
        <f t="shared" si="1"/>
        <v>1218.3220000000001</v>
      </c>
      <c r="G48" s="8">
        <f t="shared" si="2"/>
        <v>18622.921999999999</v>
      </c>
      <c r="I48">
        <v>6903308</v>
      </c>
    </row>
    <row r="49" spans="1:9" ht="18" customHeight="1" x14ac:dyDescent="0.4">
      <c r="A49" s="12" t="s">
        <v>613</v>
      </c>
      <c r="B49" s="275" t="s">
        <v>147</v>
      </c>
      <c r="C49" s="335">
        <v>486.85</v>
      </c>
      <c r="D49" s="336">
        <v>68</v>
      </c>
      <c r="E49" s="37">
        <f t="shared" si="0"/>
        <v>33105.800000000003</v>
      </c>
      <c r="F49" s="8">
        <f t="shared" si="1"/>
        <v>2317.4060000000004</v>
      </c>
      <c r="G49" s="8">
        <f t="shared" si="2"/>
        <v>35423.206000000006</v>
      </c>
      <c r="I49">
        <v>6903006</v>
      </c>
    </row>
    <row r="50" spans="1:9" ht="18" customHeight="1" x14ac:dyDescent="0.4">
      <c r="A50" s="12" t="s">
        <v>589</v>
      </c>
      <c r="B50" s="275" t="s">
        <v>147</v>
      </c>
      <c r="C50" s="335">
        <v>491.6</v>
      </c>
      <c r="D50" s="336">
        <v>68</v>
      </c>
      <c r="E50" s="37">
        <f t="shared" si="0"/>
        <v>33428.800000000003</v>
      </c>
      <c r="F50" s="8">
        <f t="shared" si="1"/>
        <v>2340.0160000000005</v>
      </c>
      <c r="G50" s="8">
        <f t="shared" si="2"/>
        <v>35768.816000000006</v>
      </c>
      <c r="I50">
        <v>6903059</v>
      </c>
    </row>
    <row r="51" spans="1:9" ht="18" customHeight="1" x14ac:dyDescent="0.4">
      <c r="A51" s="12" t="s">
        <v>608</v>
      </c>
      <c r="B51" s="275" t="s">
        <v>614</v>
      </c>
      <c r="C51" s="335">
        <v>499.95</v>
      </c>
      <c r="D51" s="336">
        <v>68</v>
      </c>
      <c r="E51" s="37">
        <f t="shared" si="0"/>
        <v>33996.6</v>
      </c>
      <c r="F51" s="8">
        <f t="shared" si="1"/>
        <v>2379.7620000000002</v>
      </c>
      <c r="G51" s="8">
        <f t="shared" si="2"/>
        <v>36376.362000000001</v>
      </c>
      <c r="I51">
        <v>6903032</v>
      </c>
    </row>
    <row r="52" spans="1:9" ht="18" customHeight="1" x14ac:dyDescent="0.4">
      <c r="A52" s="12" t="s">
        <v>589</v>
      </c>
      <c r="B52" s="275" t="s">
        <v>228</v>
      </c>
      <c r="C52" s="335">
        <v>495.9</v>
      </c>
      <c r="D52" s="336">
        <v>68</v>
      </c>
      <c r="E52" s="37">
        <f t="shared" si="0"/>
        <v>33721.199999999997</v>
      </c>
      <c r="F52" s="8">
        <f t="shared" si="1"/>
        <v>2360.4839999999999</v>
      </c>
      <c r="G52" s="8">
        <f t="shared" si="2"/>
        <v>36081.683999999994</v>
      </c>
      <c r="I52">
        <v>6903058</v>
      </c>
    </row>
    <row r="53" spans="1:9" ht="18" customHeight="1" x14ac:dyDescent="0.4">
      <c r="A53" s="12" t="s">
        <v>608</v>
      </c>
      <c r="B53" s="275" t="s">
        <v>226</v>
      </c>
      <c r="C53" s="335">
        <v>497</v>
      </c>
      <c r="D53" s="336">
        <v>68</v>
      </c>
      <c r="E53" s="37">
        <f t="shared" si="0"/>
        <v>33796</v>
      </c>
      <c r="F53" s="8">
        <f t="shared" si="1"/>
        <v>2365.7200000000003</v>
      </c>
      <c r="G53" s="8">
        <f t="shared" si="2"/>
        <v>36161.72</v>
      </c>
      <c r="I53">
        <v>6903034</v>
      </c>
    </row>
    <row r="54" spans="1:9" ht="18" customHeight="1" x14ac:dyDescent="0.4">
      <c r="A54" s="12" t="s">
        <v>612</v>
      </c>
      <c r="B54" s="275" t="s">
        <v>615</v>
      </c>
      <c r="C54" s="335">
        <v>493.9</v>
      </c>
      <c r="D54" s="336">
        <v>68</v>
      </c>
      <c r="E54" s="37">
        <f t="shared" si="0"/>
        <v>33585.199999999997</v>
      </c>
      <c r="F54" s="8">
        <f t="shared" si="1"/>
        <v>2350.9639999999999</v>
      </c>
      <c r="G54" s="8">
        <f t="shared" si="2"/>
        <v>35936.163999999997</v>
      </c>
      <c r="I54">
        <v>6903328</v>
      </c>
    </row>
    <row r="55" spans="1:9" ht="18" customHeight="1" x14ac:dyDescent="0.4">
      <c r="A55" s="4" t="s">
        <v>608</v>
      </c>
      <c r="B55" s="275" t="s">
        <v>611</v>
      </c>
      <c r="C55" s="333">
        <v>1481.1</v>
      </c>
      <c r="D55" s="334">
        <v>68</v>
      </c>
      <c r="E55" s="37">
        <f>+C55*D55</f>
        <v>100714.79999999999</v>
      </c>
      <c r="F55" s="8">
        <f>+E55*7%</f>
        <v>7050.0360000000001</v>
      </c>
      <c r="G55" s="8">
        <f>+E55+F55</f>
        <v>107764.83599999998</v>
      </c>
      <c r="I55">
        <v>6903033</v>
      </c>
    </row>
    <row r="56" spans="1:9" ht="18" customHeight="1" x14ac:dyDescent="0.4">
      <c r="A56" s="4" t="s">
        <v>601</v>
      </c>
      <c r="B56" s="275" t="s">
        <v>611</v>
      </c>
      <c r="C56" s="333">
        <v>499.45</v>
      </c>
      <c r="D56" s="334">
        <v>68</v>
      </c>
      <c r="E56" s="37">
        <f>+C56*D56</f>
        <v>33962.6</v>
      </c>
      <c r="F56" s="8">
        <f>+E56*7%</f>
        <v>2377.3820000000001</v>
      </c>
      <c r="G56" s="8">
        <f>+E56+F56</f>
        <v>36339.981999999996</v>
      </c>
      <c r="I56">
        <v>6903292</v>
      </c>
    </row>
    <row r="57" spans="1:9" ht="18" customHeight="1" x14ac:dyDescent="0.4">
      <c r="A57" s="4" t="s">
        <v>602</v>
      </c>
      <c r="B57" s="275" t="s">
        <v>13</v>
      </c>
      <c r="C57" s="335">
        <v>987.55</v>
      </c>
      <c r="D57" s="336">
        <v>68</v>
      </c>
      <c r="E57" s="37">
        <f t="shared" si="0"/>
        <v>67153.399999999994</v>
      </c>
      <c r="F57" s="15">
        <f t="shared" si="1"/>
        <v>4700.7380000000003</v>
      </c>
      <c r="G57" s="15">
        <f t="shared" si="2"/>
        <v>71854.137999999992</v>
      </c>
      <c r="I57">
        <v>6903310</v>
      </c>
    </row>
    <row r="58" spans="1:9" ht="18" customHeight="1" x14ac:dyDescent="0.4">
      <c r="A58" s="4" t="s">
        <v>592</v>
      </c>
      <c r="B58" s="275" t="s">
        <v>214</v>
      </c>
      <c r="C58" s="335">
        <v>977.75</v>
      </c>
      <c r="D58" s="336">
        <v>68</v>
      </c>
      <c r="E58" s="37">
        <f t="shared" si="0"/>
        <v>66487</v>
      </c>
      <c r="F58" s="15">
        <f t="shared" si="1"/>
        <v>4654.09</v>
      </c>
      <c r="G58" s="15">
        <f t="shared" si="2"/>
        <v>71141.09</v>
      </c>
      <c r="I58">
        <v>6903130</v>
      </c>
    </row>
    <row r="59" spans="1:9" ht="18" customHeight="1" x14ac:dyDescent="0.4">
      <c r="A59" s="4" t="s">
        <v>590</v>
      </c>
      <c r="B59" s="275" t="s">
        <v>158</v>
      </c>
      <c r="C59" s="335">
        <v>499.9</v>
      </c>
      <c r="D59" s="336">
        <v>68</v>
      </c>
      <c r="E59" s="37">
        <f t="shared" si="0"/>
        <v>33993.199999999997</v>
      </c>
      <c r="F59" s="15">
        <f t="shared" si="1"/>
        <v>2379.5239999999999</v>
      </c>
      <c r="G59" s="15">
        <f t="shared" si="2"/>
        <v>36372.723999999995</v>
      </c>
      <c r="I59">
        <v>6903078</v>
      </c>
    </row>
    <row r="60" spans="1:9" ht="18" customHeight="1" x14ac:dyDescent="0.4">
      <c r="A60" s="4" t="s">
        <v>613</v>
      </c>
      <c r="B60" s="275" t="s">
        <v>153</v>
      </c>
      <c r="C60" s="335">
        <v>1484.57</v>
      </c>
      <c r="D60" s="336">
        <v>68</v>
      </c>
      <c r="E60" s="37">
        <f t="shared" ref="E60:E63" si="3">+C60*D60</f>
        <v>100950.76</v>
      </c>
      <c r="F60" s="15">
        <f t="shared" ref="F60:F63" si="4">+E60*7%</f>
        <v>7066.5532000000003</v>
      </c>
      <c r="G60" s="15">
        <f t="shared" ref="G60:G63" si="5">+E60+F60</f>
        <v>108017.31319999999</v>
      </c>
      <c r="I60">
        <v>6903005</v>
      </c>
    </row>
    <row r="61" spans="1:9" ht="18" customHeight="1" x14ac:dyDescent="0.4">
      <c r="A61" s="4" t="s">
        <v>601</v>
      </c>
      <c r="B61" s="275" t="s">
        <v>153</v>
      </c>
      <c r="C61" s="335">
        <v>979.06</v>
      </c>
      <c r="D61" s="336">
        <v>68</v>
      </c>
      <c r="E61" s="37">
        <f t="shared" si="3"/>
        <v>66576.08</v>
      </c>
      <c r="F61" s="15">
        <f t="shared" si="4"/>
        <v>4660.3256000000001</v>
      </c>
      <c r="G61" s="15">
        <f t="shared" si="5"/>
        <v>71236.405599999998</v>
      </c>
      <c r="I61">
        <v>6903291</v>
      </c>
    </row>
    <row r="62" spans="1:9" ht="18" customHeight="1" x14ac:dyDescent="0.4">
      <c r="A62" s="4" t="s">
        <v>595</v>
      </c>
      <c r="B62" s="275" t="s">
        <v>169</v>
      </c>
      <c r="C62" s="335">
        <v>491.23</v>
      </c>
      <c r="D62" s="336">
        <v>68</v>
      </c>
      <c r="E62" s="37">
        <f t="shared" si="3"/>
        <v>33403.64</v>
      </c>
      <c r="F62" s="15">
        <f t="shared" si="4"/>
        <v>2338.2548000000002</v>
      </c>
      <c r="G62" s="15">
        <f t="shared" si="5"/>
        <v>35741.894800000002</v>
      </c>
      <c r="I62">
        <v>6903186</v>
      </c>
    </row>
    <row r="63" spans="1:9" ht="18" customHeight="1" x14ac:dyDescent="0.4">
      <c r="A63" s="4" t="s">
        <v>592</v>
      </c>
      <c r="B63" s="275" t="s">
        <v>181</v>
      </c>
      <c r="C63" s="335">
        <v>478.5</v>
      </c>
      <c r="D63" s="336">
        <v>68</v>
      </c>
      <c r="E63" s="37">
        <f t="shared" si="3"/>
        <v>32538</v>
      </c>
      <c r="F63" s="15">
        <f t="shared" si="4"/>
        <v>2277.6600000000003</v>
      </c>
      <c r="G63" s="15">
        <f t="shared" si="5"/>
        <v>34815.660000000003</v>
      </c>
      <c r="I63">
        <v>6903131</v>
      </c>
    </row>
    <row r="64" spans="1:9" ht="18" customHeight="1" x14ac:dyDescent="0.4">
      <c r="A64" s="4" t="s">
        <v>590</v>
      </c>
      <c r="B64" s="330" t="s">
        <v>481</v>
      </c>
      <c r="C64" s="331">
        <v>495.25</v>
      </c>
      <c r="D64" s="332">
        <v>122</v>
      </c>
      <c r="E64" s="37">
        <f>+C64*D64</f>
        <v>60420.5</v>
      </c>
      <c r="F64" s="8">
        <f>+E64*7%</f>
        <v>4229.4350000000004</v>
      </c>
      <c r="G64" s="8">
        <f>+E64+F64</f>
        <v>64649.934999999998</v>
      </c>
      <c r="I64">
        <v>6903079</v>
      </c>
    </row>
    <row r="65" spans="1:9" ht="18" customHeight="1" x14ac:dyDescent="0.4">
      <c r="A65" s="4" t="s">
        <v>593</v>
      </c>
      <c r="B65" s="330" t="s">
        <v>481</v>
      </c>
      <c r="C65" s="331">
        <v>2980.55</v>
      </c>
      <c r="D65" s="332">
        <v>104</v>
      </c>
      <c r="E65" s="37">
        <f>+C65*D65</f>
        <v>309977.2</v>
      </c>
      <c r="F65" s="8">
        <f>+E65*7%</f>
        <v>21698.404000000002</v>
      </c>
      <c r="G65" s="8">
        <f>+E65+F65</f>
        <v>331675.60399999999</v>
      </c>
      <c r="I65">
        <v>6903169</v>
      </c>
    </row>
    <row r="66" spans="1:9" ht="18" customHeight="1" x14ac:dyDescent="0.4">
      <c r="A66" s="4" t="s">
        <v>597</v>
      </c>
      <c r="B66" s="330" t="s">
        <v>481</v>
      </c>
      <c r="C66" s="331">
        <v>999.4</v>
      </c>
      <c r="D66" s="332">
        <v>104</v>
      </c>
      <c r="E66" s="37">
        <f>+C66*D66</f>
        <v>103937.59999999999</v>
      </c>
      <c r="F66" s="8">
        <f>+E66*7%</f>
        <v>7275.6320000000005</v>
      </c>
      <c r="G66" s="8">
        <f>+E66+F66</f>
        <v>111213.23199999999</v>
      </c>
      <c r="I66">
        <v>6903213</v>
      </c>
    </row>
    <row r="67" spans="1:9" ht="18" customHeight="1" thickBot="1" x14ac:dyDescent="0.45">
      <c r="A67" s="16"/>
      <c r="B67" s="17" t="s">
        <v>15</v>
      </c>
      <c r="C67" s="18">
        <f>SUM(C4:C66)</f>
        <v>133183.56399999998</v>
      </c>
      <c r="D67" s="19"/>
      <c r="E67" s="20">
        <f>SUM(E4:E66)</f>
        <v>7804049.0379999978</v>
      </c>
      <c r="F67" s="20">
        <f>SUM(F4:F66)</f>
        <v>546283.43266000005</v>
      </c>
      <c r="G67" s="20">
        <f>SUM(G4:G66)</f>
        <v>8350332.470660001</v>
      </c>
    </row>
    <row r="68" spans="1:9" ht="18.75" customHeight="1" thickTop="1" x14ac:dyDescent="0.4">
      <c r="A68" s="21"/>
      <c r="B68" s="22"/>
      <c r="C68" s="23"/>
      <c r="D68" s="24"/>
      <c r="E68" s="23"/>
      <c r="F68" s="23"/>
      <c r="G68" s="23"/>
    </row>
    <row r="69" spans="1:9" s="26" customFormat="1" ht="23.25" x14ac:dyDescent="0.45">
      <c r="A69" s="362" t="s">
        <v>16</v>
      </c>
      <c r="B69" s="362"/>
      <c r="C69" s="362"/>
      <c r="D69" s="362"/>
      <c r="E69" s="362"/>
      <c r="F69" s="362"/>
      <c r="G69" s="362"/>
    </row>
    <row r="70" spans="1:9" s="30" customFormat="1" ht="18" customHeight="1" x14ac:dyDescent="0.5">
      <c r="A70" s="27" t="s">
        <v>2</v>
      </c>
      <c r="B70" s="28" t="s">
        <v>3</v>
      </c>
      <c r="C70" s="28" t="s">
        <v>4</v>
      </c>
      <c r="D70" s="29" t="s">
        <v>5</v>
      </c>
      <c r="E70" s="28" t="s">
        <v>6</v>
      </c>
      <c r="F70" s="28" t="s">
        <v>7</v>
      </c>
      <c r="G70" s="28" t="s">
        <v>8</v>
      </c>
    </row>
    <row r="71" spans="1:9" s="36" customFormat="1" ht="18" customHeight="1" x14ac:dyDescent="0.4">
      <c r="A71" s="31" t="s">
        <v>591</v>
      </c>
      <c r="B71" s="32" t="s">
        <v>17</v>
      </c>
      <c r="C71" s="33">
        <v>2068.4499999999998</v>
      </c>
      <c r="D71" s="34">
        <v>50.12</v>
      </c>
      <c r="E71" s="35">
        <f>+C71*D71</f>
        <v>103670.71399999999</v>
      </c>
      <c r="F71" s="35">
        <f>+E71*7%</f>
        <v>7256.9499800000003</v>
      </c>
      <c r="G71" s="35">
        <f>+E71+F71</f>
        <v>110927.66398</v>
      </c>
      <c r="I71" s="36">
        <v>6903112</v>
      </c>
    </row>
    <row r="72" spans="1:9" s="36" customFormat="1" ht="18" customHeight="1" x14ac:dyDescent="0.4">
      <c r="A72" s="16" t="s">
        <v>590</v>
      </c>
      <c r="B72" s="5" t="s">
        <v>18</v>
      </c>
      <c r="C72" s="37">
        <v>2498.35</v>
      </c>
      <c r="D72" s="38">
        <v>50.12</v>
      </c>
      <c r="E72" s="39">
        <f t="shared" ref="E72:E90" si="6">+C72*D72</f>
        <v>125217.302</v>
      </c>
      <c r="F72" s="39">
        <f t="shared" ref="F72:F90" si="7">+E72*7%</f>
        <v>8765.2111400000013</v>
      </c>
      <c r="G72" s="39">
        <f t="shared" ref="G72:G90" si="8">+E72+F72</f>
        <v>133982.51314</v>
      </c>
      <c r="I72" s="36">
        <v>6903087</v>
      </c>
    </row>
    <row r="73" spans="1:9" s="36" customFormat="1" ht="18" customHeight="1" x14ac:dyDescent="0.4">
      <c r="A73" s="16" t="s">
        <v>616</v>
      </c>
      <c r="B73" s="5" t="s">
        <v>19</v>
      </c>
      <c r="C73" s="37">
        <v>2532.35</v>
      </c>
      <c r="D73" s="38">
        <v>50.12</v>
      </c>
      <c r="E73" s="39">
        <f t="shared" si="6"/>
        <v>126921.38199999998</v>
      </c>
      <c r="F73" s="39">
        <f t="shared" si="7"/>
        <v>8884.4967400000005</v>
      </c>
      <c r="G73" s="39">
        <f t="shared" si="8"/>
        <v>135805.87873999999</v>
      </c>
      <c r="I73" s="36">
        <v>6903098</v>
      </c>
    </row>
    <row r="74" spans="1:9" ht="18" customHeight="1" x14ac:dyDescent="0.4">
      <c r="A74" s="16" t="s">
        <v>601</v>
      </c>
      <c r="B74" s="5" t="s">
        <v>19</v>
      </c>
      <c r="C74" s="37">
        <v>2485.1</v>
      </c>
      <c r="D74" s="38">
        <v>54</v>
      </c>
      <c r="E74" s="39">
        <f t="shared" si="6"/>
        <v>134195.4</v>
      </c>
      <c r="F74" s="39">
        <f t="shared" si="7"/>
        <v>9393.6779999999999</v>
      </c>
      <c r="G74" s="39">
        <f t="shared" si="8"/>
        <v>143589.07799999998</v>
      </c>
      <c r="I74" s="36">
        <v>6903300</v>
      </c>
    </row>
    <row r="75" spans="1:9" ht="18" customHeight="1" x14ac:dyDescent="0.4">
      <c r="A75" s="16" t="s">
        <v>613</v>
      </c>
      <c r="B75" s="5" t="s">
        <v>23</v>
      </c>
      <c r="C75" s="37">
        <v>4998.3500000000004</v>
      </c>
      <c r="D75" s="38">
        <v>50.12</v>
      </c>
      <c r="E75" s="39">
        <f t="shared" si="6"/>
        <v>250517.302</v>
      </c>
      <c r="F75" s="39">
        <f t="shared" si="7"/>
        <v>17536.211140000003</v>
      </c>
      <c r="G75" s="39">
        <f t="shared" si="8"/>
        <v>268053.51314</v>
      </c>
      <c r="I75">
        <v>6903019</v>
      </c>
    </row>
    <row r="76" spans="1:9" ht="18" customHeight="1" x14ac:dyDescent="0.4">
      <c r="A76" s="16" t="s">
        <v>616</v>
      </c>
      <c r="B76" s="5" t="s">
        <v>23</v>
      </c>
      <c r="C76" s="37">
        <v>3026</v>
      </c>
      <c r="D76" s="38">
        <v>50.12</v>
      </c>
      <c r="E76" s="39">
        <f t="shared" si="6"/>
        <v>151663.12</v>
      </c>
      <c r="F76" s="39">
        <f t="shared" si="7"/>
        <v>10616.4184</v>
      </c>
      <c r="G76" s="39">
        <f t="shared" si="8"/>
        <v>162279.53839999999</v>
      </c>
      <c r="I76" s="36">
        <v>6903097</v>
      </c>
    </row>
    <row r="77" spans="1:9" ht="18" customHeight="1" x14ac:dyDescent="0.4">
      <c r="A77" s="16" t="s">
        <v>606</v>
      </c>
      <c r="B77" s="5" t="s">
        <v>23</v>
      </c>
      <c r="C77" s="37">
        <v>2517.85</v>
      </c>
      <c r="D77" s="38">
        <v>50.12</v>
      </c>
      <c r="E77" s="39">
        <f t="shared" si="6"/>
        <v>126194.64199999999</v>
      </c>
      <c r="F77" s="39">
        <f t="shared" si="7"/>
        <v>8833.6249399999997</v>
      </c>
      <c r="G77" s="39">
        <f t="shared" si="8"/>
        <v>135028.26694</v>
      </c>
      <c r="I77" s="36">
        <v>6903091</v>
      </c>
    </row>
    <row r="78" spans="1:9" ht="18" customHeight="1" x14ac:dyDescent="0.4">
      <c r="A78" s="16" t="s">
        <v>609</v>
      </c>
      <c r="B78" s="5" t="s">
        <v>23</v>
      </c>
      <c r="C78" s="37">
        <v>4828.8</v>
      </c>
      <c r="D78" s="38">
        <v>50.12</v>
      </c>
      <c r="E78" s="39">
        <f t="shared" si="6"/>
        <v>242019.45600000001</v>
      </c>
      <c r="F78" s="39">
        <f t="shared" si="7"/>
        <v>16941.361920000003</v>
      </c>
      <c r="G78" s="39">
        <f t="shared" si="8"/>
        <v>258960.81792</v>
      </c>
      <c r="I78" s="36">
        <v>6903153</v>
      </c>
    </row>
    <row r="79" spans="1:9" ht="18" customHeight="1" x14ac:dyDescent="0.4">
      <c r="A79" s="16" t="s">
        <v>594</v>
      </c>
      <c r="B79" s="5" t="s">
        <v>23</v>
      </c>
      <c r="C79" s="37">
        <v>4669.3500000000004</v>
      </c>
      <c r="D79" s="38">
        <v>50.12</v>
      </c>
      <c r="E79" s="39">
        <f t="shared" si="6"/>
        <v>234027.82200000001</v>
      </c>
      <c r="F79" s="39">
        <f t="shared" si="7"/>
        <v>16381.947540000003</v>
      </c>
      <c r="G79" s="39">
        <f t="shared" si="8"/>
        <v>250409.76954000001</v>
      </c>
      <c r="I79" s="36">
        <v>6903199</v>
      </c>
    </row>
    <row r="80" spans="1:9" ht="18" customHeight="1" x14ac:dyDescent="0.4">
      <c r="A80" s="16" t="s">
        <v>602</v>
      </c>
      <c r="B80" s="5" t="s">
        <v>23</v>
      </c>
      <c r="C80" s="37">
        <v>4985.8</v>
      </c>
      <c r="D80" s="38">
        <v>54</v>
      </c>
      <c r="E80" s="39">
        <f t="shared" si="6"/>
        <v>269233.2</v>
      </c>
      <c r="F80" s="39">
        <f t="shared" si="7"/>
        <v>18846.324000000004</v>
      </c>
      <c r="G80" s="39">
        <f t="shared" si="8"/>
        <v>288079.52400000003</v>
      </c>
      <c r="I80" s="36">
        <v>6903322</v>
      </c>
    </row>
    <row r="81" spans="1:9" ht="18" customHeight="1" x14ac:dyDescent="0.4">
      <c r="A81" s="16" t="s">
        <v>612</v>
      </c>
      <c r="B81" s="5" t="s">
        <v>23</v>
      </c>
      <c r="C81" s="37">
        <v>5086.5</v>
      </c>
      <c r="D81" s="38">
        <v>54</v>
      </c>
      <c r="E81" s="39">
        <f t="shared" si="6"/>
        <v>274671</v>
      </c>
      <c r="F81" s="39">
        <f t="shared" si="7"/>
        <v>19226.97</v>
      </c>
      <c r="G81" s="39">
        <f t="shared" si="8"/>
        <v>293897.96999999997</v>
      </c>
      <c r="I81" s="36">
        <v>6903325</v>
      </c>
    </row>
    <row r="82" spans="1:9" ht="18" customHeight="1" x14ac:dyDescent="0.4">
      <c r="A82" s="16" t="s">
        <v>608</v>
      </c>
      <c r="B82" s="5" t="s">
        <v>617</v>
      </c>
      <c r="C82" s="37">
        <v>1020.45</v>
      </c>
      <c r="D82" s="38">
        <v>60.12</v>
      </c>
      <c r="E82" s="39">
        <f t="shared" si="6"/>
        <v>61349.453999999998</v>
      </c>
      <c r="F82" s="39">
        <f t="shared" si="7"/>
        <v>4294.4617800000005</v>
      </c>
      <c r="G82" s="39">
        <f t="shared" si="8"/>
        <v>65643.915779999996</v>
      </c>
      <c r="I82">
        <v>6903051</v>
      </c>
    </row>
    <row r="83" spans="1:9" ht="18" customHeight="1" x14ac:dyDescent="0.4">
      <c r="A83" s="16" t="s">
        <v>590</v>
      </c>
      <c r="B83" s="5" t="s">
        <v>618</v>
      </c>
      <c r="C83" s="37">
        <v>6148.2</v>
      </c>
      <c r="D83" s="38">
        <v>60.12</v>
      </c>
      <c r="E83" s="39">
        <f t="shared" si="6"/>
        <v>369629.78399999999</v>
      </c>
      <c r="F83" s="39">
        <f t="shared" si="7"/>
        <v>25874.084880000002</v>
      </c>
      <c r="G83" s="39">
        <f t="shared" si="8"/>
        <v>395503.86887999997</v>
      </c>
      <c r="I83">
        <v>6903086</v>
      </c>
    </row>
    <row r="84" spans="1:9" ht="18" customHeight="1" x14ac:dyDescent="0.4">
      <c r="A84" s="16" t="s">
        <v>593</v>
      </c>
      <c r="B84" s="5" t="s">
        <v>618</v>
      </c>
      <c r="C84" s="37">
        <v>6104.35</v>
      </c>
      <c r="D84" s="38">
        <v>60.12</v>
      </c>
      <c r="E84" s="39">
        <f t="shared" si="6"/>
        <v>366993.522</v>
      </c>
      <c r="F84" s="39">
        <f t="shared" si="7"/>
        <v>25689.546540000003</v>
      </c>
      <c r="G84" s="39">
        <f t="shared" si="8"/>
        <v>392683.06854000001</v>
      </c>
      <c r="I84" s="36">
        <v>6903166</v>
      </c>
    </row>
    <row r="85" spans="1:9" ht="18" customHeight="1" x14ac:dyDescent="0.4">
      <c r="A85" s="16" t="s">
        <v>598</v>
      </c>
      <c r="B85" s="5" t="s">
        <v>618</v>
      </c>
      <c r="C85" s="37">
        <v>6007.85</v>
      </c>
      <c r="D85" s="38">
        <v>64</v>
      </c>
      <c r="E85" s="39">
        <f t="shared" si="6"/>
        <v>384502.4</v>
      </c>
      <c r="F85" s="39">
        <f t="shared" si="7"/>
        <v>26915.168000000005</v>
      </c>
      <c r="G85" s="39">
        <f t="shared" si="8"/>
        <v>411417.56800000003</v>
      </c>
      <c r="I85" s="36">
        <v>6903248</v>
      </c>
    </row>
    <row r="86" spans="1:9" ht="18" customHeight="1" x14ac:dyDescent="0.4">
      <c r="A86" s="16" t="s">
        <v>610</v>
      </c>
      <c r="B86" s="5" t="s">
        <v>618</v>
      </c>
      <c r="C86" s="37">
        <v>6089.9</v>
      </c>
      <c r="D86" s="38">
        <v>64</v>
      </c>
      <c r="E86" s="39">
        <f t="shared" si="6"/>
        <v>389753.59999999998</v>
      </c>
      <c r="F86" s="39">
        <f t="shared" si="7"/>
        <v>27282.752</v>
      </c>
      <c r="G86" s="39">
        <f t="shared" si="8"/>
        <v>417036.35199999996</v>
      </c>
      <c r="I86" s="36">
        <v>6903338</v>
      </c>
    </row>
    <row r="87" spans="1:9" ht="18" customHeight="1" x14ac:dyDescent="0.4">
      <c r="A87" s="4" t="s">
        <v>591</v>
      </c>
      <c r="B87" s="5" t="s">
        <v>486</v>
      </c>
      <c r="C87" s="6">
        <v>1990.25</v>
      </c>
      <c r="D87" s="40">
        <v>60.12</v>
      </c>
      <c r="E87" s="39">
        <f t="shared" si="6"/>
        <v>119653.83</v>
      </c>
      <c r="F87" s="39">
        <f t="shared" si="7"/>
        <v>8375.7681000000011</v>
      </c>
      <c r="G87" s="39">
        <f t="shared" si="8"/>
        <v>128029.5981</v>
      </c>
      <c r="I87">
        <v>6903111</v>
      </c>
    </row>
    <row r="88" spans="1:9" ht="18" customHeight="1" x14ac:dyDescent="0.4">
      <c r="A88" s="4" t="s">
        <v>597</v>
      </c>
      <c r="B88" s="5" t="s">
        <v>486</v>
      </c>
      <c r="C88" s="6">
        <v>2261.8000000000002</v>
      </c>
      <c r="D88" s="40">
        <v>64</v>
      </c>
      <c r="E88" s="39">
        <f t="shared" si="6"/>
        <v>144755.20000000001</v>
      </c>
      <c r="F88" s="39">
        <f t="shared" si="7"/>
        <v>10132.864000000001</v>
      </c>
      <c r="G88" s="39">
        <f t="shared" si="8"/>
        <v>154888.06400000001</v>
      </c>
      <c r="I88">
        <v>6903231</v>
      </c>
    </row>
    <row r="89" spans="1:9" ht="18" customHeight="1" x14ac:dyDescent="0.4">
      <c r="A89" s="4" t="s">
        <v>604</v>
      </c>
      <c r="B89" s="5" t="s">
        <v>486</v>
      </c>
      <c r="C89" s="6">
        <v>4336.95</v>
      </c>
      <c r="D89" s="40">
        <v>64</v>
      </c>
      <c r="E89" s="39">
        <f t="shared" si="6"/>
        <v>277564.79999999999</v>
      </c>
      <c r="F89" s="39">
        <f t="shared" si="7"/>
        <v>19429.536</v>
      </c>
      <c r="G89" s="39">
        <f t="shared" si="8"/>
        <v>296994.33600000001</v>
      </c>
      <c r="I89" s="36">
        <v>6903360</v>
      </c>
    </row>
    <row r="90" spans="1:9" ht="18" customHeight="1" x14ac:dyDescent="0.4">
      <c r="A90" s="4" t="s">
        <v>601</v>
      </c>
      <c r="B90" s="5" t="s">
        <v>20</v>
      </c>
      <c r="C90" s="6">
        <v>2543.4499999999998</v>
      </c>
      <c r="D90" s="40">
        <v>54</v>
      </c>
      <c r="E90" s="39">
        <f t="shared" si="6"/>
        <v>137346.29999999999</v>
      </c>
      <c r="F90" s="39">
        <f t="shared" si="7"/>
        <v>9614.241</v>
      </c>
      <c r="G90" s="39">
        <f t="shared" si="8"/>
        <v>146960.541</v>
      </c>
      <c r="I90">
        <v>6903301</v>
      </c>
    </row>
    <row r="91" spans="1:9" ht="18" customHeight="1" thickBot="1" x14ac:dyDescent="0.45">
      <c r="A91" s="41"/>
      <c r="B91" s="42" t="s">
        <v>15</v>
      </c>
      <c r="C91" s="43">
        <f>SUM(C71:C90)</f>
        <v>76200.099999999991</v>
      </c>
      <c r="D91" s="38"/>
      <c r="E91" s="44">
        <f>SUM(E71:E90)</f>
        <v>4289880.2299999995</v>
      </c>
      <c r="F91" s="44">
        <f t="shared" ref="F91:G91" si="9">SUM(F71:F90)</f>
        <v>300291.6161000001</v>
      </c>
      <c r="G91" s="44">
        <f t="shared" si="9"/>
        <v>4590171.8460999997</v>
      </c>
    </row>
    <row r="92" spans="1:9" ht="19.5" customHeight="1" thickTop="1" x14ac:dyDescent="0.4">
      <c r="A92" s="45"/>
      <c r="B92" s="46"/>
      <c r="C92" s="47"/>
      <c r="D92" s="48"/>
      <c r="E92" s="47"/>
      <c r="F92" s="47"/>
      <c r="G92" s="47"/>
    </row>
    <row r="93" spans="1:9" s="26" customFormat="1" ht="23.25" x14ac:dyDescent="0.45">
      <c r="A93" s="362" t="s">
        <v>21</v>
      </c>
      <c r="B93" s="362"/>
      <c r="C93" s="362"/>
      <c r="D93" s="362"/>
      <c r="E93" s="362"/>
      <c r="F93" s="362"/>
      <c r="G93" s="362"/>
    </row>
    <row r="94" spans="1:9" s="26" customFormat="1" ht="18" customHeight="1" x14ac:dyDescent="0.45">
      <c r="A94" s="27" t="s">
        <v>2</v>
      </c>
      <c r="B94" s="28" t="s">
        <v>3</v>
      </c>
      <c r="C94" s="28" t="s">
        <v>4</v>
      </c>
      <c r="D94" s="29" t="s">
        <v>5</v>
      </c>
      <c r="E94" s="28" t="s">
        <v>6</v>
      </c>
      <c r="F94" s="28" t="s">
        <v>7</v>
      </c>
      <c r="G94" s="28" t="s">
        <v>8</v>
      </c>
    </row>
    <row r="95" spans="1:9" s="26" customFormat="1" ht="18" customHeight="1" x14ac:dyDescent="0.45">
      <c r="A95" s="4" t="s">
        <v>591</v>
      </c>
      <c r="B95" s="5" t="s">
        <v>22</v>
      </c>
      <c r="C95" s="49">
        <v>3038.75</v>
      </c>
      <c r="D95" s="40">
        <v>50.12</v>
      </c>
      <c r="E95" s="39">
        <f t="shared" ref="E95:E110" si="10">+C95*D95</f>
        <v>152302.15</v>
      </c>
      <c r="F95" s="39">
        <f t="shared" ref="F95:F110" si="11">+E95*7%</f>
        <v>10661.1505</v>
      </c>
      <c r="G95" s="39">
        <f t="shared" ref="G95:G110" si="12">+E95+F95</f>
        <v>162963.30049999998</v>
      </c>
      <c r="I95" s="26">
        <v>6903109</v>
      </c>
    </row>
    <row r="96" spans="1:9" s="26" customFormat="1" ht="18" customHeight="1" x14ac:dyDescent="0.45">
      <c r="A96" s="4" t="s">
        <v>597</v>
      </c>
      <c r="B96" s="5" t="s">
        <v>22</v>
      </c>
      <c r="C96" s="49">
        <v>3108.6</v>
      </c>
      <c r="D96" s="40">
        <v>54</v>
      </c>
      <c r="E96" s="39">
        <f t="shared" si="10"/>
        <v>167864.4</v>
      </c>
      <c r="F96" s="39">
        <f t="shared" si="11"/>
        <v>11750.508</v>
      </c>
      <c r="G96" s="39">
        <f t="shared" si="12"/>
        <v>179614.908</v>
      </c>
      <c r="I96" s="26">
        <v>6903211</v>
      </c>
    </row>
    <row r="97" spans="1:9" ht="18" customHeight="1" x14ac:dyDescent="0.4">
      <c r="A97" s="16" t="s">
        <v>610</v>
      </c>
      <c r="B97" s="5" t="s">
        <v>22</v>
      </c>
      <c r="C97" s="37">
        <v>3084.45</v>
      </c>
      <c r="D97" s="38">
        <v>54</v>
      </c>
      <c r="E97" s="39">
        <f>+C97*D97</f>
        <v>166560.29999999999</v>
      </c>
      <c r="F97" s="39">
        <f>+E97*7%</f>
        <v>11659.221</v>
      </c>
      <c r="G97" s="39">
        <f>+E97+F97</f>
        <v>178219.52099999998</v>
      </c>
      <c r="I97">
        <v>6903339</v>
      </c>
    </row>
    <row r="98" spans="1:9" s="26" customFormat="1" ht="18" customHeight="1" x14ac:dyDescent="0.45">
      <c r="A98" s="4" t="s">
        <v>604</v>
      </c>
      <c r="B98" s="5" t="s">
        <v>24</v>
      </c>
      <c r="C98" s="49">
        <v>3046</v>
      </c>
      <c r="D98" s="40">
        <v>54</v>
      </c>
      <c r="E98" s="39">
        <f t="shared" si="10"/>
        <v>164484</v>
      </c>
      <c r="F98" s="39">
        <f t="shared" si="11"/>
        <v>11513.880000000001</v>
      </c>
      <c r="G98" s="39">
        <f t="shared" si="12"/>
        <v>175997.88</v>
      </c>
      <c r="I98" s="26">
        <v>6903363</v>
      </c>
    </row>
    <row r="99" spans="1:9" s="26" customFormat="1" ht="18" customHeight="1" x14ac:dyDescent="0.45">
      <c r="A99" s="4" t="s">
        <v>602</v>
      </c>
      <c r="B99" s="5" t="s">
        <v>263</v>
      </c>
      <c r="C99" s="49">
        <v>2703.95</v>
      </c>
      <c r="D99" s="40">
        <v>54</v>
      </c>
      <c r="E99" s="39">
        <f t="shared" si="10"/>
        <v>146013.29999999999</v>
      </c>
      <c r="F99" s="39">
        <f t="shared" si="11"/>
        <v>10220.931</v>
      </c>
      <c r="G99" s="39">
        <f t="shared" si="12"/>
        <v>156234.231</v>
      </c>
      <c r="I99" s="26">
        <v>6903304</v>
      </c>
    </row>
    <row r="100" spans="1:9" s="26" customFormat="1" ht="18" customHeight="1" x14ac:dyDescent="0.45">
      <c r="A100" s="4" t="s">
        <v>590</v>
      </c>
      <c r="B100" s="5" t="s">
        <v>269</v>
      </c>
      <c r="C100" s="49">
        <v>5196.33</v>
      </c>
      <c r="D100" s="40">
        <v>50.12</v>
      </c>
      <c r="E100" s="39">
        <f t="shared" si="10"/>
        <v>260440.05959999998</v>
      </c>
      <c r="F100" s="39">
        <f t="shared" si="11"/>
        <v>18230.804172</v>
      </c>
      <c r="G100" s="39">
        <f t="shared" si="12"/>
        <v>278670.86377199995</v>
      </c>
      <c r="I100" s="26">
        <v>6903076</v>
      </c>
    </row>
    <row r="101" spans="1:9" s="26" customFormat="1" ht="18" customHeight="1" x14ac:dyDescent="0.45">
      <c r="A101" s="4" t="s">
        <v>598</v>
      </c>
      <c r="B101" s="5" t="s">
        <v>159</v>
      </c>
      <c r="C101" s="49">
        <v>2629.65</v>
      </c>
      <c r="D101" s="40">
        <v>54</v>
      </c>
      <c r="E101" s="39">
        <f t="shared" si="10"/>
        <v>142001.1</v>
      </c>
      <c r="F101" s="39">
        <f t="shared" si="11"/>
        <v>9940.0770000000011</v>
      </c>
      <c r="G101" s="39">
        <f t="shared" si="12"/>
        <v>151941.177</v>
      </c>
      <c r="I101" s="26">
        <v>6903255</v>
      </c>
    </row>
    <row r="102" spans="1:9" s="26" customFormat="1" ht="18" customHeight="1" x14ac:dyDescent="0.45">
      <c r="A102" s="4" t="s">
        <v>613</v>
      </c>
      <c r="B102" s="5" t="s">
        <v>20</v>
      </c>
      <c r="C102" s="50">
        <v>5391.05</v>
      </c>
      <c r="D102" s="40">
        <v>50.12</v>
      </c>
      <c r="E102" s="39">
        <f t="shared" si="10"/>
        <v>270199.42599999998</v>
      </c>
      <c r="F102" s="39">
        <f t="shared" si="11"/>
        <v>18913.95982</v>
      </c>
      <c r="G102" s="39">
        <f t="shared" si="12"/>
        <v>289113.38581999997</v>
      </c>
      <c r="I102" s="26">
        <v>6903004</v>
      </c>
    </row>
    <row r="103" spans="1:9" s="26" customFormat="1" ht="18" customHeight="1" x14ac:dyDescent="0.45">
      <c r="A103" s="4" t="s">
        <v>589</v>
      </c>
      <c r="B103" s="5" t="s">
        <v>20</v>
      </c>
      <c r="C103" s="50">
        <v>2894.3</v>
      </c>
      <c r="D103" s="40">
        <v>50.12</v>
      </c>
      <c r="E103" s="39">
        <f t="shared" si="10"/>
        <v>145062.31599999999</v>
      </c>
      <c r="F103" s="39">
        <f t="shared" si="11"/>
        <v>10154.36212</v>
      </c>
      <c r="G103" s="39">
        <f t="shared" si="12"/>
        <v>155216.67812</v>
      </c>
      <c r="I103" s="26">
        <v>6903054</v>
      </c>
    </row>
    <row r="104" spans="1:9" s="26" customFormat="1" ht="18" customHeight="1" x14ac:dyDescent="0.45">
      <c r="A104" s="4" t="s">
        <v>591</v>
      </c>
      <c r="B104" s="5" t="s">
        <v>20</v>
      </c>
      <c r="C104" s="50">
        <v>1475.75</v>
      </c>
      <c r="D104" s="40">
        <v>50.12</v>
      </c>
      <c r="E104" s="39">
        <f t="shared" si="10"/>
        <v>73964.59</v>
      </c>
      <c r="F104" s="39">
        <f t="shared" si="11"/>
        <v>5177.5213000000003</v>
      </c>
      <c r="G104" s="39">
        <f t="shared" si="12"/>
        <v>79142.11129999999</v>
      </c>
      <c r="I104" s="26">
        <v>6903110</v>
      </c>
    </row>
    <row r="105" spans="1:9" s="26" customFormat="1" ht="18" customHeight="1" x14ac:dyDescent="0.45">
      <c r="A105" s="4" t="s">
        <v>609</v>
      </c>
      <c r="B105" s="5" t="s">
        <v>20</v>
      </c>
      <c r="C105" s="50">
        <v>2336.1</v>
      </c>
      <c r="D105" s="40">
        <v>50.12</v>
      </c>
      <c r="E105" s="39">
        <f t="shared" si="10"/>
        <v>117085.33199999999</v>
      </c>
      <c r="F105" s="39">
        <f t="shared" si="11"/>
        <v>8195.9732400000012</v>
      </c>
      <c r="G105" s="39">
        <f t="shared" si="12"/>
        <v>125281.30524</v>
      </c>
      <c r="I105" s="26">
        <v>6903152</v>
      </c>
    </row>
    <row r="106" spans="1:9" s="26" customFormat="1" ht="18" customHeight="1" x14ac:dyDescent="0.45">
      <c r="A106" s="4" t="s">
        <v>595</v>
      </c>
      <c r="B106" s="5" t="s">
        <v>20</v>
      </c>
      <c r="C106" s="50">
        <v>2061.0500000000002</v>
      </c>
      <c r="D106" s="40">
        <v>50.12</v>
      </c>
      <c r="E106" s="39">
        <f t="shared" si="10"/>
        <v>103299.826</v>
      </c>
      <c r="F106" s="39">
        <f t="shared" si="11"/>
        <v>7230.9878200000012</v>
      </c>
      <c r="G106" s="39">
        <f t="shared" si="12"/>
        <v>110530.81382</v>
      </c>
      <c r="I106" s="26">
        <v>6903188</v>
      </c>
    </row>
    <row r="107" spans="1:9" s="26" customFormat="1" ht="18" customHeight="1" x14ac:dyDescent="0.45">
      <c r="A107" s="4" t="s">
        <v>594</v>
      </c>
      <c r="B107" s="5" t="s">
        <v>20</v>
      </c>
      <c r="C107" s="50">
        <v>3267.2</v>
      </c>
      <c r="D107" s="40">
        <v>54</v>
      </c>
      <c r="E107" s="39">
        <f t="shared" si="10"/>
        <v>176428.79999999999</v>
      </c>
      <c r="F107" s="39">
        <f t="shared" si="11"/>
        <v>12350.016</v>
      </c>
      <c r="G107" s="39">
        <f t="shared" si="12"/>
        <v>188778.81599999999</v>
      </c>
      <c r="I107" s="26">
        <v>6903190</v>
      </c>
    </row>
    <row r="108" spans="1:9" s="26" customFormat="1" ht="18" customHeight="1" x14ac:dyDescent="0.45">
      <c r="A108" s="4" t="s">
        <v>598</v>
      </c>
      <c r="B108" s="5" t="s">
        <v>20</v>
      </c>
      <c r="C108" s="50">
        <v>3059.8</v>
      </c>
      <c r="D108" s="40">
        <v>54</v>
      </c>
      <c r="E108" s="39">
        <f t="shared" si="10"/>
        <v>165229.20000000001</v>
      </c>
      <c r="F108" s="39">
        <f t="shared" si="11"/>
        <v>11566.044000000002</v>
      </c>
      <c r="G108" s="39">
        <f t="shared" si="12"/>
        <v>176795.24400000001</v>
      </c>
      <c r="I108" s="26">
        <v>6903259</v>
      </c>
    </row>
    <row r="109" spans="1:9" s="26" customFormat="1" ht="18" customHeight="1" x14ac:dyDescent="0.45">
      <c r="A109" s="4" t="s">
        <v>612</v>
      </c>
      <c r="B109" s="5" t="s">
        <v>20</v>
      </c>
      <c r="C109" s="50">
        <v>6141.7</v>
      </c>
      <c r="D109" s="40">
        <v>54</v>
      </c>
      <c r="E109" s="39">
        <f t="shared" si="10"/>
        <v>331651.8</v>
      </c>
      <c r="F109" s="39">
        <f t="shared" si="11"/>
        <v>23215.626</v>
      </c>
      <c r="G109" s="39">
        <f t="shared" si="12"/>
        <v>354867.42599999998</v>
      </c>
      <c r="I109" s="26">
        <v>6903324</v>
      </c>
    </row>
    <row r="110" spans="1:9" s="26" customFormat="1" ht="18" customHeight="1" x14ac:dyDescent="0.45">
      <c r="A110" s="4" t="s">
        <v>604</v>
      </c>
      <c r="B110" s="5" t="s">
        <v>20</v>
      </c>
      <c r="C110" s="50">
        <v>6088</v>
      </c>
      <c r="D110" s="40">
        <v>54</v>
      </c>
      <c r="E110" s="39">
        <f t="shared" si="10"/>
        <v>328752</v>
      </c>
      <c r="F110" s="39">
        <f t="shared" si="11"/>
        <v>23012.640000000003</v>
      </c>
      <c r="G110" s="39">
        <f t="shared" si="12"/>
        <v>351764.64</v>
      </c>
      <c r="I110" s="26">
        <v>6903361</v>
      </c>
    </row>
    <row r="111" spans="1:9" s="26" customFormat="1" ht="18" customHeight="1" thickBot="1" x14ac:dyDescent="0.5">
      <c r="A111" s="41"/>
      <c r="B111" s="42" t="s">
        <v>15</v>
      </c>
      <c r="C111" s="43">
        <f>SUM(C95:C110)</f>
        <v>55522.68</v>
      </c>
      <c r="D111" s="51"/>
      <c r="E111" s="44">
        <f>SUM(E95:E110)</f>
        <v>2911338.5995999998</v>
      </c>
      <c r="F111" s="44">
        <f t="shared" ref="F111:G111" si="13">SUM(F95:F110)</f>
        <v>203793.70197200001</v>
      </c>
      <c r="G111" s="44">
        <f t="shared" si="13"/>
        <v>3115132.3015719997</v>
      </c>
    </row>
    <row r="112" spans="1:9" s="26" customFormat="1" ht="15.75" customHeight="1" thickTop="1" x14ac:dyDescent="0.45">
      <c r="A112" s="45"/>
      <c r="B112" s="46"/>
      <c r="C112" s="47"/>
      <c r="D112" s="48"/>
      <c r="E112" s="47"/>
      <c r="F112" s="47"/>
      <c r="G112" s="47"/>
    </row>
    <row r="113" spans="1:9" s="26" customFormat="1" ht="23.25" x14ac:dyDescent="0.45">
      <c r="A113" s="362" t="s">
        <v>25</v>
      </c>
      <c r="B113" s="362"/>
      <c r="C113" s="362"/>
      <c r="D113" s="362"/>
      <c r="E113" s="362"/>
      <c r="F113" s="362"/>
      <c r="G113" s="362"/>
    </row>
    <row r="114" spans="1:9" s="26" customFormat="1" ht="18" customHeight="1" x14ac:dyDescent="0.45">
      <c r="A114" s="27" t="s">
        <v>2</v>
      </c>
      <c r="B114" s="28" t="s">
        <v>3</v>
      </c>
      <c r="C114" s="28" t="s">
        <v>4</v>
      </c>
      <c r="D114" s="29" t="s">
        <v>5</v>
      </c>
      <c r="E114" s="28" t="s">
        <v>6</v>
      </c>
      <c r="F114" s="28" t="s">
        <v>7</v>
      </c>
      <c r="G114" s="28" t="s">
        <v>8</v>
      </c>
    </row>
    <row r="115" spans="1:9" s="30" customFormat="1" ht="18" customHeight="1" x14ac:dyDescent="0.5">
      <c r="A115" s="4" t="s">
        <v>591</v>
      </c>
      <c r="B115" s="5" t="s">
        <v>619</v>
      </c>
      <c r="C115" s="6">
        <v>3245.1</v>
      </c>
      <c r="D115" s="7">
        <v>50.12</v>
      </c>
      <c r="E115" s="39">
        <f t="shared" ref="E115:E127" si="14">+C115*D115</f>
        <v>162644.41199999998</v>
      </c>
      <c r="F115" s="39">
        <f t="shared" ref="F115:F127" si="15">+E115*7%</f>
        <v>11385.108839999999</v>
      </c>
      <c r="G115" s="39">
        <f t="shared" ref="G115:G127" si="16">+E115+F115</f>
        <v>174029.52083999998</v>
      </c>
      <c r="I115" s="30">
        <v>6903127</v>
      </c>
    </row>
    <row r="116" spans="1:9" s="30" customFormat="1" ht="18" customHeight="1" x14ac:dyDescent="0.5">
      <c r="A116" s="4" t="s">
        <v>613</v>
      </c>
      <c r="B116" s="5" t="s">
        <v>19</v>
      </c>
      <c r="C116" s="6">
        <v>1646.95</v>
      </c>
      <c r="D116" s="7">
        <v>50.12</v>
      </c>
      <c r="E116" s="39">
        <f t="shared" si="14"/>
        <v>82545.133999999991</v>
      </c>
      <c r="F116" s="39">
        <f t="shared" si="15"/>
        <v>5778.1593800000001</v>
      </c>
      <c r="G116" s="39">
        <f t="shared" si="16"/>
        <v>88323.293379999988</v>
      </c>
      <c r="I116" s="30">
        <v>6903021</v>
      </c>
    </row>
    <row r="117" spans="1:9" s="30" customFormat="1" ht="18" customHeight="1" x14ac:dyDescent="0.5">
      <c r="A117" s="4" t="s">
        <v>608</v>
      </c>
      <c r="B117" s="5" t="s">
        <v>19</v>
      </c>
      <c r="C117" s="6">
        <v>4855.1000000000004</v>
      </c>
      <c r="D117" s="7">
        <v>50.12</v>
      </c>
      <c r="E117" s="39">
        <f t="shared" si="14"/>
        <v>243337.61199999999</v>
      </c>
      <c r="F117" s="39">
        <f t="shared" si="15"/>
        <v>17033.632840000002</v>
      </c>
      <c r="G117" s="39">
        <f t="shared" si="16"/>
        <v>260371.24484</v>
      </c>
      <c r="I117" s="30">
        <v>6903050</v>
      </c>
    </row>
    <row r="118" spans="1:9" s="30" customFormat="1" ht="18" customHeight="1" x14ac:dyDescent="0.5">
      <c r="A118" s="4" t="s">
        <v>590</v>
      </c>
      <c r="B118" s="5" t="s">
        <v>19</v>
      </c>
      <c r="C118" s="6">
        <v>820.35</v>
      </c>
      <c r="D118" s="7">
        <v>50.12</v>
      </c>
      <c r="E118" s="39">
        <f t="shared" si="14"/>
        <v>41115.941999999995</v>
      </c>
      <c r="F118" s="39">
        <f t="shared" si="15"/>
        <v>2878.1159400000001</v>
      </c>
      <c r="G118" s="39">
        <f t="shared" si="16"/>
        <v>43994.057939999999</v>
      </c>
      <c r="I118" s="30">
        <v>6903088</v>
      </c>
    </row>
    <row r="119" spans="1:9" s="30" customFormat="1" ht="18" customHeight="1" x14ac:dyDescent="0.5">
      <c r="A119" s="4" t="s">
        <v>593</v>
      </c>
      <c r="B119" s="5" t="s">
        <v>19</v>
      </c>
      <c r="C119" s="6">
        <v>5088.55</v>
      </c>
      <c r="D119" s="7">
        <v>50.12</v>
      </c>
      <c r="E119" s="39">
        <f t="shared" si="14"/>
        <v>255038.12599999999</v>
      </c>
      <c r="F119" s="39">
        <f t="shared" si="15"/>
        <v>17852.668820000003</v>
      </c>
      <c r="G119" s="39">
        <f t="shared" si="16"/>
        <v>272890.79482000001</v>
      </c>
      <c r="I119" s="30">
        <v>6903165</v>
      </c>
    </row>
    <row r="120" spans="1:9" s="30" customFormat="1" ht="18" customHeight="1" x14ac:dyDescent="0.5">
      <c r="A120" s="4" t="s">
        <v>597</v>
      </c>
      <c r="B120" s="5" t="s">
        <v>19</v>
      </c>
      <c r="C120" s="6">
        <v>4121.2</v>
      </c>
      <c r="D120" s="7">
        <v>54</v>
      </c>
      <c r="E120" s="39">
        <f t="shared" si="14"/>
        <v>222544.8</v>
      </c>
      <c r="F120" s="39">
        <f t="shared" si="15"/>
        <v>15578.136</v>
      </c>
      <c r="G120" s="39">
        <f t="shared" si="16"/>
        <v>238122.93599999999</v>
      </c>
      <c r="I120" s="30">
        <v>6903232</v>
      </c>
    </row>
    <row r="121" spans="1:9" ht="18" customHeight="1" x14ac:dyDescent="0.4">
      <c r="A121" s="16" t="s">
        <v>613</v>
      </c>
      <c r="B121" s="5" t="s">
        <v>26</v>
      </c>
      <c r="C121" s="37">
        <v>2418.3000000000002</v>
      </c>
      <c r="D121" s="38">
        <v>50.12</v>
      </c>
      <c r="E121" s="39">
        <f t="shared" si="14"/>
        <v>121205.196</v>
      </c>
      <c r="F121" s="39">
        <f t="shared" si="15"/>
        <v>8484.3637200000012</v>
      </c>
      <c r="G121" s="39">
        <f t="shared" si="16"/>
        <v>129689.55971999999</v>
      </c>
      <c r="I121">
        <v>6903020</v>
      </c>
    </row>
    <row r="122" spans="1:9" s="26" customFormat="1" ht="18" customHeight="1" x14ac:dyDescent="0.45">
      <c r="A122" s="4" t="s">
        <v>608</v>
      </c>
      <c r="B122" s="5" t="s">
        <v>26</v>
      </c>
      <c r="C122" s="6">
        <v>2206.6999999999998</v>
      </c>
      <c r="D122" s="7">
        <v>50.12</v>
      </c>
      <c r="E122" s="39">
        <f t="shared" si="14"/>
        <v>110599.80399999999</v>
      </c>
      <c r="F122" s="39">
        <f t="shared" si="15"/>
        <v>7741.9862800000001</v>
      </c>
      <c r="G122" s="39">
        <f t="shared" si="16"/>
        <v>118341.79027999999</v>
      </c>
      <c r="I122" s="26">
        <v>6903049</v>
      </c>
    </row>
    <row r="123" spans="1:9" s="26" customFormat="1" ht="18" customHeight="1" x14ac:dyDescent="0.45">
      <c r="A123" s="4" t="s">
        <v>587</v>
      </c>
      <c r="B123" s="5" t="s">
        <v>26</v>
      </c>
      <c r="C123" s="6">
        <v>2161.9</v>
      </c>
      <c r="D123" s="7">
        <v>50.12</v>
      </c>
      <c r="E123" s="39">
        <f t="shared" si="14"/>
        <v>108354.428</v>
      </c>
      <c r="F123" s="39">
        <f t="shared" si="15"/>
        <v>7584.8099600000005</v>
      </c>
      <c r="G123" s="39">
        <f t="shared" si="16"/>
        <v>115939.23796</v>
      </c>
      <c r="I123" s="26">
        <v>6903027</v>
      </c>
    </row>
    <row r="124" spans="1:9" s="26" customFormat="1" ht="18" customHeight="1" x14ac:dyDescent="0.45">
      <c r="A124" s="4" t="s">
        <v>589</v>
      </c>
      <c r="B124" s="5" t="s">
        <v>26</v>
      </c>
      <c r="C124" s="6">
        <v>1307.25</v>
      </c>
      <c r="D124" s="7">
        <v>50.12</v>
      </c>
      <c r="E124" s="39">
        <f t="shared" si="14"/>
        <v>65519.369999999995</v>
      </c>
      <c r="F124" s="39">
        <f t="shared" si="15"/>
        <v>4586.3559000000005</v>
      </c>
      <c r="G124" s="39">
        <f t="shared" si="16"/>
        <v>70105.72589999999</v>
      </c>
      <c r="I124" s="26">
        <v>6903072</v>
      </c>
    </row>
    <row r="125" spans="1:9" s="26" customFormat="1" ht="18" customHeight="1" x14ac:dyDescent="0.45">
      <c r="A125" s="4" t="s">
        <v>595</v>
      </c>
      <c r="B125" s="5" t="s">
        <v>26</v>
      </c>
      <c r="C125" s="6">
        <v>2444.65</v>
      </c>
      <c r="D125" s="7">
        <v>50.12</v>
      </c>
      <c r="E125" s="39">
        <f t="shared" si="14"/>
        <v>122525.85799999999</v>
      </c>
      <c r="F125" s="39">
        <f t="shared" si="15"/>
        <v>8576.8100599999998</v>
      </c>
      <c r="G125" s="39">
        <f t="shared" si="16"/>
        <v>131102.66806</v>
      </c>
      <c r="I125" s="26">
        <v>6903184</v>
      </c>
    </row>
    <row r="126" spans="1:9" s="26" customFormat="1" ht="18" customHeight="1" x14ac:dyDescent="0.45">
      <c r="A126" s="4" t="s">
        <v>594</v>
      </c>
      <c r="B126" s="5" t="s">
        <v>26</v>
      </c>
      <c r="C126" s="6">
        <v>5055.75</v>
      </c>
      <c r="D126" s="7">
        <v>50.12</v>
      </c>
      <c r="E126" s="39">
        <f t="shared" si="14"/>
        <v>253394.18999999997</v>
      </c>
      <c r="F126" s="39">
        <f t="shared" si="15"/>
        <v>17737.5933</v>
      </c>
      <c r="G126" s="39">
        <f t="shared" si="16"/>
        <v>271131.78329999995</v>
      </c>
      <c r="I126" s="26">
        <v>6903198</v>
      </c>
    </row>
    <row r="127" spans="1:9" s="26" customFormat="1" ht="18" customHeight="1" x14ac:dyDescent="0.45">
      <c r="A127" s="4" t="s">
        <v>597</v>
      </c>
      <c r="B127" s="5" t="s">
        <v>26</v>
      </c>
      <c r="C127" s="6">
        <v>2123.85</v>
      </c>
      <c r="D127" s="7">
        <v>54</v>
      </c>
      <c r="E127" s="39">
        <f t="shared" si="14"/>
        <v>114687.9</v>
      </c>
      <c r="F127" s="39">
        <f t="shared" si="15"/>
        <v>8028.1530000000002</v>
      </c>
      <c r="G127" s="39">
        <f t="shared" si="16"/>
        <v>122716.053</v>
      </c>
      <c r="I127" s="26">
        <v>6903233</v>
      </c>
    </row>
    <row r="128" spans="1:9" s="26" customFormat="1" ht="18" customHeight="1" thickBot="1" x14ac:dyDescent="0.5">
      <c r="A128" s="41"/>
      <c r="B128" s="42" t="s">
        <v>15</v>
      </c>
      <c r="C128" s="43">
        <f>SUM(C115:C127)</f>
        <v>37495.65</v>
      </c>
      <c r="D128" s="38"/>
      <c r="E128" s="44">
        <f>SUM(E115:E127)</f>
        <v>1903512.7719999999</v>
      </c>
      <c r="F128" s="44">
        <f>SUM(F115:F127)</f>
        <v>133245.89403999998</v>
      </c>
      <c r="G128" s="44">
        <f>SUM(G115:G127)</f>
        <v>2036758.6660400003</v>
      </c>
    </row>
    <row r="129" spans="1:9" s="26" customFormat="1" ht="18" customHeight="1" thickTop="1" x14ac:dyDescent="0.45">
      <c r="A129" s="52"/>
      <c r="B129" s="53"/>
      <c r="C129" s="54"/>
      <c r="D129" s="55"/>
      <c r="E129" s="56"/>
      <c r="F129" s="56"/>
      <c r="G129" s="56"/>
    </row>
    <row r="130" spans="1:9" ht="23.25" x14ac:dyDescent="0.3">
      <c r="A130" s="359" t="s">
        <v>27</v>
      </c>
      <c r="B130" s="359"/>
      <c r="C130" s="359"/>
      <c r="D130" s="359"/>
      <c r="E130" s="359"/>
      <c r="F130" s="359"/>
      <c r="G130" s="359"/>
    </row>
    <row r="131" spans="1:9" ht="18" customHeight="1" x14ac:dyDescent="0.4">
      <c r="A131" s="57" t="s">
        <v>2</v>
      </c>
      <c r="B131" s="58" t="s">
        <v>3</v>
      </c>
      <c r="C131" s="58" t="s">
        <v>4</v>
      </c>
      <c r="D131" s="59" t="s">
        <v>5</v>
      </c>
      <c r="E131" s="58" t="s">
        <v>6</v>
      </c>
      <c r="F131" s="58" t="s">
        <v>7</v>
      </c>
      <c r="G131" s="58" t="s">
        <v>8</v>
      </c>
    </row>
    <row r="132" spans="1:9" ht="18" customHeight="1" x14ac:dyDescent="0.4">
      <c r="A132" s="16" t="s">
        <v>621</v>
      </c>
      <c r="B132" s="5" t="s">
        <v>184</v>
      </c>
      <c r="C132" s="37">
        <v>2949</v>
      </c>
      <c r="D132" s="38">
        <v>53.3</v>
      </c>
      <c r="E132" s="6">
        <f>+C132*D132</f>
        <v>157181.69999999998</v>
      </c>
      <c r="F132" s="60">
        <f>+E132*7%</f>
        <v>11002.718999999999</v>
      </c>
      <c r="G132" s="60">
        <f>+E132+F132</f>
        <v>168184.41899999999</v>
      </c>
      <c r="I132">
        <v>6903001</v>
      </c>
    </row>
    <row r="133" spans="1:9" ht="18" customHeight="1" x14ac:dyDescent="0.4">
      <c r="A133" s="16" t="s">
        <v>613</v>
      </c>
      <c r="B133" s="5" t="s">
        <v>184</v>
      </c>
      <c r="C133" s="37">
        <v>1519.65</v>
      </c>
      <c r="D133" s="38">
        <v>53.3</v>
      </c>
      <c r="E133" s="6">
        <f>+C133*D133</f>
        <v>80997.345000000001</v>
      </c>
      <c r="F133" s="60">
        <f>+E133*7%</f>
        <v>5669.8141500000011</v>
      </c>
      <c r="G133" s="60">
        <f>+E133+F133</f>
        <v>86667.159150000007</v>
      </c>
      <c r="I133">
        <v>6903022</v>
      </c>
    </row>
    <row r="134" spans="1:9" ht="18" customHeight="1" x14ac:dyDescent="0.4">
      <c r="A134" s="16" t="s">
        <v>592</v>
      </c>
      <c r="B134" s="5" t="s">
        <v>184</v>
      </c>
      <c r="C134" s="37">
        <v>2900.85</v>
      </c>
      <c r="D134" s="38">
        <v>53.3</v>
      </c>
      <c r="E134" s="6">
        <f>+C134*D134</f>
        <v>154615.30499999999</v>
      </c>
      <c r="F134" s="60">
        <f>+E134*7%</f>
        <v>10823.07135</v>
      </c>
      <c r="G134" s="60">
        <f>+E134+F134</f>
        <v>165438.37635000001</v>
      </c>
      <c r="I134">
        <v>6903151</v>
      </c>
    </row>
    <row r="135" spans="1:9" ht="18" customHeight="1" x14ac:dyDescent="0.4">
      <c r="A135" s="16" t="s">
        <v>609</v>
      </c>
      <c r="B135" s="5" t="s">
        <v>184</v>
      </c>
      <c r="C135" s="37">
        <v>1779.7</v>
      </c>
      <c r="D135" s="38">
        <v>53.3</v>
      </c>
      <c r="E135" s="6">
        <f>+C135*D135</f>
        <v>94858.01</v>
      </c>
      <c r="F135" s="60">
        <f>+E135*7%</f>
        <v>6640.0607</v>
      </c>
      <c r="G135" s="60">
        <f>+E135+F135</f>
        <v>101498.0707</v>
      </c>
      <c r="I135">
        <v>6903164</v>
      </c>
    </row>
    <row r="136" spans="1:9" ht="18" customHeight="1" x14ac:dyDescent="0.4">
      <c r="A136" s="16" t="s">
        <v>593</v>
      </c>
      <c r="B136" s="5" t="s">
        <v>184</v>
      </c>
      <c r="C136" s="37">
        <v>689.85</v>
      </c>
      <c r="D136" s="38">
        <v>53.3</v>
      </c>
      <c r="E136" s="6">
        <f>+C136*D136</f>
        <v>36769.004999999997</v>
      </c>
      <c r="F136" s="60">
        <f>+E136*7%</f>
        <v>2573.8303500000002</v>
      </c>
      <c r="G136" s="60">
        <f>+E136+F136</f>
        <v>39342.835349999994</v>
      </c>
      <c r="I136">
        <v>6903182</v>
      </c>
    </row>
    <row r="137" spans="1:9" ht="18" customHeight="1" x14ac:dyDescent="0.4">
      <c r="A137" s="16" t="s">
        <v>620</v>
      </c>
      <c r="B137" s="5" t="s">
        <v>184</v>
      </c>
      <c r="C137" s="37">
        <v>543</v>
      </c>
      <c r="D137" s="38">
        <v>53.3</v>
      </c>
      <c r="E137" s="6">
        <f t="shared" ref="E137:E192" si="17">+C137*D137</f>
        <v>28941.899999999998</v>
      </c>
      <c r="F137" s="60">
        <f t="shared" ref="F137:F192" si="18">+E137*7%</f>
        <v>2025.933</v>
      </c>
      <c r="G137" s="60">
        <f t="shared" ref="G137:G192" si="19">+E137+F137</f>
        <v>30967.832999999999</v>
      </c>
      <c r="I137">
        <v>6903189</v>
      </c>
    </row>
    <row r="138" spans="1:9" ht="18" customHeight="1" x14ac:dyDescent="0.4">
      <c r="A138" s="16" t="s">
        <v>612</v>
      </c>
      <c r="B138" s="5" t="s">
        <v>184</v>
      </c>
      <c r="C138" s="37">
        <v>3082.1</v>
      </c>
      <c r="D138" s="38">
        <v>53.3</v>
      </c>
      <c r="E138" s="6">
        <f>+C138*D138</f>
        <v>164275.93</v>
      </c>
      <c r="F138" s="60">
        <f>+E138*7%</f>
        <v>11499.3151</v>
      </c>
      <c r="G138" s="60">
        <f>+E138+F138</f>
        <v>175775.2451</v>
      </c>
      <c r="I138">
        <v>6903335</v>
      </c>
    </row>
    <row r="139" spans="1:9" ht="18" customHeight="1" x14ac:dyDescent="0.4">
      <c r="A139" s="16" t="s">
        <v>604</v>
      </c>
      <c r="B139" s="5" t="s">
        <v>184</v>
      </c>
      <c r="C139" s="37">
        <v>1439.8</v>
      </c>
      <c r="D139" s="38">
        <v>69</v>
      </c>
      <c r="E139" s="6">
        <f t="shared" si="17"/>
        <v>99346.2</v>
      </c>
      <c r="F139" s="60">
        <f t="shared" si="18"/>
        <v>6954.2340000000004</v>
      </c>
      <c r="G139" s="60">
        <f t="shared" si="19"/>
        <v>106300.43399999999</v>
      </c>
      <c r="I139">
        <v>6903378</v>
      </c>
    </row>
    <row r="140" spans="1:9" ht="18" customHeight="1" x14ac:dyDescent="0.4">
      <c r="A140" s="16" t="s">
        <v>603</v>
      </c>
      <c r="B140" s="5" t="s">
        <v>184</v>
      </c>
      <c r="C140" s="37">
        <v>654.85</v>
      </c>
      <c r="D140" s="38">
        <v>69</v>
      </c>
      <c r="E140" s="6">
        <f>+C140*D140</f>
        <v>45184.65</v>
      </c>
      <c r="F140" s="60">
        <f t="shared" si="18"/>
        <v>3162.9255000000003</v>
      </c>
      <c r="G140" s="60">
        <f t="shared" si="19"/>
        <v>48347.575499999999</v>
      </c>
      <c r="I140">
        <v>6903383</v>
      </c>
    </row>
    <row r="141" spans="1:9" ht="18" customHeight="1" x14ac:dyDescent="0.4">
      <c r="A141" s="16" t="s">
        <v>621</v>
      </c>
      <c r="B141" s="5" t="s">
        <v>29</v>
      </c>
      <c r="C141" s="37">
        <v>358.3</v>
      </c>
      <c r="D141" s="38">
        <v>53.3</v>
      </c>
      <c r="E141" s="6">
        <f t="shared" si="17"/>
        <v>19097.39</v>
      </c>
      <c r="F141" s="60">
        <f t="shared" si="18"/>
        <v>1336.8173000000002</v>
      </c>
      <c r="G141" s="60">
        <f t="shared" si="19"/>
        <v>20434.207299999998</v>
      </c>
      <c r="I141">
        <v>6903002</v>
      </c>
    </row>
    <row r="142" spans="1:9" ht="18" customHeight="1" x14ac:dyDescent="0.4">
      <c r="A142" s="16" t="s">
        <v>621</v>
      </c>
      <c r="B142" s="5" t="s">
        <v>29</v>
      </c>
      <c r="C142" s="37">
        <v>2486.15</v>
      </c>
      <c r="D142" s="38">
        <v>53.3</v>
      </c>
      <c r="E142" s="6">
        <f t="shared" si="17"/>
        <v>132511.79499999998</v>
      </c>
      <c r="F142" s="60">
        <f t="shared" si="18"/>
        <v>9275.8256499999989</v>
      </c>
      <c r="G142" s="60">
        <f t="shared" si="19"/>
        <v>141787.62065</v>
      </c>
      <c r="I142">
        <v>6903001</v>
      </c>
    </row>
    <row r="143" spans="1:9" ht="18" customHeight="1" x14ac:dyDescent="0.4">
      <c r="A143" s="16" t="s">
        <v>587</v>
      </c>
      <c r="B143" s="5" t="s">
        <v>29</v>
      </c>
      <c r="C143" s="37">
        <v>2357.9</v>
      </c>
      <c r="D143" s="38">
        <v>53.3</v>
      </c>
      <c r="E143" s="6">
        <f t="shared" si="17"/>
        <v>125676.06999999999</v>
      </c>
      <c r="F143" s="60">
        <f t="shared" si="18"/>
        <v>8797.3248999999996</v>
      </c>
      <c r="G143" s="60">
        <f t="shared" si="19"/>
        <v>134473.39489999998</v>
      </c>
      <c r="I143">
        <v>6903028</v>
      </c>
    </row>
    <row r="144" spans="1:9" ht="18" customHeight="1" x14ac:dyDescent="0.4">
      <c r="A144" s="16" t="s">
        <v>613</v>
      </c>
      <c r="B144" s="5" t="s">
        <v>29</v>
      </c>
      <c r="C144" s="37">
        <v>567.25</v>
      </c>
      <c r="D144" s="38">
        <v>53.3</v>
      </c>
      <c r="E144" s="6">
        <f>+C144*D144</f>
        <v>30234.424999999999</v>
      </c>
      <c r="F144" s="60">
        <f>+E144*7%</f>
        <v>2116.4097500000003</v>
      </c>
      <c r="G144" s="60">
        <f>+E144+F144</f>
        <v>32350.834749999998</v>
      </c>
      <c r="I144">
        <v>6903023</v>
      </c>
    </row>
    <row r="145" spans="1:9" ht="18" customHeight="1" x14ac:dyDescent="0.4">
      <c r="A145" s="16" t="s">
        <v>608</v>
      </c>
      <c r="B145" s="5" t="s">
        <v>29</v>
      </c>
      <c r="C145" s="37">
        <v>2562</v>
      </c>
      <c r="D145" s="38">
        <v>53.3</v>
      </c>
      <c r="E145" s="6">
        <f>+C145*D145</f>
        <v>136554.6</v>
      </c>
      <c r="F145" s="60">
        <f>+E145*7%</f>
        <v>9558.8220000000019</v>
      </c>
      <c r="G145" s="60">
        <f>+E145+F145</f>
        <v>146113.42200000002</v>
      </c>
      <c r="I145">
        <v>6903052</v>
      </c>
    </row>
    <row r="146" spans="1:9" ht="18" customHeight="1" x14ac:dyDescent="0.4">
      <c r="A146" s="16" t="s">
        <v>590</v>
      </c>
      <c r="B146" s="5" t="s">
        <v>29</v>
      </c>
      <c r="C146" s="37">
        <v>2093.25</v>
      </c>
      <c r="D146" s="38">
        <v>53.3</v>
      </c>
      <c r="E146" s="6">
        <f>+C146*D146</f>
        <v>111570.22499999999</v>
      </c>
      <c r="F146" s="60">
        <f>+E146*7%</f>
        <v>7809.9157500000001</v>
      </c>
      <c r="G146" s="60">
        <f>+E146+F146</f>
        <v>119380.14074999999</v>
      </c>
      <c r="I146">
        <v>6903090</v>
      </c>
    </row>
    <row r="147" spans="1:9" ht="18" customHeight="1" x14ac:dyDescent="0.4">
      <c r="A147" s="16" t="s">
        <v>589</v>
      </c>
      <c r="B147" s="5" t="s">
        <v>29</v>
      </c>
      <c r="C147" s="37">
        <v>3260.7</v>
      </c>
      <c r="D147" s="38">
        <v>53.3</v>
      </c>
      <c r="E147" s="6">
        <f>+C147*D147</f>
        <v>173795.30999999997</v>
      </c>
      <c r="F147" s="60">
        <f>+E147*7%</f>
        <v>12165.671699999999</v>
      </c>
      <c r="G147" s="60">
        <f>+E147+F147</f>
        <v>185960.98169999997</v>
      </c>
      <c r="I147">
        <v>6903074</v>
      </c>
    </row>
    <row r="148" spans="1:9" ht="18" customHeight="1" x14ac:dyDescent="0.4">
      <c r="A148" s="16" t="s">
        <v>622</v>
      </c>
      <c r="B148" s="5" t="s">
        <v>29</v>
      </c>
      <c r="C148" s="37">
        <v>6008.55</v>
      </c>
      <c r="D148" s="38">
        <v>53.3</v>
      </c>
      <c r="E148" s="6">
        <f t="shared" si="17"/>
        <v>320255.71499999997</v>
      </c>
      <c r="F148" s="60">
        <f t="shared" si="18"/>
        <v>22417.90005</v>
      </c>
      <c r="G148" s="60">
        <f t="shared" si="19"/>
        <v>342673.61504999996</v>
      </c>
      <c r="I148">
        <v>6903096</v>
      </c>
    </row>
    <row r="149" spans="1:9" ht="18" customHeight="1" x14ac:dyDescent="0.4">
      <c r="A149" s="16" t="s">
        <v>592</v>
      </c>
      <c r="B149" s="5" t="s">
        <v>29</v>
      </c>
      <c r="C149" s="37">
        <v>2521.25</v>
      </c>
      <c r="D149" s="38">
        <v>53.3</v>
      </c>
      <c r="E149" s="6">
        <f t="shared" si="17"/>
        <v>134382.625</v>
      </c>
      <c r="F149" s="60">
        <f t="shared" si="18"/>
        <v>9406.7837500000005</v>
      </c>
      <c r="G149" s="60">
        <f t="shared" si="19"/>
        <v>143789.40875</v>
      </c>
      <c r="I149">
        <v>6903148</v>
      </c>
    </row>
    <row r="150" spans="1:9" ht="18" customHeight="1" x14ac:dyDescent="0.4">
      <c r="A150" s="16" t="s">
        <v>609</v>
      </c>
      <c r="B150" s="5" t="s">
        <v>29</v>
      </c>
      <c r="C150" s="37">
        <v>832.3</v>
      </c>
      <c r="D150" s="38">
        <v>53.3</v>
      </c>
      <c r="E150" s="6">
        <f t="shared" si="17"/>
        <v>44361.59</v>
      </c>
      <c r="F150" s="60">
        <f t="shared" si="18"/>
        <v>3105.3112999999998</v>
      </c>
      <c r="G150" s="60">
        <f t="shared" si="19"/>
        <v>47466.901299999998</v>
      </c>
      <c r="I150">
        <v>6903163</v>
      </c>
    </row>
    <row r="151" spans="1:9" ht="18" customHeight="1" x14ac:dyDescent="0.4">
      <c r="A151" s="16" t="s">
        <v>620</v>
      </c>
      <c r="B151" s="5" t="s">
        <v>29</v>
      </c>
      <c r="C151" s="37">
        <v>3295.65</v>
      </c>
      <c r="D151" s="38">
        <v>53.3</v>
      </c>
      <c r="E151" s="6">
        <f t="shared" si="17"/>
        <v>175658.14499999999</v>
      </c>
      <c r="F151" s="60">
        <f t="shared" si="18"/>
        <v>12296.07015</v>
      </c>
      <c r="G151" s="60">
        <f t="shared" si="19"/>
        <v>187954.21515</v>
      </c>
      <c r="I151">
        <v>6903189</v>
      </c>
    </row>
    <row r="152" spans="1:9" ht="18" customHeight="1" x14ac:dyDescent="0.4">
      <c r="A152" s="16" t="s">
        <v>593</v>
      </c>
      <c r="B152" s="5" t="s">
        <v>29</v>
      </c>
      <c r="C152" s="37">
        <v>3294.75</v>
      </c>
      <c r="D152" s="38">
        <v>53.3</v>
      </c>
      <c r="E152" s="6">
        <f t="shared" si="17"/>
        <v>175610.17499999999</v>
      </c>
      <c r="F152" s="60">
        <f t="shared" si="18"/>
        <v>12292.71225</v>
      </c>
      <c r="G152" s="60">
        <f t="shared" si="19"/>
        <v>187902.88725</v>
      </c>
      <c r="I152">
        <v>6903167</v>
      </c>
    </row>
    <row r="153" spans="1:9" ht="18" customHeight="1" x14ac:dyDescent="0.4">
      <c r="A153" s="16" t="s">
        <v>596</v>
      </c>
      <c r="B153" s="5" t="s">
        <v>29</v>
      </c>
      <c r="C153" s="37">
        <v>3234.65</v>
      </c>
      <c r="D153" s="38">
        <v>53.3</v>
      </c>
      <c r="E153" s="6">
        <f t="shared" si="17"/>
        <v>172406.845</v>
      </c>
      <c r="F153" s="6">
        <f t="shared" si="18"/>
        <v>12068.479150000001</v>
      </c>
      <c r="G153" s="6">
        <f t="shared" si="19"/>
        <v>184475.32415</v>
      </c>
      <c r="I153">
        <v>6903202</v>
      </c>
    </row>
    <row r="154" spans="1:9" ht="18" customHeight="1" x14ac:dyDescent="0.4">
      <c r="A154" s="16" t="s">
        <v>597</v>
      </c>
      <c r="B154" s="5" t="s">
        <v>29</v>
      </c>
      <c r="C154" s="37">
        <v>4870.7</v>
      </c>
      <c r="D154" s="38">
        <v>53.3</v>
      </c>
      <c r="E154" s="6">
        <f t="shared" si="17"/>
        <v>259608.30999999997</v>
      </c>
      <c r="F154" s="6">
        <f t="shared" si="18"/>
        <v>18172.581699999999</v>
      </c>
      <c r="G154" s="6">
        <f t="shared" si="19"/>
        <v>277780.89169999998</v>
      </c>
      <c r="I154">
        <v>6903234</v>
      </c>
    </row>
    <row r="155" spans="1:9" ht="18" customHeight="1" x14ac:dyDescent="0.4">
      <c r="A155" s="16" t="s">
        <v>599</v>
      </c>
      <c r="B155" s="5" t="s">
        <v>29</v>
      </c>
      <c r="C155" s="37">
        <v>658.9</v>
      </c>
      <c r="D155" s="38">
        <v>53.3</v>
      </c>
      <c r="E155" s="6">
        <f t="shared" si="17"/>
        <v>35119.369999999995</v>
      </c>
      <c r="F155" s="6">
        <f t="shared" si="18"/>
        <v>2458.3559</v>
      </c>
      <c r="G155" s="6">
        <f t="shared" si="19"/>
        <v>37577.725899999998</v>
      </c>
      <c r="I155">
        <v>6903243</v>
      </c>
    </row>
    <row r="156" spans="1:9" ht="18" customHeight="1" x14ac:dyDescent="0.4">
      <c r="A156" s="16" t="s">
        <v>601</v>
      </c>
      <c r="B156" s="5" t="s">
        <v>29</v>
      </c>
      <c r="C156" s="37">
        <v>5807.1</v>
      </c>
      <c r="D156" s="38">
        <v>53.3</v>
      </c>
      <c r="E156" s="6">
        <f t="shared" si="17"/>
        <v>309518.43</v>
      </c>
      <c r="F156" s="6">
        <f t="shared" si="18"/>
        <v>21666.290100000002</v>
      </c>
      <c r="G156" s="6">
        <f t="shared" si="19"/>
        <v>331184.72009999998</v>
      </c>
      <c r="I156">
        <v>6903302</v>
      </c>
    </row>
    <row r="157" spans="1:9" ht="18" customHeight="1" x14ac:dyDescent="0.4">
      <c r="A157" s="16" t="s">
        <v>600</v>
      </c>
      <c r="B157" s="5" t="s">
        <v>29</v>
      </c>
      <c r="C157" s="37">
        <v>819.05</v>
      </c>
      <c r="D157" s="38">
        <v>53.3</v>
      </c>
      <c r="E157" s="6">
        <f t="shared" si="17"/>
        <v>43655.364999999998</v>
      </c>
      <c r="F157" s="6">
        <f t="shared" si="18"/>
        <v>3055.8755500000002</v>
      </c>
      <c r="G157" s="6">
        <f t="shared" si="19"/>
        <v>46711.240549999995</v>
      </c>
      <c r="I157">
        <v>6903285</v>
      </c>
    </row>
    <row r="158" spans="1:9" ht="18" customHeight="1" x14ac:dyDescent="0.4">
      <c r="A158" s="16" t="s">
        <v>604</v>
      </c>
      <c r="B158" s="5" t="s">
        <v>29</v>
      </c>
      <c r="C158" s="37">
        <v>3240</v>
      </c>
      <c r="D158" s="38">
        <v>69</v>
      </c>
      <c r="E158" s="6">
        <f t="shared" si="17"/>
        <v>223560</v>
      </c>
      <c r="F158" s="6">
        <f t="shared" si="18"/>
        <v>15649.2</v>
      </c>
      <c r="G158" s="6">
        <f t="shared" si="19"/>
        <v>239209.2</v>
      </c>
      <c r="I158">
        <v>6903378</v>
      </c>
    </row>
    <row r="159" spans="1:9" ht="18" customHeight="1" x14ac:dyDescent="0.4">
      <c r="A159" s="16" t="s">
        <v>603</v>
      </c>
      <c r="B159" s="5" t="s">
        <v>29</v>
      </c>
      <c r="C159" s="37">
        <v>2110.25</v>
      </c>
      <c r="D159" s="38">
        <v>69</v>
      </c>
      <c r="E159" s="6">
        <f t="shared" si="17"/>
        <v>145607.25</v>
      </c>
      <c r="F159" s="6">
        <f t="shared" si="18"/>
        <v>10192.507500000002</v>
      </c>
      <c r="G159" s="6">
        <f t="shared" si="19"/>
        <v>155799.75750000001</v>
      </c>
      <c r="I159">
        <v>6903383</v>
      </c>
    </row>
    <row r="160" spans="1:9" ht="18" customHeight="1" x14ac:dyDescent="0.4">
      <c r="A160" s="16" t="s">
        <v>613</v>
      </c>
      <c r="B160" s="5" t="s">
        <v>173</v>
      </c>
      <c r="C160" s="37">
        <v>316.08</v>
      </c>
      <c r="D160" s="38">
        <v>53.3</v>
      </c>
      <c r="E160" s="6">
        <f t="shared" si="17"/>
        <v>16847.063999999998</v>
      </c>
      <c r="F160" s="6">
        <f t="shared" si="18"/>
        <v>1179.29448</v>
      </c>
      <c r="G160" s="6">
        <f t="shared" si="19"/>
        <v>18026.358479999999</v>
      </c>
      <c r="I160">
        <v>6903022</v>
      </c>
    </row>
    <row r="161" spans="1:9" ht="18" customHeight="1" x14ac:dyDescent="0.4">
      <c r="A161" s="16" t="s">
        <v>590</v>
      </c>
      <c r="B161" s="5" t="s">
        <v>173</v>
      </c>
      <c r="C161" s="37">
        <v>1672.41</v>
      </c>
      <c r="D161" s="38">
        <v>53.3</v>
      </c>
      <c r="E161" s="6">
        <f t="shared" si="17"/>
        <v>89139.452999999994</v>
      </c>
      <c r="F161" s="6">
        <f t="shared" si="18"/>
        <v>6239.7617099999998</v>
      </c>
      <c r="G161" s="6">
        <f t="shared" si="19"/>
        <v>95379.21471</v>
      </c>
      <c r="I161">
        <v>6903089</v>
      </c>
    </row>
    <row r="162" spans="1:9" ht="18" customHeight="1" x14ac:dyDescent="0.4">
      <c r="A162" s="16" t="s">
        <v>589</v>
      </c>
      <c r="B162" s="5" t="s">
        <v>173</v>
      </c>
      <c r="C162" s="37">
        <v>1643.81</v>
      </c>
      <c r="D162" s="38">
        <v>53.3</v>
      </c>
      <c r="E162" s="6">
        <f t="shared" si="17"/>
        <v>87615.072999999989</v>
      </c>
      <c r="F162" s="6">
        <f t="shared" si="18"/>
        <v>6133.0551100000002</v>
      </c>
      <c r="G162" s="6">
        <f t="shared" si="19"/>
        <v>93748.128109999991</v>
      </c>
      <c r="I162">
        <v>6903074</v>
      </c>
    </row>
    <row r="163" spans="1:9" ht="18" customHeight="1" x14ac:dyDescent="0.4">
      <c r="A163" s="16" t="s">
        <v>592</v>
      </c>
      <c r="B163" s="5" t="s">
        <v>173</v>
      </c>
      <c r="C163" s="37">
        <v>3023.12</v>
      </c>
      <c r="D163" s="38">
        <v>53.3</v>
      </c>
      <c r="E163" s="6">
        <f t="shared" si="17"/>
        <v>161132.29599999997</v>
      </c>
      <c r="F163" s="6">
        <f t="shared" si="18"/>
        <v>11279.260719999998</v>
      </c>
      <c r="G163" s="6">
        <f t="shared" si="19"/>
        <v>172411.55671999996</v>
      </c>
      <c r="I163">
        <v>6903151</v>
      </c>
    </row>
    <row r="164" spans="1:9" ht="18" customHeight="1" x14ac:dyDescent="0.4">
      <c r="A164" s="16" t="s">
        <v>596</v>
      </c>
      <c r="B164" s="5" t="s">
        <v>173</v>
      </c>
      <c r="C164" s="37">
        <v>3123.65</v>
      </c>
      <c r="D164" s="38">
        <v>53.3</v>
      </c>
      <c r="E164" s="6">
        <f t="shared" si="17"/>
        <v>166490.54499999998</v>
      </c>
      <c r="F164" s="6">
        <f t="shared" si="18"/>
        <v>11654.33815</v>
      </c>
      <c r="G164" s="6">
        <f t="shared" si="19"/>
        <v>178144.88314999998</v>
      </c>
      <c r="I164">
        <v>6903201</v>
      </c>
    </row>
    <row r="165" spans="1:9" ht="18" customHeight="1" x14ac:dyDescent="0.4">
      <c r="A165" s="16" t="s">
        <v>600</v>
      </c>
      <c r="B165" s="5" t="s">
        <v>173</v>
      </c>
      <c r="C165" s="37">
        <v>2626.65</v>
      </c>
      <c r="D165" s="38">
        <v>53.3</v>
      </c>
      <c r="E165" s="6">
        <f t="shared" si="17"/>
        <v>140000.44500000001</v>
      </c>
      <c r="F165" s="6">
        <f t="shared" si="18"/>
        <v>9800.0311500000007</v>
      </c>
      <c r="G165" s="6">
        <f t="shared" si="19"/>
        <v>149800.47615</v>
      </c>
      <c r="I165">
        <v>6903285</v>
      </c>
    </row>
    <row r="166" spans="1:9" ht="18" customHeight="1" x14ac:dyDescent="0.4">
      <c r="A166" s="16" t="s">
        <v>612</v>
      </c>
      <c r="B166" s="5" t="s">
        <v>173</v>
      </c>
      <c r="C166" s="37">
        <v>308.13</v>
      </c>
      <c r="D166" s="38">
        <v>53.3</v>
      </c>
      <c r="E166" s="6">
        <f t="shared" si="17"/>
        <v>16423.328999999998</v>
      </c>
      <c r="F166" s="6">
        <f t="shared" si="18"/>
        <v>1149.63303</v>
      </c>
      <c r="G166" s="6">
        <f t="shared" si="19"/>
        <v>17572.962029999999</v>
      </c>
      <c r="I166">
        <v>6903335</v>
      </c>
    </row>
    <row r="167" spans="1:9" ht="18" customHeight="1" x14ac:dyDescent="0.4">
      <c r="A167" s="16" t="s">
        <v>604</v>
      </c>
      <c r="B167" s="5" t="s">
        <v>173</v>
      </c>
      <c r="C167" s="37">
        <v>816.43</v>
      </c>
      <c r="D167" s="38">
        <v>69</v>
      </c>
      <c r="E167" s="6">
        <f t="shared" si="17"/>
        <v>56333.67</v>
      </c>
      <c r="F167" s="6">
        <f t="shared" si="18"/>
        <v>3943.3569000000002</v>
      </c>
      <c r="G167" s="6">
        <f t="shared" si="19"/>
        <v>60277.026899999997</v>
      </c>
      <c r="I167">
        <v>6903378</v>
      </c>
    </row>
    <row r="168" spans="1:9" ht="18" customHeight="1" x14ac:dyDescent="0.4">
      <c r="A168" s="16" t="s">
        <v>623</v>
      </c>
      <c r="B168" s="5" t="s">
        <v>173</v>
      </c>
      <c r="C168" s="37">
        <v>2484.14</v>
      </c>
      <c r="D168" s="38">
        <v>69</v>
      </c>
      <c r="E168" s="6">
        <f t="shared" si="17"/>
        <v>171405.66</v>
      </c>
      <c r="F168" s="6">
        <f t="shared" si="18"/>
        <v>11998.396200000001</v>
      </c>
      <c r="G168" s="6">
        <f t="shared" si="19"/>
        <v>183404.05619999999</v>
      </c>
      <c r="I168">
        <v>6903359</v>
      </c>
    </row>
    <row r="169" spans="1:9" ht="18" customHeight="1" x14ac:dyDescent="0.4">
      <c r="A169" s="16" t="s">
        <v>623</v>
      </c>
      <c r="B169" s="5" t="s">
        <v>173</v>
      </c>
      <c r="C169" s="37">
        <v>3343.67</v>
      </c>
      <c r="D169" s="38">
        <v>58.3</v>
      </c>
      <c r="E169" s="6">
        <f t="shared" si="17"/>
        <v>194935.96099999998</v>
      </c>
      <c r="F169" s="6">
        <f t="shared" si="18"/>
        <v>13645.51727</v>
      </c>
      <c r="G169" s="6">
        <f t="shared" si="19"/>
        <v>208581.47826999999</v>
      </c>
      <c r="I169">
        <v>6903358</v>
      </c>
    </row>
    <row r="170" spans="1:9" ht="18" customHeight="1" x14ac:dyDescent="0.4">
      <c r="A170" s="16" t="s">
        <v>608</v>
      </c>
      <c r="B170" s="5" t="s">
        <v>30</v>
      </c>
      <c r="C170" s="37">
        <v>3248.85</v>
      </c>
      <c r="D170" s="38">
        <v>53.3</v>
      </c>
      <c r="E170" s="6">
        <f t="shared" si="17"/>
        <v>173163.70499999999</v>
      </c>
      <c r="F170" s="6">
        <f t="shared" si="18"/>
        <v>12121.459350000001</v>
      </c>
      <c r="G170" s="6">
        <f t="shared" si="19"/>
        <v>185285.16434999998</v>
      </c>
      <c r="I170">
        <v>6903053</v>
      </c>
    </row>
    <row r="171" spans="1:9" ht="18" customHeight="1" x14ac:dyDescent="0.4">
      <c r="A171" s="16" t="s">
        <v>590</v>
      </c>
      <c r="B171" s="5" t="s">
        <v>30</v>
      </c>
      <c r="C171" s="37">
        <v>207.85</v>
      </c>
      <c r="D171" s="38">
        <v>53.3</v>
      </c>
      <c r="E171" s="6">
        <f t="shared" si="17"/>
        <v>11078.404999999999</v>
      </c>
      <c r="F171" s="6">
        <f t="shared" si="18"/>
        <v>775.48834999999997</v>
      </c>
      <c r="G171" s="6">
        <f t="shared" si="19"/>
        <v>11853.893349999998</v>
      </c>
      <c r="I171">
        <v>6903090</v>
      </c>
    </row>
    <row r="172" spans="1:9" ht="18" customHeight="1" x14ac:dyDescent="0.4">
      <c r="A172" s="16" t="s">
        <v>616</v>
      </c>
      <c r="B172" s="5" t="s">
        <v>30</v>
      </c>
      <c r="C172" s="37">
        <v>2453.25</v>
      </c>
      <c r="D172" s="38">
        <v>53.3</v>
      </c>
      <c r="E172" s="6">
        <f t="shared" si="17"/>
        <v>130758.22499999999</v>
      </c>
      <c r="F172" s="6">
        <f t="shared" si="18"/>
        <v>9153.07575</v>
      </c>
      <c r="G172" s="6">
        <f t="shared" si="19"/>
        <v>139911.30074999999</v>
      </c>
      <c r="I172">
        <v>6903108</v>
      </c>
    </row>
    <row r="173" spans="1:9" ht="18" customHeight="1" x14ac:dyDescent="0.4">
      <c r="A173" s="16" t="s">
        <v>592</v>
      </c>
      <c r="B173" s="5" t="s">
        <v>30</v>
      </c>
      <c r="C173" s="37">
        <v>515.25</v>
      </c>
      <c r="D173" s="38">
        <v>53.3</v>
      </c>
      <c r="E173" s="6">
        <f t="shared" si="17"/>
        <v>27462.824999999997</v>
      </c>
      <c r="F173" s="6">
        <f t="shared" si="18"/>
        <v>1922.3977500000001</v>
      </c>
      <c r="G173" s="6">
        <f t="shared" si="19"/>
        <v>29385.222749999997</v>
      </c>
      <c r="I173">
        <v>6903150</v>
      </c>
    </row>
    <row r="174" spans="1:9" ht="18" customHeight="1" x14ac:dyDescent="0.4">
      <c r="A174" s="16" t="s">
        <v>597</v>
      </c>
      <c r="B174" s="5" t="s">
        <v>30</v>
      </c>
      <c r="C174" s="37">
        <v>818.1</v>
      </c>
      <c r="D174" s="38">
        <v>53.3</v>
      </c>
      <c r="E174" s="6">
        <f t="shared" si="17"/>
        <v>43604.729999999996</v>
      </c>
      <c r="F174" s="6">
        <f t="shared" si="18"/>
        <v>3052.3310999999999</v>
      </c>
      <c r="G174" s="6">
        <f t="shared" si="19"/>
        <v>46657.061099999999</v>
      </c>
      <c r="I174">
        <v>6903234</v>
      </c>
    </row>
    <row r="175" spans="1:9" ht="18" customHeight="1" x14ac:dyDescent="0.4">
      <c r="A175" s="16" t="s">
        <v>599</v>
      </c>
      <c r="B175" s="5" t="s">
        <v>30</v>
      </c>
      <c r="C175" s="37">
        <v>830.2</v>
      </c>
      <c r="D175" s="38">
        <v>58.3</v>
      </c>
      <c r="E175" s="6">
        <f t="shared" si="17"/>
        <v>48400.66</v>
      </c>
      <c r="F175" s="6">
        <f t="shared" si="18"/>
        <v>3388.0462000000007</v>
      </c>
      <c r="G175" s="6">
        <f t="shared" si="19"/>
        <v>51788.706200000001</v>
      </c>
      <c r="I175">
        <v>6903247</v>
      </c>
    </row>
    <row r="176" spans="1:9" ht="18" customHeight="1" x14ac:dyDescent="0.4">
      <c r="A176" s="16" t="s">
        <v>599</v>
      </c>
      <c r="B176" s="5" t="s">
        <v>30</v>
      </c>
      <c r="C176" s="37">
        <v>2513.3000000000002</v>
      </c>
      <c r="D176" s="38">
        <v>53.3</v>
      </c>
      <c r="E176" s="6">
        <f t="shared" si="17"/>
        <v>133958.89000000001</v>
      </c>
      <c r="F176" s="6">
        <f t="shared" si="18"/>
        <v>9377.1223000000027</v>
      </c>
      <c r="G176" s="6">
        <f t="shared" si="19"/>
        <v>143336.0123</v>
      </c>
      <c r="I176">
        <v>6903243</v>
      </c>
    </row>
    <row r="177" spans="1:9" ht="18" customHeight="1" x14ac:dyDescent="0.4">
      <c r="A177" s="16" t="s">
        <v>624</v>
      </c>
      <c r="B177" s="5" t="s">
        <v>30</v>
      </c>
      <c r="C177" s="37">
        <v>4159.6000000000004</v>
      </c>
      <c r="D177" s="38">
        <v>58.3</v>
      </c>
      <c r="E177" s="6">
        <f t="shared" si="17"/>
        <v>242504.68000000002</v>
      </c>
      <c r="F177" s="6">
        <f t="shared" si="18"/>
        <v>16975.327600000004</v>
      </c>
      <c r="G177" s="6">
        <f t="shared" si="19"/>
        <v>259480.00760000001</v>
      </c>
      <c r="I177">
        <v>6903269</v>
      </c>
    </row>
    <row r="178" spans="1:9" ht="18" customHeight="1" x14ac:dyDescent="0.4">
      <c r="A178" s="16" t="s">
        <v>600</v>
      </c>
      <c r="B178" s="5" t="s">
        <v>30</v>
      </c>
      <c r="C178" s="37">
        <v>1645.4</v>
      </c>
      <c r="D178" s="38">
        <v>58.3</v>
      </c>
      <c r="E178" s="6">
        <f t="shared" si="17"/>
        <v>95926.82</v>
      </c>
      <c r="F178" s="6">
        <f t="shared" si="18"/>
        <v>6714.8774000000012</v>
      </c>
      <c r="G178" s="6">
        <f t="shared" si="19"/>
        <v>102641.6974</v>
      </c>
      <c r="I178">
        <v>6903284</v>
      </c>
    </row>
    <row r="179" spans="1:9" ht="18" customHeight="1" x14ac:dyDescent="0.4">
      <c r="A179" s="16" t="s">
        <v>621</v>
      </c>
      <c r="B179" s="5" t="s">
        <v>31</v>
      </c>
      <c r="C179" s="37">
        <v>714.9</v>
      </c>
      <c r="D179" s="38">
        <v>53.3</v>
      </c>
      <c r="E179" s="6">
        <f t="shared" si="17"/>
        <v>38104.17</v>
      </c>
      <c r="F179" s="6">
        <f t="shared" si="18"/>
        <v>2667.2919000000002</v>
      </c>
      <c r="G179" s="6">
        <f t="shared" si="19"/>
        <v>40771.461899999995</v>
      </c>
      <c r="I179">
        <v>6903003</v>
      </c>
    </row>
    <row r="180" spans="1:9" ht="18" customHeight="1" x14ac:dyDescent="0.4">
      <c r="A180" s="16" t="s">
        <v>613</v>
      </c>
      <c r="B180" s="5" t="s">
        <v>31</v>
      </c>
      <c r="C180" s="37">
        <v>1775.6</v>
      </c>
      <c r="D180" s="38">
        <v>53.3</v>
      </c>
      <c r="E180" s="6">
        <f>+C180*D180</f>
        <v>94639.48</v>
      </c>
      <c r="F180" s="6">
        <f>+E180*7%</f>
        <v>6624.7636000000002</v>
      </c>
      <c r="G180" s="6">
        <f>+E180+F180</f>
        <v>101264.2436</v>
      </c>
      <c r="I180">
        <v>6903022</v>
      </c>
    </row>
    <row r="181" spans="1:9" ht="18" customHeight="1" x14ac:dyDescent="0.4">
      <c r="A181" s="16" t="s">
        <v>587</v>
      </c>
      <c r="B181" s="5" t="s">
        <v>31</v>
      </c>
      <c r="C181" s="37">
        <v>513.45000000000005</v>
      </c>
      <c r="D181" s="38">
        <v>53.3</v>
      </c>
      <c r="E181" s="6">
        <f>+C181*D181</f>
        <v>27366.885000000002</v>
      </c>
      <c r="F181" s="6">
        <f>+E181*7%</f>
        <v>1915.6819500000004</v>
      </c>
      <c r="G181" s="6">
        <f>+E181+F181</f>
        <v>29282.566950000004</v>
      </c>
      <c r="I181">
        <v>6903029</v>
      </c>
    </row>
    <row r="182" spans="1:9" ht="18" customHeight="1" x14ac:dyDescent="0.4">
      <c r="A182" s="16" t="s">
        <v>589</v>
      </c>
      <c r="B182" s="5" t="s">
        <v>31</v>
      </c>
      <c r="C182" s="37">
        <v>670.4</v>
      </c>
      <c r="D182" s="38">
        <v>53.3</v>
      </c>
      <c r="E182" s="6">
        <f>+C182*D182</f>
        <v>35732.32</v>
      </c>
      <c r="F182" s="6">
        <f>+E182*7%</f>
        <v>2501.2624000000001</v>
      </c>
      <c r="G182" s="6">
        <f>+E182+F182</f>
        <v>38233.582399999999</v>
      </c>
      <c r="I182">
        <v>6903075</v>
      </c>
    </row>
    <row r="183" spans="1:9" ht="18" customHeight="1" x14ac:dyDescent="0.4">
      <c r="A183" s="16" t="s">
        <v>590</v>
      </c>
      <c r="B183" s="5" t="s">
        <v>31</v>
      </c>
      <c r="C183" s="37">
        <v>1385.6</v>
      </c>
      <c r="D183" s="38">
        <v>53.3</v>
      </c>
      <c r="E183" s="6">
        <f t="shared" si="17"/>
        <v>73852.479999999996</v>
      </c>
      <c r="F183" s="6">
        <f t="shared" si="18"/>
        <v>5169.6736000000001</v>
      </c>
      <c r="G183" s="6">
        <f t="shared" si="19"/>
        <v>79022.153599999991</v>
      </c>
      <c r="I183">
        <v>6903090</v>
      </c>
    </row>
    <row r="184" spans="1:9" ht="18" customHeight="1" x14ac:dyDescent="0.4">
      <c r="A184" s="16" t="s">
        <v>622</v>
      </c>
      <c r="B184" s="5" t="s">
        <v>31</v>
      </c>
      <c r="C184" s="37">
        <v>908.3</v>
      </c>
      <c r="D184" s="38">
        <v>53.3</v>
      </c>
      <c r="E184" s="6">
        <f>+C184*D184</f>
        <v>48412.389999999992</v>
      </c>
      <c r="F184" s="6">
        <f>+E184*7%</f>
        <v>3388.8672999999999</v>
      </c>
      <c r="G184" s="6">
        <f>+E184+F184</f>
        <v>51801.25729999999</v>
      </c>
      <c r="I184">
        <v>6903096</v>
      </c>
    </row>
    <row r="185" spans="1:9" ht="18" customHeight="1" x14ac:dyDescent="0.4">
      <c r="A185" s="16" t="s">
        <v>616</v>
      </c>
      <c r="B185" s="5" t="s">
        <v>31</v>
      </c>
      <c r="C185" s="37">
        <v>3040.4</v>
      </c>
      <c r="D185" s="38">
        <v>53.3</v>
      </c>
      <c r="E185" s="6">
        <f>+C185*D185</f>
        <v>162053.32</v>
      </c>
      <c r="F185" s="6">
        <f>+E185*7%</f>
        <v>11343.732400000001</v>
      </c>
      <c r="G185" s="6">
        <f>+E185+F185</f>
        <v>173397.05240000002</v>
      </c>
      <c r="I185">
        <v>6903107</v>
      </c>
    </row>
    <row r="186" spans="1:9" ht="18" customHeight="1" x14ac:dyDescent="0.4">
      <c r="A186" s="16" t="s">
        <v>592</v>
      </c>
      <c r="B186" s="5" t="s">
        <v>31</v>
      </c>
      <c r="C186" s="37">
        <v>3066.4</v>
      </c>
      <c r="D186" s="38">
        <v>53.3</v>
      </c>
      <c r="E186" s="6">
        <f t="shared" si="17"/>
        <v>163439.12</v>
      </c>
      <c r="F186" s="6">
        <f t="shared" si="18"/>
        <v>11440.7384</v>
      </c>
      <c r="G186" s="6">
        <f t="shared" si="19"/>
        <v>174879.8584</v>
      </c>
      <c r="I186">
        <v>6903149</v>
      </c>
    </row>
    <row r="187" spans="1:9" ht="18" customHeight="1" x14ac:dyDescent="0.4">
      <c r="A187" s="16" t="s">
        <v>609</v>
      </c>
      <c r="B187" s="5" t="s">
        <v>31</v>
      </c>
      <c r="C187" s="37">
        <v>2793.9</v>
      </c>
      <c r="D187" s="38">
        <v>53.3</v>
      </c>
      <c r="E187" s="6">
        <f t="shared" si="17"/>
        <v>148914.87</v>
      </c>
      <c r="F187" s="6">
        <f t="shared" si="18"/>
        <v>10424.0409</v>
      </c>
      <c r="G187" s="6">
        <f t="shared" si="19"/>
        <v>159338.91089999999</v>
      </c>
      <c r="I187">
        <v>6903164</v>
      </c>
    </row>
    <row r="188" spans="1:9" ht="18" customHeight="1" x14ac:dyDescent="0.4">
      <c r="A188" s="16" t="s">
        <v>593</v>
      </c>
      <c r="B188" s="5" t="s">
        <v>31</v>
      </c>
      <c r="C188" s="37">
        <v>1358.4</v>
      </c>
      <c r="D188" s="38">
        <v>53.3</v>
      </c>
      <c r="E188" s="6">
        <f>+C188*D188</f>
        <v>72402.720000000001</v>
      </c>
      <c r="F188" s="6">
        <f>+E188*7%</f>
        <v>5068.1904000000004</v>
      </c>
      <c r="G188" s="6">
        <f>+E188+F188</f>
        <v>77470.910400000008</v>
      </c>
      <c r="I188">
        <v>6903182</v>
      </c>
    </row>
    <row r="189" spans="1:9" ht="18" customHeight="1" x14ac:dyDescent="0.4">
      <c r="A189" s="16" t="s">
        <v>620</v>
      </c>
      <c r="B189" s="5" t="s">
        <v>31</v>
      </c>
      <c r="C189" s="37">
        <v>1682.15</v>
      </c>
      <c r="D189" s="38">
        <v>53.3</v>
      </c>
      <c r="E189" s="6">
        <f t="shared" si="17"/>
        <v>89658.595000000001</v>
      </c>
      <c r="F189" s="6">
        <f t="shared" si="18"/>
        <v>6276.1016500000005</v>
      </c>
      <c r="G189" s="6">
        <f t="shared" si="19"/>
        <v>95934.696649999998</v>
      </c>
      <c r="I189">
        <v>6903189</v>
      </c>
    </row>
    <row r="190" spans="1:9" ht="18" customHeight="1" x14ac:dyDescent="0.4">
      <c r="A190" s="16" t="s">
        <v>597</v>
      </c>
      <c r="B190" s="5" t="s">
        <v>31</v>
      </c>
      <c r="C190" s="37">
        <v>1153.3</v>
      </c>
      <c r="D190" s="38">
        <v>53.3</v>
      </c>
      <c r="E190" s="6">
        <f t="shared" ref="E190" si="20">+C190*D190</f>
        <v>61470.889999999992</v>
      </c>
      <c r="F190" s="6">
        <f t="shared" ref="F190" si="21">+E190*7%</f>
        <v>4302.9623000000001</v>
      </c>
      <c r="G190" s="6">
        <f t="shared" ref="G190" si="22">+E190+F190</f>
        <v>65773.852299999999</v>
      </c>
      <c r="I190">
        <v>6903234</v>
      </c>
    </row>
    <row r="191" spans="1:9" ht="18" customHeight="1" x14ac:dyDescent="0.4">
      <c r="A191" s="16" t="s">
        <v>599</v>
      </c>
      <c r="B191" s="5" t="s">
        <v>31</v>
      </c>
      <c r="C191" s="37">
        <v>1819.75</v>
      </c>
      <c r="D191" s="38">
        <v>53.3</v>
      </c>
      <c r="E191" s="6">
        <f t="shared" si="17"/>
        <v>96992.674999999988</v>
      </c>
      <c r="F191" s="6">
        <f t="shared" si="18"/>
        <v>6789.4872500000001</v>
      </c>
      <c r="G191" s="6">
        <f t="shared" si="19"/>
        <v>103782.16224999999</v>
      </c>
      <c r="I191">
        <v>6903243</v>
      </c>
    </row>
    <row r="192" spans="1:9" ht="18" customHeight="1" x14ac:dyDescent="0.4">
      <c r="A192" s="16" t="s">
        <v>599</v>
      </c>
      <c r="B192" s="5" t="s">
        <v>31</v>
      </c>
      <c r="C192" s="37">
        <v>459.8</v>
      </c>
      <c r="D192" s="38">
        <v>53.3</v>
      </c>
      <c r="E192" s="6">
        <f t="shared" si="17"/>
        <v>24507.34</v>
      </c>
      <c r="F192" s="6">
        <f t="shared" si="18"/>
        <v>1715.5138000000002</v>
      </c>
      <c r="G192" s="6">
        <f t="shared" si="19"/>
        <v>26222.853800000001</v>
      </c>
      <c r="I192">
        <v>6903243</v>
      </c>
    </row>
    <row r="193" spans="1:9" ht="18" customHeight="1" x14ac:dyDescent="0.4">
      <c r="A193" s="16" t="s">
        <v>624</v>
      </c>
      <c r="B193" s="5" t="s">
        <v>31</v>
      </c>
      <c r="C193" s="37">
        <v>2302.0500000000002</v>
      </c>
      <c r="D193" s="38">
        <v>53.3</v>
      </c>
      <c r="E193" s="6">
        <f t="shared" ref="E193:E200" si="23">+C193*D193</f>
        <v>122699.265</v>
      </c>
      <c r="F193" s="6">
        <f t="shared" ref="F193:F200" si="24">+E193*7%</f>
        <v>8588.948550000001</v>
      </c>
      <c r="G193" s="6">
        <f t="shared" ref="G193:G200" si="25">+E193+F193</f>
        <v>131288.21354999999</v>
      </c>
      <c r="I193">
        <v>6903270</v>
      </c>
    </row>
    <row r="194" spans="1:9" ht="18" customHeight="1" x14ac:dyDescent="0.4">
      <c r="A194" s="16" t="s">
        <v>600</v>
      </c>
      <c r="B194" s="5" t="s">
        <v>31</v>
      </c>
      <c r="C194" s="37">
        <v>456.55</v>
      </c>
      <c r="D194" s="38">
        <v>58.3</v>
      </c>
      <c r="E194" s="6">
        <f>+C194*D194</f>
        <v>26616.864999999998</v>
      </c>
      <c r="F194" s="6">
        <f>+E194*7%</f>
        <v>1863.18055</v>
      </c>
      <c r="G194" s="6">
        <f>+E194+F194</f>
        <v>28480.045549999999</v>
      </c>
      <c r="I194">
        <v>6903284</v>
      </c>
    </row>
    <row r="195" spans="1:9" ht="18" customHeight="1" x14ac:dyDescent="0.4">
      <c r="A195" s="16" t="s">
        <v>601</v>
      </c>
      <c r="B195" s="5" t="s">
        <v>31</v>
      </c>
      <c r="C195" s="37">
        <v>822.8</v>
      </c>
      <c r="D195" s="38">
        <v>58.3</v>
      </c>
      <c r="E195" s="6">
        <f t="shared" si="23"/>
        <v>47969.24</v>
      </c>
      <c r="F195" s="6">
        <f t="shared" si="24"/>
        <v>3357.8468000000003</v>
      </c>
      <c r="G195" s="6">
        <f t="shared" si="25"/>
        <v>51327.086799999997</v>
      </c>
      <c r="I195">
        <v>6903303</v>
      </c>
    </row>
    <row r="196" spans="1:9" ht="18" customHeight="1" x14ac:dyDescent="0.4">
      <c r="A196" s="16" t="s">
        <v>612</v>
      </c>
      <c r="B196" s="5" t="s">
        <v>31</v>
      </c>
      <c r="C196" s="37">
        <v>499</v>
      </c>
      <c r="D196" s="38">
        <v>69</v>
      </c>
      <c r="E196" s="6">
        <f t="shared" si="23"/>
        <v>34431</v>
      </c>
      <c r="F196" s="6">
        <f t="shared" si="24"/>
        <v>2410.17</v>
      </c>
      <c r="G196" s="6">
        <f t="shared" si="25"/>
        <v>36841.17</v>
      </c>
      <c r="I196">
        <v>6903337</v>
      </c>
    </row>
    <row r="197" spans="1:9" ht="18" customHeight="1" x14ac:dyDescent="0.4">
      <c r="A197" s="16" t="s">
        <v>612</v>
      </c>
      <c r="B197" s="5" t="s">
        <v>31</v>
      </c>
      <c r="C197" s="37">
        <v>1781.5</v>
      </c>
      <c r="D197" s="38">
        <v>58.3</v>
      </c>
      <c r="E197" s="6">
        <f t="shared" si="23"/>
        <v>103861.45</v>
      </c>
      <c r="F197" s="6">
        <f t="shared" si="24"/>
        <v>7270.3015000000005</v>
      </c>
      <c r="G197" s="6">
        <f t="shared" si="25"/>
        <v>111131.7515</v>
      </c>
      <c r="I197">
        <v>6903336</v>
      </c>
    </row>
    <row r="198" spans="1:9" ht="18" customHeight="1" x14ac:dyDescent="0.4">
      <c r="A198" s="16" t="s">
        <v>623</v>
      </c>
      <c r="B198" s="5" t="s">
        <v>31</v>
      </c>
      <c r="C198" s="37">
        <v>470.65</v>
      </c>
      <c r="D198" s="38">
        <v>69</v>
      </c>
      <c r="E198" s="6">
        <f t="shared" si="23"/>
        <v>32474.85</v>
      </c>
      <c r="F198" s="6">
        <f t="shared" si="24"/>
        <v>2273.2395000000001</v>
      </c>
      <c r="G198" s="6">
        <f t="shared" si="25"/>
        <v>34748.089500000002</v>
      </c>
      <c r="I198">
        <v>6903359</v>
      </c>
    </row>
    <row r="199" spans="1:9" ht="18" customHeight="1" x14ac:dyDescent="0.4">
      <c r="A199" s="16" t="s">
        <v>603</v>
      </c>
      <c r="B199" s="5" t="s">
        <v>31</v>
      </c>
      <c r="C199" s="37">
        <v>2047.4</v>
      </c>
      <c r="D199" s="38">
        <v>69</v>
      </c>
      <c r="E199" s="6">
        <f t="shared" si="23"/>
        <v>141270.6</v>
      </c>
      <c r="F199" s="6">
        <f t="shared" si="24"/>
        <v>9888.9420000000009</v>
      </c>
      <c r="G199" s="6">
        <f t="shared" si="25"/>
        <v>151159.54200000002</v>
      </c>
      <c r="I199">
        <v>6903383</v>
      </c>
    </row>
    <row r="200" spans="1:9" ht="18" customHeight="1" x14ac:dyDescent="0.4">
      <c r="A200" s="16" t="s">
        <v>603</v>
      </c>
      <c r="B200" s="5" t="s">
        <v>31</v>
      </c>
      <c r="C200" s="37">
        <v>458.45</v>
      </c>
      <c r="D200" s="38">
        <v>69</v>
      </c>
      <c r="E200" s="6">
        <f t="shared" si="23"/>
        <v>31633.05</v>
      </c>
      <c r="F200" s="6">
        <f t="shared" si="24"/>
        <v>2214.3135000000002</v>
      </c>
      <c r="G200" s="6">
        <f t="shared" si="25"/>
        <v>33847.363499999999</v>
      </c>
      <c r="I200">
        <v>6903383</v>
      </c>
    </row>
    <row r="201" spans="1:9" ht="18" customHeight="1" thickBot="1" x14ac:dyDescent="0.35">
      <c r="A201" s="61"/>
      <c r="B201" s="17" t="s">
        <v>15</v>
      </c>
      <c r="C201" s="18">
        <f>SUM(C132:C200)</f>
        <v>131868.13999999998</v>
      </c>
      <c r="D201" s="66"/>
      <c r="E201" s="20">
        <f>SUM(E132:E200)</f>
        <v>7317039.6910000006</v>
      </c>
      <c r="F201" s="20">
        <f t="shared" ref="F201:G201" si="26">SUM(F132:F200)</f>
        <v>512192.77837000019</v>
      </c>
      <c r="G201" s="20">
        <f t="shared" si="26"/>
        <v>7829232.4693700001</v>
      </c>
      <c r="I201" t="s">
        <v>211</v>
      </c>
    </row>
    <row r="202" spans="1:9" ht="77.25" customHeight="1" thickTop="1" x14ac:dyDescent="0.4">
      <c r="A202" s="21"/>
      <c r="B202" s="22"/>
      <c r="C202" s="23"/>
      <c r="D202" s="140"/>
      <c r="E202" s="25"/>
      <c r="F202" s="25"/>
      <c r="G202" s="25"/>
    </row>
    <row r="203" spans="1:9" ht="23.25" x14ac:dyDescent="0.3">
      <c r="A203" s="359" t="s">
        <v>32</v>
      </c>
      <c r="B203" s="359"/>
      <c r="C203" s="359"/>
      <c r="D203" s="359"/>
      <c r="E203" s="359"/>
      <c r="F203" s="359"/>
      <c r="G203" s="359"/>
    </row>
    <row r="204" spans="1:9" ht="18" customHeight="1" x14ac:dyDescent="0.4">
      <c r="A204" s="57" t="s">
        <v>2</v>
      </c>
      <c r="B204" s="58" t="s">
        <v>3</v>
      </c>
      <c r="C204" s="58" t="s">
        <v>4</v>
      </c>
      <c r="D204" s="64" t="s">
        <v>5</v>
      </c>
      <c r="E204" s="58" t="s">
        <v>6</v>
      </c>
      <c r="F204" s="58" t="s">
        <v>7</v>
      </c>
      <c r="G204" s="58" t="s">
        <v>8</v>
      </c>
    </row>
    <row r="205" spans="1:9" ht="18" customHeight="1" x14ac:dyDescent="0.4">
      <c r="A205" s="4" t="s">
        <v>599</v>
      </c>
      <c r="B205" s="5" t="s">
        <v>224</v>
      </c>
      <c r="C205" s="37">
        <v>398.6</v>
      </c>
      <c r="D205" s="38">
        <v>56</v>
      </c>
      <c r="E205" s="6">
        <f t="shared" ref="E205:E271" si="27">+C205*D205</f>
        <v>22321.600000000002</v>
      </c>
      <c r="F205" s="6">
        <f t="shared" ref="F205:F271" si="28">+E205*7%</f>
        <v>1562.5120000000004</v>
      </c>
      <c r="G205" s="6">
        <f t="shared" ref="G205:G271" si="29">+E205+F205</f>
        <v>23884.112000000001</v>
      </c>
      <c r="I205">
        <v>6903239</v>
      </c>
    </row>
    <row r="206" spans="1:9" ht="18" customHeight="1" x14ac:dyDescent="0.4">
      <c r="A206" s="4" t="s">
        <v>612</v>
      </c>
      <c r="B206" s="5" t="s">
        <v>491</v>
      </c>
      <c r="C206" s="37">
        <v>561.52</v>
      </c>
      <c r="D206" s="38">
        <v>56</v>
      </c>
      <c r="E206" s="6">
        <f t="shared" si="27"/>
        <v>31445.119999999999</v>
      </c>
      <c r="F206" s="6">
        <f t="shared" si="28"/>
        <v>2201.1584000000003</v>
      </c>
      <c r="G206" s="6">
        <f t="shared" si="29"/>
        <v>33646.278399999996</v>
      </c>
      <c r="I206">
        <v>6903333</v>
      </c>
    </row>
    <row r="207" spans="1:9" ht="18" customHeight="1" x14ac:dyDescent="0.4">
      <c r="A207" s="4" t="s">
        <v>592</v>
      </c>
      <c r="B207" s="5" t="s">
        <v>265</v>
      </c>
      <c r="C207" s="37">
        <v>997.02</v>
      </c>
      <c r="D207" s="38">
        <v>56</v>
      </c>
      <c r="E207" s="6">
        <f t="shared" ref="E207:E213" si="30">+C207*D207</f>
        <v>55833.119999999995</v>
      </c>
      <c r="F207" s="6">
        <f t="shared" ref="F207:F213" si="31">+E207*7%</f>
        <v>3908.3184000000001</v>
      </c>
      <c r="G207" s="6">
        <f t="shared" ref="G207:G213" si="32">+E207+F207</f>
        <v>59741.438399999999</v>
      </c>
      <c r="I207">
        <v>6903137</v>
      </c>
    </row>
    <row r="208" spans="1:9" ht="18" customHeight="1" x14ac:dyDescent="0.4">
      <c r="A208" s="4" t="s">
        <v>601</v>
      </c>
      <c r="B208" s="5" t="s">
        <v>265</v>
      </c>
      <c r="C208" s="37">
        <v>995.71</v>
      </c>
      <c r="D208" s="38">
        <v>56</v>
      </c>
      <c r="E208" s="6">
        <f t="shared" si="30"/>
        <v>55759.76</v>
      </c>
      <c r="F208" s="6">
        <f t="shared" si="31"/>
        <v>3903.1832000000004</v>
      </c>
      <c r="G208" s="6">
        <f t="shared" si="32"/>
        <v>59662.943200000002</v>
      </c>
      <c r="I208">
        <v>6903296</v>
      </c>
    </row>
    <row r="209" spans="1:9" ht="18" customHeight="1" x14ac:dyDescent="0.4">
      <c r="A209" s="4" t="s">
        <v>613</v>
      </c>
      <c r="B209" s="5" t="s">
        <v>33</v>
      </c>
      <c r="C209" s="37">
        <v>488.15</v>
      </c>
      <c r="D209" s="38">
        <v>56</v>
      </c>
      <c r="E209" s="6">
        <f t="shared" si="30"/>
        <v>27336.399999999998</v>
      </c>
      <c r="F209" s="6">
        <f t="shared" si="31"/>
        <v>1913.548</v>
      </c>
      <c r="G209" s="6">
        <f t="shared" si="32"/>
        <v>29249.947999999997</v>
      </c>
      <c r="I209">
        <v>6903011</v>
      </c>
    </row>
    <row r="210" spans="1:9" ht="18" customHeight="1" x14ac:dyDescent="0.4">
      <c r="A210" s="4" t="s">
        <v>592</v>
      </c>
      <c r="B210" s="5" t="s">
        <v>33</v>
      </c>
      <c r="C210" s="37">
        <v>503.05</v>
      </c>
      <c r="D210" s="38">
        <v>56</v>
      </c>
      <c r="E210" s="6">
        <f t="shared" si="30"/>
        <v>28170.799999999999</v>
      </c>
      <c r="F210" s="6">
        <f t="shared" si="31"/>
        <v>1971.9560000000001</v>
      </c>
      <c r="G210" s="6">
        <f t="shared" si="32"/>
        <v>30142.756000000001</v>
      </c>
      <c r="I210">
        <v>6903139</v>
      </c>
    </row>
    <row r="211" spans="1:9" ht="18" customHeight="1" x14ac:dyDescent="0.4">
      <c r="A211" s="4" t="s">
        <v>597</v>
      </c>
      <c r="B211" s="5" t="s">
        <v>149</v>
      </c>
      <c r="C211" s="37">
        <v>193.37</v>
      </c>
      <c r="D211" s="38">
        <v>57</v>
      </c>
      <c r="E211" s="6">
        <f t="shared" si="30"/>
        <v>11022.09</v>
      </c>
      <c r="F211" s="6">
        <f t="shared" si="31"/>
        <v>771.54630000000009</v>
      </c>
      <c r="G211" s="6">
        <f t="shared" si="32"/>
        <v>11793.6363</v>
      </c>
      <c r="I211">
        <v>6903224</v>
      </c>
    </row>
    <row r="212" spans="1:9" ht="18" customHeight="1" x14ac:dyDescent="0.4">
      <c r="A212" s="4" t="s">
        <v>613</v>
      </c>
      <c r="B212" s="278" t="s">
        <v>665</v>
      </c>
      <c r="C212" s="279">
        <v>171.15</v>
      </c>
      <c r="D212" s="280">
        <v>71.5</v>
      </c>
      <c r="E212" s="6">
        <f t="shared" si="30"/>
        <v>12237.225</v>
      </c>
      <c r="F212" s="6">
        <f t="shared" si="31"/>
        <v>856.60575000000006</v>
      </c>
      <c r="G212" s="6">
        <f t="shared" si="32"/>
        <v>13093.830750000001</v>
      </c>
      <c r="H212" s="273" t="s">
        <v>392</v>
      </c>
      <c r="I212">
        <v>6903007</v>
      </c>
    </row>
    <row r="213" spans="1:9" ht="18" customHeight="1" x14ac:dyDescent="0.4">
      <c r="A213" s="4" t="s">
        <v>598</v>
      </c>
      <c r="B213" s="278" t="s">
        <v>666</v>
      </c>
      <c r="C213" s="279">
        <v>92.2</v>
      </c>
      <c r="D213" s="280">
        <v>78.5</v>
      </c>
      <c r="E213" s="6">
        <f t="shared" si="30"/>
        <v>7237.7</v>
      </c>
      <c r="F213" s="6">
        <f t="shared" si="31"/>
        <v>506.63900000000001</v>
      </c>
      <c r="G213" s="6">
        <f t="shared" si="32"/>
        <v>7744.3389999999999</v>
      </c>
      <c r="H213" s="273" t="s">
        <v>392</v>
      </c>
      <c r="I213">
        <v>6903261</v>
      </c>
    </row>
    <row r="214" spans="1:9" ht="18" customHeight="1" x14ac:dyDescent="0.4">
      <c r="A214" s="4" t="s">
        <v>598</v>
      </c>
      <c r="B214" s="278" t="s">
        <v>492</v>
      </c>
      <c r="C214" s="279">
        <v>203.1</v>
      </c>
      <c r="D214" s="280">
        <v>71.5</v>
      </c>
      <c r="E214" s="6">
        <f t="shared" si="27"/>
        <v>14521.65</v>
      </c>
      <c r="F214" s="6">
        <f t="shared" si="28"/>
        <v>1016.5155000000001</v>
      </c>
      <c r="G214" s="6">
        <f t="shared" si="29"/>
        <v>15538.165499999999</v>
      </c>
      <c r="H214" s="274" t="s">
        <v>398</v>
      </c>
      <c r="I214">
        <v>6903262</v>
      </c>
    </row>
    <row r="215" spans="1:9" ht="18" customHeight="1" x14ac:dyDescent="0.4">
      <c r="A215" s="4" t="s">
        <v>598</v>
      </c>
      <c r="B215" s="275" t="s">
        <v>625</v>
      </c>
      <c r="C215" s="276">
        <v>195.2</v>
      </c>
      <c r="D215" s="277">
        <v>81</v>
      </c>
      <c r="E215" s="6">
        <f t="shared" si="27"/>
        <v>15811.199999999999</v>
      </c>
      <c r="F215" s="6">
        <f t="shared" si="28"/>
        <v>1106.7840000000001</v>
      </c>
      <c r="G215" s="6">
        <f t="shared" si="29"/>
        <v>16917.984</v>
      </c>
      <c r="H215" s="274" t="s">
        <v>398</v>
      </c>
      <c r="I215">
        <v>6903262</v>
      </c>
    </row>
    <row r="216" spans="1:9" ht="18" customHeight="1" x14ac:dyDescent="0.4">
      <c r="A216" s="4" t="s">
        <v>597</v>
      </c>
      <c r="B216" s="275" t="s">
        <v>189</v>
      </c>
      <c r="C216" s="276">
        <v>270.5</v>
      </c>
      <c r="D216" s="277">
        <v>81</v>
      </c>
      <c r="E216" s="6">
        <f t="shared" si="27"/>
        <v>21910.5</v>
      </c>
      <c r="F216" s="6">
        <f t="shared" si="28"/>
        <v>1533.7350000000001</v>
      </c>
      <c r="G216" s="6">
        <f t="shared" si="29"/>
        <v>23444.235000000001</v>
      </c>
      <c r="H216" s="274" t="s">
        <v>398</v>
      </c>
      <c r="I216">
        <v>6903221</v>
      </c>
    </row>
    <row r="217" spans="1:9" ht="18" customHeight="1" x14ac:dyDescent="0.4">
      <c r="A217" s="4" t="s">
        <v>598</v>
      </c>
      <c r="B217" s="278" t="s">
        <v>626</v>
      </c>
      <c r="C217" s="279">
        <v>182.35</v>
      </c>
      <c r="D217" s="280">
        <v>71.5</v>
      </c>
      <c r="E217" s="6">
        <f t="shared" si="27"/>
        <v>13038.025</v>
      </c>
      <c r="F217" s="6">
        <f t="shared" si="28"/>
        <v>912.6617500000001</v>
      </c>
      <c r="G217" s="6">
        <f t="shared" si="29"/>
        <v>13950.686749999999</v>
      </c>
      <c r="H217" s="274" t="s">
        <v>398</v>
      </c>
      <c r="I217">
        <v>6903261</v>
      </c>
    </row>
    <row r="218" spans="1:9" ht="18" customHeight="1" x14ac:dyDescent="0.4">
      <c r="A218" s="4" t="s">
        <v>590</v>
      </c>
      <c r="B218" s="275" t="s">
        <v>285</v>
      </c>
      <c r="C218" s="276">
        <v>96.55</v>
      </c>
      <c r="D218" s="277">
        <v>89</v>
      </c>
      <c r="E218" s="6">
        <f t="shared" si="27"/>
        <v>8592.9499999999989</v>
      </c>
      <c r="F218" s="6">
        <f t="shared" si="28"/>
        <v>601.50649999999996</v>
      </c>
      <c r="G218" s="6">
        <f t="shared" si="29"/>
        <v>9194.4564999999984</v>
      </c>
      <c r="H218" s="273" t="s">
        <v>392</v>
      </c>
      <c r="I218">
        <v>6903084</v>
      </c>
    </row>
    <row r="219" spans="1:9" ht="18" customHeight="1" x14ac:dyDescent="0.4">
      <c r="A219" s="4" t="s">
        <v>608</v>
      </c>
      <c r="B219" s="278" t="s">
        <v>287</v>
      </c>
      <c r="C219" s="279">
        <v>283.55</v>
      </c>
      <c r="D219" s="280">
        <v>71.5</v>
      </c>
      <c r="E219" s="6">
        <f t="shared" si="27"/>
        <v>20273.825000000001</v>
      </c>
      <c r="F219" s="6">
        <f t="shared" si="28"/>
        <v>1419.1677500000003</v>
      </c>
      <c r="G219" s="6">
        <f t="shared" si="29"/>
        <v>21692.992750000001</v>
      </c>
      <c r="H219" s="274" t="s">
        <v>398</v>
      </c>
      <c r="I219">
        <v>6903044</v>
      </c>
    </row>
    <row r="220" spans="1:9" ht="18" customHeight="1" x14ac:dyDescent="0.4">
      <c r="A220" s="4" t="s">
        <v>612</v>
      </c>
      <c r="B220" s="278" t="s">
        <v>287</v>
      </c>
      <c r="C220" s="279">
        <v>504.15</v>
      </c>
      <c r="D220" s="280">
        <v>71.5</v>
      </c>
      <c r="E220" s="6">
        <f t="shared" si="27"/>
        <v>36046.724999999999</v>
      </c>
      <c r="F220" s="6">
        <f t="shared" si="28"/>
        <v>2523.2707500000001</v>
      </c>
      <c r="G220" s="6">
        <f t="shared" si="29"/>
        <v>38569.995750000002</v>
      </c>
      <c r="H220" s="273" t="s">
        <v>392</v>
      </c>
      <c r="I220">
        <v>6903332</v>
      </c>
    </row>
    <row r="221" spans="1:9" ht="18" customHeight="1" x14ac:dyDescent="0.4">
      <c r="A221" s="4" t="s">
        <v>597</v>
      </c>
      <c r="B221" s="275" t="s">
        <v>496</v>
      </c>
      <c r="C221" s="276">
        <v>93.35</v>
      </c>
      <c r="D221" s="277">
        <v>89</v>
      </c>
      <c r="E221" s="6">
        <f t="shared" si="27"/>
        <v>8308.15</v>
      </c>
      <c r="F221" s="6">
        <f t="shared" si="28"/>
        <v>581.57050000000004</v>
      </c>
      <c r="G221" s="6">
        <f t="shared" si="29"/>
        <v>8889.7204999999994</v>
      </c>
      <c r="H221" s="274" t="s">
        <v>398</v>
      </c>
      <c r="I221">
        <v>6903221</v>
      </c>
    </row>
    <row r="222" spans="1:9" ht="18" customHeight="1" x14ac:dyDescent="0.4">
      <c r="A222" s="4" t="s">
        <v>608</v>
      </c>
      <c r="B222" s="275" t="s">
        <v>129</v>
      </c>
      <c r="C222" s="276">
        <v>471.75</v>
      </c>
      <c r="D222" s="277">
        <v>81</v>
      </c>
      <c r="E222" s="6">
        <f t="shared" si="27"/>
        <v>38211.75</v>
      </c>
      <c r="F222" s="6">
        <f t="shared" si="28"/>
        <v>2674.8225000000002</v>
      </c>
      <c r="G222" s="6">
        <f t="shared" si="29"/>
        <v>40886.572500000002</v>
      </c>
      <c r="H222" s="274" t="s">
        <v>398</v>
      </c>
      <c r="I222">
        <v>6903046</v>
      </c>
    </row>
    <row r="223" spans="1:9" ht="18" customHeight="1" x14ac:dyDescent="0.4">
      <c r="A223" s="4" t="s">
        <v>616</v>
      </c>
      <c r="B223" s="275" t="s">
        <v>129</v>
      </c>
      <c r="C223" s="276">
        <v>201.65</v>
      </c>
      <c r="D223" s="277">
        <v>81</v>
      </c>
      <c r="E223" s="6">
        <f t="shared" si="27"/>
        <v>16333.65</v>
      </c>
      <c r="F223" s="6">
        <f t="shared" si="28"/>
        <v>1143.3555000000001</v>
      </c>
      <c r="G223" s="6">
        <f t="shared" si="29"/>
        <v>17477.005499999999</v>
      </c>
      <c r="H223" s="274" t="s">
        <v>398</v>
      </c>
      <c r="I223">
        <v>6903104</v>
      </c>
    </row>
    <row r="224" spans="1:9" ht="18" customHeight="1" x14ac:dyDescent="0.4">
      <c r="A224" s="4" t="s">
        <v>601</v>
      </c>
      <c r="B224" s="275" t="s">
        <v>129</v>
      </c>
      <c r="C224" s="276">
        <v>592.9</v>
      </c>
      <c r="D224" s="277">
        <v>81</v>
      </c>
      <c r="E224" s="6">
        <f t="shared" si="27"/>
        <v>48024.9</v>
      </c>
      <c r="F224" s="6">
        <f t="shared" si="28"/>
        <v>3361.7430000000004</v>
      </c>
      <c r="G224" s="6">
        <f t="shared" si="29"/>
        <v>51386.643000000004</v>
      </c>
      <c r="H224" s="273" t="s">
        <v>392</v>
      </c>
      <c r="I224">
        <v>6903295</v>
      </c>
    </row>
    <row r="225" spans="1:9" ht="18" customHeight="1" x14ac:dyDescent="0.4">
      <c r="A225" s="4" t="s">
        <v>612</v>
      </c>
      <c r="B225" s="275" t="s">
        <v>682</v>
      </c>
      <c r="C225" s="276">
        <v>198.75</v>
      </c>
      <c r="D225" s="277">
        <v>81</v>
      </c>
      <c r="E225" s="6">
        <f t="shared" si="27"/>
        <v>16098.75</v>
      </c>
      <c r="F225" s="6">
        <f t="shared" si="28"/>
        <v>1126.9125000000001</v>
      </c>
      <c r="G225" s="6">
        <f t="shared" si="29"/>
        <v>17225.662499999999</v>
      </c>
      <c r="H225" s="273" t="s">
        <v>392</v>
      </c>
      <c r="I225">
        <v>6903332</v>
      </c>
    </row>
    <row r="226" spans="1:9" ht="18" customHeight="1" x14ac:dyDescent="0.4">
      <c r="A226" s="4" t="s">
        <v>608</v>
      </c>
      <c r="B226" s="275" t="s">
        <v>34</v>
      </c>
      <c r="C226" s="276">
        <v>485.55</v>
      </c>
      <c r="D226" s="277">
        <v>81</v>
      </c>
      <c r="E226" s="6">
        <f t="shared" si="27"/>
        <v>39329.550000000003</v>
      </c>
      <c r="F226" s="6">
        <f t="shared" si="28"/>
        <v>2753.0685000000003</v>
      </c>
      <c r="G226" s="6">
        <f t="shared" si="29"/>
        <v>42082.618500000004</v>
      </c>
      <c r="H226" s="273" t="s">
        <v>392</v>
      </c>
      <c r="I226">
        <v>6903045</v>
      </c>
    </row>
    <row r="227" spans="1:9" ht="18" customHeight="1" x14ac:dyDescent="0.4">
      <c r="A227" s="4" t="s">
        <v>600</v>
      </c>
      <c r="B227" s="275" t="s">
        <v>34</v>
      </c>
      <c r="C227" s="276">
        <v>486.45</v>
      </c>
      <c r="D227" s="277">
        <v>81</v>
      </c>
      <c r="E227" s="6">
        <f>+C227*D227</f>
        <v>39402.449999999997</v>
      </c>
      <c r="F227" s="6">
        <f>+E227*7%</f>
        <v>2758.1714999999999</v>
      </c>
      <c r="G227" s="6">
        <f>+E227+F227</f>
        <v>42160.621499999994</v>
      </c>
      <c r="H227" s="273" t="s">
        <v>392</v>
      </c>
      <c r="I227">
        <v>6903281</v>
      </c>
    </row>
    <row r="228" spans="1:9" ht="18" customHeight="1" x14ac:dyDescent="0.4">
      <c r="A228" s="4" t="s">
        <v>592</v>
      </c>
      <c r="B228" s="275" t="s">
        <v>35</v>
      </c>
      <c r="C228" s="276">
        <v>988.25</v>
      </c>
      <c r="D228" s="277">
        <v>81</v>
      </c>
      <c r="E228" s="6">
        <f t="shared" si="27"/>
        <v>80048.25</v>
      </c>
      <c r="F228" s="6">
        <f t="shared" si="28"/>
        <v>5603.3775000000005</v>
      </c>
      <c r="G228" s="6">
        <f t="shared" si="29"/>
        <v>85651.627500000002</v>
      </c>
      <c r="H228" s="273" t="s">
        <v>392</v>
      </c>
      <c r="I228">
        <v>6903138</v>
      </c>
    </row>
    <row r="229" spans="1:9" ht="18" customHeight="1" x14ac:dyDescent="0.4">
      <c r="A229" s="16" t="s">
        <v>608</v>
      </c>
      <c r="B229" s="275" t="s">
        <v>35</v>
      </c>
      <c r="C229" s="276">
        <v>1022.2</v>
      </c>
      <c r="D229" s="277">
        <v>81</v>
      </c>
      <c r="E229" s="6">
        <f t="shared" si="27"/>
        <v>82798.2</v>
      </c>
      <c r="F229" s="6">
        <f t="shared" si="28"/>
        <v>5795.8740000000007</v>
      </c>
      <c r="G229" s="6">
        <f t="shared" si="29"/>
        <v>88594.073999999993</v>
      </c>
      <c r="H229" s="273" t="s">
        <v>392</v>
      </c>
      <c r="I229">
        <v>6903045</v>
      </c>
    </row>
    <row r="230" spans="1:9" ht="18" customHeight="1" x14ac:dyDescent="0.4">
      <c r="A230" s="16" t="s">
        <v>596</v>
      </c>
      <c r="B230" s="275" t="s">
        <v>35</v>
      </c>
      <c r="C230" s="276">
        <v>1995.75</v>
      </c>
      <c r="D230" s="277">
        <v>81</v>
      </c>
      <c r="E230" s="6">
        <f t="shared" si="27"/>
        <v>161655.75</v>
      </c>
      <c r="F230" s="6">
        <f t="shared" si="28"/>
        <v>11315.902500000002</v>
      </c>
      <c r="G230" s="6">
        <f t="shared" si="29"/>
        <v>172971.6525</v>
      </c>
      <c r="H230" s="273" t="s">
        <v>392</v>
      </c>
      <c r="I230">
        <v>6903209</v>
      </c>
    </row>
    <row r="231" spans="1:9" ht="18" customHeight="1" x14ac:dyDescent="0.4">
      <c r="A231" s="16" t="s">
        <v>600</v>
      </c>
      <c r="B231" s="275" t="s">
        <v>35</v>
      </c>
      <c r="C231" s="276">
        <v>2093.9499999999998</v>
      </c>
      <c r="D231" s="277">
        <v>81</v>
      </c>
      <c r="E231" s="6">
        <f t="shared" si="27"/>
        <v>169609.94999999998</v>
      </c>
      <c r="F231" s="6">
        <f t="shared" si="28"/>
        <v>11872.6965</v>
      </c>
      <c r="G231" s="6">
        <f t="shared" si="29"/>
        <v>181482.64649999997</v>
      </c>
      <c r="H231" s="273" t="s">
        <v>392</v>
      </c>
      <c r="I231">
        <v>6903281</v>
      </c>
    </row>
    <row r="232" spans="1:9" ht="18" customHeight="1" x14ac:dyDescent="0.4">
      <c r="A232" s="16" t="s">
        <v>604</v>
      </c>
      <c r="B232" s="275" t="s">
        <v>35</v>
      </c>
      <c r="C232" s="276">
        <v>956.6</v>
      </c>
      <c r="D232" s="277">
        <v>81</v>
      </c>
      <c r="E232" s="6">
        <f t="shared" si="27"/>
        <v>77484.600000000006</v>
      </c>
      <c r="F232" s="6">
        <f t="shared" si="28"/>
        <v>5423.9220000000005</v>
      </c>
      <c r="G232" s="6">
        <f t="shared" si="29"/>
        <v>82908.522000000012</v>
      </c>
      <c r="H232" s="273" t="s">
        <v>392</v>
      </c>
      <c r="I232">
        <v>6903369</v>
      </c>
    </row>
    <row r="233" spans="1:9" ht="18" customHeight="1" x14ac:dyDescent="0.4">
      <c r="A233" s="4" t="s">
        <v>599</v>
      </c>
      <c r="B233" s="275" t="s">
        <v>36</v>
      </c>
      <c r="C233" s="276">
        <v>1978</v>
      </c>
      <c r="D233" s="277">
        <v>81</v>
      </c>
      <c r="E233" s="6">
        <f t="shared" si="27"/>
        <v>160218</v>
      </c>
      <c r="F233" s="6">
        <f t="shared" si="28"/>
        <v>11215.26</v>
      </c>
      <c r="G233" s="6">
        <f t="shared" si="29"/>
        <v>171433.26</v>
      </c>
      <c r="H233" s="273" t="s">
        <v>392</v>
      </c>
      <c r="I233">
        <v>6903240</v>
      </c>
    </row>
    <row r="234" spans="1:9" ht="18" customHeight="1" x14ac:dyDescent="0.4">
      <c r="A234" s="16" t="s">
        <v>608</v>
      </c>
      <c r="B234" s="275" t="s">
        <v>37</v>
      </c>
      <c r="C234" s="276">
        <v>679.07</v>
      </c>
      <c r="D234" s="277">
        <v>80</v>
      </c>
      <c r="E234" s="6">
        <f t="shared" si="27"/>
        <v>54325.600000000006</v>
      </c>
      <c r="F234" s="6">
        <f t="shared" si="28"/>
        <v>3802.7920000000008</v>
      </c>
      <c r="G234" s="6">
        <f t="shared" si="29"/>
        <v>58128.392000000007</v>
      </c>
      <c r="H234" s="274" t="s">
        <v>398</v>
      </c>
      <c r="I234">
        <v>6903042</v>
      </c>
    </row>
    <row r="235" spans="1:9" ht="18" customHeight="1" x14ac:dyDescent="0.4">
      <c r="A235" s="16" t="s">
        <v>589</v>
      </c>
      <c r="B235" s="275" t="s">
        <v>37</v>
      </c>
      <c r="C235" s="276">
        <v>340.56</v>
      </c>
      <c r="D235" s="277">
        <v>80</v>
      </c>
      <c r="E235" s="6">
        <f t="shared" si="27"/>
        <v>27244.799999999999</v>
      </c>
      <c r="F235" s="6">
        <f t="shared" si="28"/>
        <v>1907.1360000000002</v>
      </c>
      <c r="G235" s="6">
        <f t="shared" si="29"/>
        <v>29151.935999999998</v>
      </c>
      <c r="H235" s="274" t="s">
        <v>398</v>
      </c>
      <c r="I235">
        <v>6903073</v>
      </c>
    </row>
    <row r="236" spans="1:9" ht="18" customHeight="1" x14ac:dyDescent="0.4">
      <c r="A236" s="16" t="s">
        <v>604</v>
      </c>
      <c r="B236" s="275" t="s">
        <v>37</v>
      </c>
      <c r="C236" s="276">
        <v>95.86</v>
      </c>
      <c r="D236" s="277">
        <v>80</v>
      </c>
      <c r="E236" s="6">
        <f t="shared" si="27"/>
        <v>7668.8</v>
      </c>
      <c r="F236" s="6">
        <f t="shared" si="28"/>
        <v>536.81600000000003</v>
      </c>
      <c r="G236" s="6">
        <f t="shared" si="29"/>
        <v>8205.616</v>
      </c>
      <c r="H236" s="274" t="s">
        <v>398</v>
      </c>
      <c r="I236">
        <v>6903372</v>
      </c>
    </row>
    <row r="237" spans="1:9" ht="18" customHeight="1" x14ac:dyDescent="0.4">
      <c r="A237" s="16" t="s">
        <v>596</v>
      </c>
      <c r="B237" s="275" t="s">
        <v>206</v>
      </c>
      <c r="C237" s="276">
        <v>443.52</v>
      </c>
      <c r="D237" s="277">
        <v>81</v>
      </c>
      <c r="E237" s="6">
        <f t="shared" si="27"/>
        <v>35925.119999999995</v>
      </c>
      <c r="F237" s="6">
        <f t="shared" si="28"/>
        <v>2514.7583999999997</v>
      </c>
      <c r="G237" s="6">
        <f t="shared" si="29"/>
        <v>38439.878399999994</v>
      </c>
      <c r="H237" s="274" t="s">
        <v>398</v>
      </c>
      <c r="I237">
        <v>6903210</v>
      </c>
    </row>
    <row r="238" spans="1:9" ht="18" customHeight="1" x14ac:dyDescent="0.4">
      <c r="A238" s="16" t="s">
        <v>599</v>
      </c>
      <c r="B238" s="275" t="s">
        <v>231</v>
      </c>
      <c r="C238" s="276">
        <v>295.58</v>
      </c>
      <c r="D238" s="277">
        <v>81</v>
      </c>
      <c r="E238" s="6">
        <f t="shared" si="27"/>
        <v>23941.98</v>
      </c>
      <c r="F238" s="6">
        <f t="shared" si="28"/>
        <v>1675.9386000000002</v>
      </c>
      <c r="G238" s="6">
        <f t="shared" si="29"/>
        <v>25617.918600000001</v>
      </c>
      <c r="H238" s="274" t="s">
        <v>398</v>
      </c>
      <c r="I238">
        <v>6903244</v>
      </c>
    </row>
    <row r="239" spans="1:9" ht="18" customHeight="1" x14ac:dyDescent="0.4">
      <c r="A239" s="16" t="s">
        <v>604</v>
      </c>
      <c r="B239" s="275" t="s">
        <v>231</v>
      </c>
      <c r="C239" s="276">
        <v>240.35</v>
      </c>
      <c r="D239" s="277">
        <v>81</v>
      </c>
      <c r="E239" s="6">
        <f t="shared" si="27"/>
        <v>19468.349999999999</v>
      </c>
      <c r="F239" s="6">
        <f t="shared" si="28"/>
        <v>1362.7845</v>
      </c>
      <c r="G239" s="6">
        <f t="shared" si="29"/>
        <v>20831.1345</v>
      </c>
      <c r="H239" s="274" t="s">
        <v>398</v>
      </c>
      <c r="I239">
        <v>6903374</v>
      </c>
    </row>
    <row r="240" spans="1:9" ht="18" customHeight="1" x14ac:dyDescent="0.4">
      <c r="A240" s="16" t="s">
        <v>589</v>
      </c>
      <c r="B240" s="275" t="s">
        <v>627</v>
      </c>
      <c r="C240" s="276">
        <v>295.83</v>
      </c>
      <c r="D240" s="277">
        <v>81</v>
      </c>
      <c r="E240" s="6">
        <f t="shared" si="27"/>
        <v>23962.23</v>
      </c>
      <c r="F240" s="6">
        <f t="shared" si="28"/>
        <v>1677.3561000000002</v>
      </c>
      <c r="G240" s="6">
        <f t="shared" si="29"/>
        <v>25639.5861</v>
      </c>
      <c r="H240" s="273" t="s">
        <v>392</v>
      </c>
      <c r="I240">
        <v>6903069</v>
      </c>
    </row>
    <row r="241" spans="1:9" ht="18" customHeight="1" x14ac:dyDescent="0.4">
      <c r="A241" s="16" t="s">
        <v>589</v>
      </c>
      <c r="B241" s="275" t="s">
        <v>245</v>
      </c>
      <c r="C241" s="276">
        <v>390.19</v>
      </c>
      <c r="D241" s="277">
        <v>81</v>
      </c>
      <c r="E241" s="6">
        <f t="shared" si="27"/>
        <v>31605.39</v>
      </c>
      <c r="F241" s="6">
        <f t="shared" si="28"/>
        <v>2212.3773000000001</v>
      </c>
      <c r="G241" s="6">
        <f t="shared" si="29"/>
        <v>33817.7673</v>
      </c>
      <c r="H241" s="273" t="s">
        <v>392</v>
      </c>
      <c r="I241">
        <v>6903068</v>
      </c>
    </row>
    <row r="242" spans="1:9" ht="18" customHeight="1" x14ac:dyDescent="0.4">
      <c r="A242" s="16" t="s">
        <v>608</v>
      </c>
      <c r="B242" s="275" t="s">
        <v>38</v>
      </c>
      <c r="C242" s="276">
        <v>192.82</v>
      </c>
      <c r="D242" s="277">
        <v>81</v>
      </c>
      <c r="E242" s="6">
        <f t="shared" si="27"/>
        <v>15618.42</v>
      </c>
      <c r="F242" s="6">
        <f t="shared" si="28"/>
        <v>1093.2894000000001</v>
      </c>
      <c r="G242" s="6">
        <f t="shared" si="29"/>
        <v>16711.7094</v>
      </c>
      <c r="H242" s="273" t="s">
        <v>392</v>
      </c>
      <c r="I242">
        <v>6903040</v>
      </c>
    </row>
    <row r="243" spans="1:9" ht="18" customHeight="1" x14ac:dyDescent="0.4">
      <c r="A243" s="16" t="s">
        <v>598</v>
      </c>
      <c r="B243" s="275" t="s">
        <v>38</v>
      </c>
      <c r="C243" s="276">
        <v>292.27999999999997</v>
      </c>
      <c r="D243" s="277">
        <v>81</v>
      </c>
      <c r="E243" s="6">
        <f t="shared" si="27"/>
        <v>23674.679999999997</v>
      </c>
      <c r="F243" s="6">
        <f t="shared" si="28"/>
        <v>1657.2275999999999</v>
      </c>
      <c r="G243" s="6">
        <f t="shared" si="29"/>
        <v>25331.907599999995</v>
      </c>
      <c r="H243" s="273" t="s">
        <v>392</v>
      </c>
      <c r="I243">
        <v>6903260</v>
      </c>
    </row>
    <row r="244" spans="1:9" ht="18" customHeight="1" x14ac:dyDescent="0.4">
      <c r="A244" s="16" t="s">
        <v>601</v>
      </c>
      <c r="B244" s="275" t="s">
        <v>38</v>
      </c>
      <c r="C244" s="276">
        <v>194.77</v>
      </c>
      <c r="D244" s="277">
        <v>81</v>
      </c>
      <c r="E244" s="6">
        <f t="shared" si="27"/>
        <v>15776.37</v>
      </c>
      <c r="F244" s="6">
        <f t="shared" si="28"/>
        <v>1104.3459000000003</v>
      </c>
      <c r="G244" s="6">
        <f t="shared" si="29"/>
        <v>16880.715900000003</v>
      </c>
      <c r="H244" s="273" t="s">
        <v>392</v>
      </c>
      <c r="I244">
        <v>6903299</v>
      </c>
    </row>
    <row r="245" spans="1:9" ht="18" customHeight="1" x14ac:dyDescent="0.4">
      <c r="A245" s="16" t="s">
        <v>597</v>
      </c>
      <c r="B245" s="275" t="s">
        <v>222</v>
      </c>
      <c r="C245" s="276">
        <v>290.18</v>
      </c>
      <c r="D245" s="277">
        <v>81</v>
      </c>
      <c r="E245" s="6">
        <f t="shared" si="27"/>
        <v>23504.58</v>
      </c>
      <c r="F245" s="6">
        <f t="shared" si="28"/>
        <v>1645.3206000000002</v>
      </c>
      <c r="G245" s="6">
        <f t="shared" si="29"/>
        <v>25149.900600000001</v>
      </c>
      <c r="H245" s="273" t="s">
        <v>392</v>
      </c>
      <c r="I245">
        <v>6903226</v>
      </c>
    </row>
    <row r="246" spans="1:9" ht="18" customHeight="1" x14ac:dyDescent="0.4">
      <c r="A246" s="16" t="s">
        <v>601</v>
      </c>
      <c r="B246" s="275" t="s">
        <v>141</v>
      </c>
      <c r="C246" s="276">
        <v>199.72</v>
      </c>
      <c r="D246" s="277">
        <v>81</v>
      </c>
      <c r="E246" s="6">
        <f t="shared" si="27"/>
        <v>16177.32</v>
      </c>
      <c r="F246" s="6">
        <f t="shared" si="28"/>
        <v>1132.4124000000002</v>
      </c>
      <c r="G246" s="6">
        <f t="shared" si="29"/>
        <v>17309.732400000001</v>
      </c>
      <c r="H246" s="274" t="s">
        <v>398</v>
      </c>
      <c r="I246">
        <v>6903298</v>
      </c>
    </row>
    <row r="247" spans="1:9" ht="18" customHeight="1" x14ac:dyDescent="0.4">
      <c r="A247" s="16" t="s">
        <v>604</v>
      </c>
      <c r="B247" s="275" t="s">
        <v>141</v>
      </c>
      <c r="C247" s="276">
        <v>242.35</v>
      </c>
      <c r="D247" s="277">
        <v>81</v>
      </c>
      <c r="E247" s="6">
        <f t="shared" si="27"/>
        <v>19630.349999999999</v>
      </c>
      <c r="F247" s="6">
        <f t="shared" si="28"/>
        <v>1374.1245000000001</v>
      </c>
      <c r="G247" s="6">
        <f t="shared" si="29"/>
        <v>21004.4745</v>
      </c>
      <c r="H247" s="273" t="s">
        <v>392</v>
      </c>
      <c r="I247">
        <v>6803375</v>
      </c>
    </row>
    <row r="248" spans="1:9" ht="18" customHeight="1" x14ac:dyDescent="0.4">
      <c r="A248" s="16" t="s">
        <v>597</v>
      </c>
      <c r="B248" s="275" t="s">
        <v>628</v>
      </c>
      <c r="C248" s="276">
        <v>490.5</v>
      </c>
      <c r="D248" s="277">
        <v>81</v>
      </c>
      <c r="E248" s="6">
        <f t="shared" si="27"/>
        <v>39730.5</v>
      </c>
      <c r="F248" s="6">
        <f t="shared" si="28"/>
        <v>2781.1350000000002</v>
      </c>
      <c r="G248" s="6">
        <f t="shared" si="29"/>
        <v>42511.635000000002</v>
      </c>
      <c r="H248" s="273" t="s">
        <v>392</v>
      </c>
      <c r="I248">
        <v>6903230</v>
      </c>
    </row>
    <row r="249" spans="1:9" ht="18" customHeight="1" x14ac:dyDescent="0.4">
      <c r="A249" s="16" t="s">
        <v>599</v>
      </c>
      <c r="B249" s="275" t="s">
        <v>628</v>
      </c>
      <c r="C249" s="276">
        <v>1507.68</v>
      </c>
      <c r="D249" s="277">
        <v>81</v>
      </c>
      <c r="E249" s="6">
        <f t="shared" si="27"/>
        <v>122122.08</v>
      </c>
      <c r="F249" s="6">
        <f t="shared" si="28"/>
        <v>8548.5456000000013</v>
      </c>
      <c r="G249" s="6">
        <f t="shared" si="29"/>
        <v>130670.6256</v>
      </c>
      <c r="H249" s="273" t="s">
        <v>392</v>
      </c>
      <c r="I249">
        <v>6903241</v>
      </c>
    </row>
    <row r="250" spans="1:9" ht="18" customHeight="1" x14ac:dyDescent="0.4">
      <c r="A250" s="16" t="s">
        <v>602</v>
      </c>
      <c r="B250" s="275" t="s">
        <v>193</v>
      </c>
      <c r="C250" s="276">
        <v>1492.73</v>
      </c>
      <c r="D250" s="277">
        <v>80</v>
      </c>
      <c r="E250" s="6">
        <f t="shared" si="27"/>
        <v>119418.4</v>
      </c>
      <c r="F250" s="6">
        <f t="shared" si="28"/>
        <v>8359.2880000000005</v>
      </c>
      <c r="G250" s="6">
        <f t="shared" si="29"/>
        <v>127777.68799999999</v>
      </c>
      <c r="H250" s="273" t="s">
        <v>392</v>
      </c>
      <c r="I250">
        <v>6903319</v>
      </c>
    </row>
    <row r="251" spans="1:9" ht="18" customHeight="1" x14ac:dyDescent="0.4">
      <c r="A251" s="4" t="s">
        <v>629</v>
      </c>
      <c r="B251" s="275" t="s">
        <v>205</v>
      </c>
      <c r="C251" s="276">
        <v>580.86</v>
      </c>
      <c r="D251" s="277">
        <v>80</v>
      </c>
      <c r="E251" s="6">
        <f t="shared" si="27"/>
        <v>46468.800000000003</v>
      </c>
      <c r="F251" s="6">
        <f t="shared" si="28"/>
        <v>3252.8160000000007</v>
      </c>
      <c r="G251" s="6">
        <f t="shared" si="29"/>
        <v>49721.616000000002</v>
      </c>
      <c r="H251" s="273" t="s">
        <v>392</v>
      </c>
      <c r="I251">
        <v>6903041</v>
      </c>
    </row>
    <row r="252" spans="1:9" ht="18" customHeight="1" x14ac:dyDescent="0.4">
      <c r="A252" s="4" t="s">
        <v>613</v>
      </c>
      <c r="B252" s="275" t="s">
        <v>39</v>
      </c>
      <c r="C252" s="276">
        <v>4490.66</v>
      </c>
      <c r="D252" s="277">
        <v>81</v>
      </c>
      <c r="E252" s="6">
        <f t="shared" si="27"/>
        <v>363743.45999999996</v>
      </c>
      <c r="F252" s="6">
        <f t="shared" si="28"/>
        <v>25462.0422</v>
      </c>
      <c r="G252" s="6">
        <f t="shared" si="29"/>
        <v>389205.50219999999</v>
      </c>
      <c r="H252" s="273" t="s">
        <v>392</v>
      </c>
      <c r="I252">
        <v>6903012</v>
      </c>
    </row>
    <row r="253" spans="1:9" ht="18" customHeight="1" x14ac:dyDescent="0.4">
      <c r="A253" s="4" t="s">
        <v>592</v>
      </c>
      <c r="B253" s="275" t="s">
        <v>39</v>
      </c>
      <c r="C253" s="276">
        <v>786.28</v>
      </c>
      <c r="D253" s="277">
        <v>81</v>
      </c>
      <c r="E253" s="6">
        <f t="shared" si="27"/>
        <v>63688.68</v>
      </c>
      <c r="F253" s="6">
        <f t="shared" si="28"/>
        <v>4458.2076000000006</v>
      </c>
      <c r="G253" s="6">
        <f t="shared" si="29"/>
        <v>68146.887600000002</v>
      </c>
      <c r="H253" s="273" t="s">
        <v>392</v>
      </c>
      <c r="I253">
        <v>6903140</v>
      </c>
    </row>
    <row r="254" spans="1:9" ht="18" customHeight="1" x14ac:dyDescent="0.4">
      <c r="A254" s="4" t="s">
        <v>612</v>
      </c>
      <c r="B254" s="275" t="s">
        <v>39</v>
      </c>
      <c r="C254" s="276">
        <v>974.75</v>
      </c>
      <c r="D254" s="277">
        <v>81</v>
      </c>
      <c r="E254" s="6">
        <f t="shared" si="27"/>
        <v>78954.75</v>
      </c>
      <c r="F254" s="6">
        <f t="shared" si="28"/>
        <v>5526.8325000000004</v>
      </c>
      <c r="G254" s="6">
        <f t="shared" si="29"/>
        <v>84481.582500000004</v>
      </c>
      <c r="H254" s="273" t="s">
        <v>392</v>
      </c>
      <c r="I254">
        <v>6903331</v>
      </c>
    </row>
    <row r="255" spans="1:9" ht="18" customHeight="1" x14ac:dyDescent="0.4">
      <c r="A255" s="4" t="s">
        <v>604</v>
      </c>
      <c r="B255" s="275" t="s">
        <v>39</v>
      </c>
      <c r="C255" s="276">
        <v>3019.16</v>
      </c>
      <c r="D255" s="277">
        <v>81</v>
      </c>
      <c r="E255" s="6">
        <f t="shared" si="27"/>
        <v>244551.96</v>
      </c>
      <c r="F255" s="6">
        <f t="shared" si="28"/>
        <v>17118.637200000001</v>
      </c>
      <c r="G255" s="6">
        <f t="shared" si="29"/>
        <v>261670.59719999999</v>
      </c>
      <c r="H255" s="273" t="s">
        <v>392</v>
      </c>
      <c r="I255">
        <v>6903371</v>
      </c>
    </row>
    <row r="256" spans="1:9" ht="18" customHeight="1" x14ac:dyDescent="0.4">
      <c r="A256" s="4" t="s">
        <v>608</v>
      </c>
      <c r="B256" s="275" t="s">
        <v>163</v>
      </c>
      <c r="C256" s="276">
        <v>577.26</v>
      </c>
      <c r="D256" s="277">
        <v>81</v>
      </c>
      <c r="E256" s="6">
        <f t="shared" si="27"/>
        <v>46758.06</v>
      </c>
      <c r="F256" s="6">
        <f t="shared" si="28"/>
        <v>3273.0642000000003</v>
      </c>
      <c r="G256" s="6">
        <f t="shared" si="29"/>
        <v>50031.124199999998</v>
      </c>
      <c r="H256" s="273" t="s">
        <v>392</v>
      </c>
      <c r="I256">
        <v>6903039</v>
      </c>
    </row>
    <row r="257" spans="1:9" ht="18" customHeight="1" x14ac:dyDescent="0.4">
      <c r="A257" s="4" t="s">
        <v>592</v>
      </c>
      <c r="B257" s="275" t="s">
        <v>163</v>
      </c>
      <c r="C257" s="276">
        <v>785.78</v>
      </c>
      <c r="D257" s="277">
        <v>81</v>
      </c>
      <c r="E257" s="6">
        <f t="shared" si="27"/>
        <v>63648.18</v>
      </c>
      <c r="F257" s="6">
        <f t="shared" si="28"/>
        <v>4455.3726000000006</v>
      </c>
      <c r="G257" s="6">
        <f t="shared" si="29"/>
        <v>68103.552599999995</v>
      </c>
      <c r="H257" s="273" t="s">
        <v>392</v>
      </c>
      <c r="I257">
        <v>6903142</v>
      </c>
    </row>
    <row r="258" spans="1:9" ht="18" customHeight="1" x14ac:dyDescent="0.4">
      <c r="A258" s="4" t="s">
        <v>597</v>
      </c>
      <c r="B258" s="275" t="s">
        <v>163</v>
      </c>
      <c r="C258" s="276">
        <v>287.18</v>
      </c>
      <c r="D258" s="277">
        <v>81</v>
      </c>
      <c r="E258" s="6">
        <f t="shared" si="27"/>
        <v>23261.58</v>
      </c>
      <c r="F258" s="6">
        <f t="shared" si="28"/>
        <v>1628.3106000000002</v>
      </c>
      <c r="G258" s="6">
        <f t="shared" si="29"/>
        <v>24889.890600000002</v>
      </c>
      <c r="H258" s="273" t="s">
        <v>392</v>
      </c>
      <c r="I258">
        <v>6903225</v>
      </c>
    </row>
    <row r="259" spans="1:9" ht="18" customHeight="1" x14ac:dyDescent="0.4">
      <c r="A259" s="16" t="s">
        <v>612</v>
      </c>
      <c r="B259" s="275" t="s">
        <v>40</v>
      </c>
      <c r="C259" s="276">
        <v>978.95</v>
      </c>
      <c r="D259" s="277">
        <v>80</v>
      </c>
      <c r="E259" s="6">
        <f t="shared" si="27"/>
        <v>78316</v>
      </c>
      <c r="F259" s="6">
        <f t="shared" si="28"/>
        <v>5482.1200000000008</v>
      </c>
      <c r="G259" s="6">
        <f t="shared" si="29"/>
        <v>83798.12</v>
      </c>
      <c r="H259" s="273" t="s">
        <v>392</v>
      </c>
      <c r="I259">
        <v>6903330</v>
      </c>
    </row>
    <row r="260" spans="1:9" ht="18" customHeight="1" x14ac:dyDescent="0.4">
      <c r="A260" s="4" t="s">
        <v>589</v>
      </c>
      <c r="B260" s="275" t="s">
        <v>230</v>
      </c>
      <c r="C260" s="276">
        <v>974.8</v>
      </c>
      <c r="D260" s="277">
        <v>81</v>
      </c>
      <c r="E260" s="6">
        <f t="shared" si="27"/>
        <v>78958.8</v>
      </c>
      <c r="F260" s="6">
        <f t="shared" si="28"/>
        <v>5527.1160000000009</v>
      </c>
      <c r="G260" s="6">
        <f t="shared" si="29"/>
        <v>84485.915999999997</v>
      </c>
      <c r="H260" s="273" t="s">
        <v>392</v>
      </c>
      <c r="I260">
        <v>6903067</v>
      </c>
    </row>
    <row r="261" spans="1:9" ht="18" customHeight="1" x14ac:dyDescent="0.4">
      <c r="A261" s="4" t="s">
        <v>592</v>
      </c>
      <c r="B261" s="275" t="s">
        <v>230</v>
      </c>
      <c r="C261" s="276">
        <v>1364.64</v>
      </c>
      <c r="D261" s="277">
        <v>81</v>
      </c>
      <c r="E261" s="6">
        <f t="shared" si="27"/>
        <v>110535.84000000001</v>
      </c>
      <c r="F261" s="6">
        <f t="shared" si="28"/>
        <v>7737.5088000000014</v>
      </c>
      <c r="G261" s="6">
        <f t="shared" si="29"/>
        <v>118273.34880000001</v>
      </c>
      <c r="H261" s="273" t="s">
        <v>392</v>
      </c>
      <c r="I261">
        <v>6903141</v>
      </c>
    </row>
    <row r="262" spans="1:9" ht="18" customHeight="1" x14ac:dyDescent="0.4">
      <c r="A262" s="4" t="s">
        <v>613</v>
      </c>
      <c r="B262" s="275" t="s">
        <v>124</v>
      </c>
      <c r="C262" s="276">
        <v>145.63999999999999</v>
      </c>
      <c r="D262" s="277">
        <v>81</v>
      </c>
      <c r="E262" s="6">
        <f t="shared" si="27"/>
        <v>11796.839999999998</v>
      </c>
      <c r="F262" s="6">
        <f t="shared" si="28"/>
        <v>825.77879999999993</v>
      </c>
      <c r="G262" s="6">
        <f t="shared" si="29"/>
        <v>12622.618799999998</v>
      </c>
      <c r="H262" s="274" t="s">
        <v>398</v>
      </c>
      <c r="I262">
        <v>6903013</v>
      </c>
    </row>
    <row r="263" spans="1:9" ht="18" customHeight="1" x14ac:dyDescent="0.4">
      <c r="A263" s="4" t="s">
        <v>613</v>
      </c>
      <c r="B263" s="275" t="s">
        <v>124</v>
      </c>
      <c r="C263" s="276">
        <v>443.32</v>
      </c>
      <c r="D263" s="277">
        <v>81</v>
      </c>
      <c r="E263" s="6">
        <f t="shared" si="27"/>
        <v>35908.92</v>
      </c>
      <c r="F263" s="6">
        <f t="shared" si="28"/>
        <v>2513.6244000000002</v>
      </c>
      <c r="G263" s="6">
        <f t="shared" si="29"/>
        <v>38422.544399999999</v>
      </c>
      <c r="H263" s="274" t="s">
        <v>398</v>
      </c>
      <c r="I263">
        <v>6903043</v>
      </c>
    </row>
    <row r="264" spans="1:9" ht="18" customHeight="1" x14ac:dyDescent="0.4">
      <c r="A264" s="4" t="s">
        <v>600</v>
      </c>
      <c r="B264" s="275" t="s">
        <v>124</v>
      </c>
      <c r="C264" s="276">
        <v>875.69</v>
      </c>
      <c r="D264" s="277">
        <v>81</v>
      </c>
      <c r="E264" s="6">
        <f t="shared" si="27"/>
        <v>70930.89</v>
      </c>
      <c r="F264" s="6">
        <f t="shared" si="28"/>
        <v>4965.1623000000009</v>
      </c>
      <c r="G264" s="6">
        <f t="shared" si="29"/>
        <v>75896.052299999996</v>
      </c>
      <c r="H264" s="274" t="s">
        <v>398</v>
      </c>
      <c r="I264">
        <v>6903283</v>
      </c>
    </row>
    <row r="265" spans="1:9" ht="18" customHeight="1" x14ac:dyDescent="0.4">
      <c r="A265" s="4" t="s">
        <v>604</v>
      </c>
      <c r="B265" s="275" t="s">
        <v>124</v>
      </c>
      <c r="C265" s="276">
        <v>434.47</v>
      </c>
      <c r="D265" s="277">
        <v>81</v>
      </c>
      <c r="E265" s="6">
        <f t="shared" si="27"/>
        <v>35192.07</v>
      </c>
      <c r="F265" s="6">
        <f t="shared" si="28"/>
        <v>2463.4449000000004</v>
      </c>
      <c r="G265" s="6">
        <f t="shared" si="29"/>
        <v>37655.514900000002</v>
      </c>
      <c r="H265" s="274" t="s">
        <v>398</v>
      </c>
      <c r="I265">
        <v>6903373</v>
      </c>
    </row>
    <row r="266" spans="1:9" ht="18" customHeight="1" x14ac:dyDescent="0.4">
      <c r="A266" s="4" t="s">
        <v>592</v>
      </c>
      <c r="B266" s="275" t="s">
        <v>41</v>
      </c>
      <c r="C266" s="276">
        <v>291.58</v>
      </c>
      <c r="D266" s="277">
        <v>81</v>
      </c>
      <c r="E266" s="6">
        <f t="shared" si="27"/>
        <v>23617.98</v>
      </c>
      <c r="F266" s="6">
        <f t="shared" si="28"/>
        <v>1653.2586000000001</v>
      </c>
      <c r="G266" s="6">
        <f t="shared" si="29"/>
        <v>25271.238600000001</v>
      </c>
      <c r="H266" s="273" t="s">
        <v>392</v>
      </c>
      <c r="I266">
        <v>6903145</v>
      </c>
    </row>
    <row r="267" spans="1:9" ht="18" customHeight="1" x14ac:dyDescent="0.4">
      <c r="A267" s="4" t="s">
        <v>597</v>
      </c>
      <c r="B267" s="275" t="s">
        <v>41</v>
      </c>
      <c r="C267" s="276">
        <v>1574.94</v>
      </c>
      <c r="D267" s="277">
        <v>81</v>
      </c>
      <c r="E267" s="6">
        <f t="shared" si="27"/>
        <v>127570.14</v>
      </c>
      <c r="F267" s="6">
        <f t="shared" si="28"/>
        <v>8929.9098000000013</v>
      </c>
      <c r="G267" s="6">
        <f t="shared" si="29"/>
        <v>136500.04980000001</v>
      </c>
      <c r="H267" s="273" t="s">
        <v>392</v>
      </c>
      <c r="I267">
        <v>6903228</v>
      </c>
    </row>
    <row r="268" spans="1:9" ht="18" customHeight="1" x14ac:dyDescent="0.4">
      <c r="A268" s="4" t="s">
        <v>592</v>
      </c>
      <c r="B268" s="275" t="s">
        <v>42</v>
      </c>
      <c r="C268" s="276">
        <v>247.45</v>
      </c>
      <c r="D268" s="277">
        <v>81</v>
      </c>
      <c r="E268" s="6">
        <f t="shared" si="27"/>
        <v>20043.45</v>
      </c>
      <c r="F268" s="6">
        <f t="shared" si="28"/>
        <v>1403.0415000000003</v>
      </c>
      <c r="G268" s="6">
        <f t="shared" si="29"/>
        <v>21446.4915</v>
      </c>
      <c r="H268" s="274" t="s">
        <v>398</v>
      </c>
      <c r="I268">
        <v>6903146</v>
      </c>
    </row>
    <row r="269" spans="1:9" ht="18" customHeight="1" x14ac:dyDescent="0.4">
      <c r="A269" s="4" t="s">
        <v>592</v>
      </c>
      <c r="B269" s="275" t="s">
        <v>223</v>
      </c>
      <c r="C269" s="276">
        <v>197.32</v>
      </c>
      <c r="D269" s="277">
        <v>81</v>
      </c>
      <c r="E269" s="6">
        <f t="shared" si="27"/>
        <v>15982.92</v>
      </c>
      <c r="F269" s="6">
        <f t="shared" si="28"/>
        <v>1118.8044000000002</v>
      </c>
      <c r="G269" s="6">
        <f t="shared" si="29"/>
        <v>17101.724399999999</v>
      </c>
      <c r="H269" s="273" t="s">
        <v>392</v>
      </c>
      <c r="I269">
        <v>6903144</v>
      </c>
    </row>
    <row r="270" spans="1:9" ht="18" customHeight="1" x14ac:dyDescent="0.4">
      <c r="A270" s="4" t="s">
        <v>597</v>
      </c>
      <c r="B270" s="275" t="s">
        <v>630</v>
      </c>
      <c r="C270" s="276">
        <v>575.91</v>
      </c>
      <c r="D270" s="277">
        <v>81</v>
      </c>
      <c r="E270" s="6">
        <f t="shared" si="27"/>
        <v>46648.71</v>
      </c>
      <c r="F270" s="6">
        <f t="shared" si="28"/>
        <v>3265.4097000000002</v>
      </c>
      <c r="G270" s="6">
        <f t="shared" si="29"/>
        <v>49914.119699999996</v>
      </c>
      <c r="H270" s="273" t="s">
        <v>392</v>
      </c>
      <c r="I270">
        <v>6903229</v>
      </c>
    </row>
    <row r="271" spans="1:9" ht="18" customHeight="1" x14ac:dyDescent="0.4">
      <c r="A271" s="4" t="s">
        <v>592</v>
      </c>
      <c r="B271" s="275" t="s">
        <v>136</v>
      </c>
      <c r="C271" s="276">
        <v>297.08</v>
      </c>
      <c r="D271" s="277">
        <v>81</v>
      </c>
      <c r="E271" s="6">
        <f t="shared" si="27"/>
        <v>24063.48</v>
      </c>
      <c r="F271" s="6">
        <f t="shared" si="28"/>
        <v>1684.4436000000001</v>
      </c>
      <c r="G271" s="6">
        <f t="shared" si="29"/>
        <v>25747.923599999998</v>
      </c>
      <c r="H271" s="273" t="s">
        <v>392</v>
      </c>
      <c r="I271">
        <v>6903143</v>
      </c>
    </row>
    <row r="272" spans="1:9" ht="18" customHeight="1" x14ac:dyDescent="0.4">
      <c r="A272" s="4" t="s">
        <v>597</v>
      </c>
      <c r="B272" s="275" t="s">
        <v>136</v>
      </c>
      <c r="C272" s="276">
        <v>400.54</v>
      </c>
      <c r="D272" s="277">
        <v>81</v>
      </c>
      <c r="E272" s="6">
        <f t="shared" ref="E272" si="33">+C272*D272</f>
        <v>32443.74</v>
      </c>
      <c r="F272" s="6">
        <f t="shared" ref="F272" si="34">+E272*7%</f>
        <v>2271.0618000000004</v>
      </c>
      <c r="G272" s="6">
        <f t="shared" ref="G272" si="35">+E272+F272</f>
        <v>34714.801800000001</v>
      </c>
      <c r="H272" s="273" t="s">
        <v>392</v>
      </c>
      <c r="I272">
        <v>6903227</v>
      </c>
    </row>
    <row r="273" spans="1:9" ht="18" customHeight="1" thickBot="1" x14ac:dyDescent="0.35">
      <c r="A273" s="61"/>
      <c r="B273" s="17" t="s">
        <v>15</v>
      </c>
      <c r="C273" s="18">
        <f>SUM(C205:C272)</f>
        <v>45689.570000000014</v>
      </c>
      <c r="D273" s="66"/>
      <c r="E273" s="20">
        <f>SUM(E205:E272)</f>
        <v>3581962.8600000008</v>
      </c>
      <c r="F273" s="20">
        <f>SUM(F205:F272)</f>
        <v>250737.40019999995</v>
      </c>
      <c r="G273" s="20">
        <f>SUM(G205:G272)</f>
        <v>3832700.2602000004</v>
      </c>
    </row>
    <row r="274" spans="1:9" ht="18" customHeight="1" thickTop="1" x14ac:dyDescent="0.3">
      <c r="A274" s="67"/>
      <c r="B274" s="68"/>
      <c r="C274" s="69"/>
      <c r="D274" s="88"/>
      <c r="E274" s="187"/>
      <c r="F274" s="187"/>
      <c r="G274" s="187"/>
    </row>
    <row r="275" spans="1:9" s="30" customFormat="1" ht="23.25" x14ac:dyDescent="0.5">
      <c r="A275" s="359" t="s">
        <v>32</v>
      </c>
      <c r="B275" s="359"/>
      <c r="C275" s="359"/>
      <c r="D275" s="359"/>
      <c r="E275" s="359"/>
      <c r="F275" s="359"/>
      <c r="G275" s="359"/>
    </row>
    <row r="276" spans="1:9" s="30" customFormat="1" ht="18" customHeight="1" x14ac:dyDescent="0.5">
      <c r="A276" s="1" t="s">
        <v>2</v>
      </c>
      <c r="B276" s="2" t="s">
        <v>3</v>
      </c>
      <c r="C276" s="205" t="s">
        <v>76</v>
      </c>
      <c r="D276" s="206" t="s">
        <v>5</v>
      </c>
      <c r="E276" s="2" t="s">
        <v>6</v>
      </c>
      <c r="F276" s="2" t="s">
        <v>7</v>
      </c>
      <c r="G276" s="2" t="s">
        <v>8</v>
      </c>
    </row>
    <row r="277" spans="1:9" s="30" customFormat="1" ht="18" customHeight="1" x14ac:dyDescent="0.5">
      <c r="A277" s="11" t="s">
        <v>597</v>
      </c>
      <c r="B277" s="5" t="s">
        <v>276</v>
      </c>
      <c r="C277" s="6">
        <v>360</v>
      </c>
      <c r="D277" s="7">
        <v>137</v>
      </c>
      <c r="E277" s="6">
        <f t="shared" ref="E277:E279" si="36">+C277*D277</f>
        <v>49320</v>
      </c>
      <c r="F277" s="6">
        <f t="shared" ref="F277:F279" si="37">+E277*7%</f>
        <v>3452.4000000000005</v>
      </c>
      <c r="G277" s="6">
        <f t="shared" ref="G277:G279" si="38">+E277+F277</f>
        <v>52772.4</v>
      </c>
      <c r="I277" s="30">
        <v>6903223</v>
      </c>
    </row>
    <row r="278" spans="1:9" s="30" customFormat="1" ht="18" customHeight="1" x14ac:dyDescent="0.5">
      <c r="A278" s="11" t="s">
        <v>597</v>
      </c>
      <c r="B278" s="5" t="s">
        <v>276</v>
      </c>
      <c r="C278" s="6">
        <v>360</v>
      </c>
      <c r="D278" s="7">
        <v>137</v>
      </c>
      <c r="E278" s="6">
        <f t="shared" si="36"/>
        <v>49320</v>
      </c>
      <c r="F278" s="6">
        <f t="shared" si="37"/>
        <v>3452.4000000000005</v>
      </c>
      <c r="G278" s="6">
        <f t="shared" si="38"/>
        <v>52772.4</v>
      </c>
      <c r="I278" s="30">
        <v>6903222</v>
      </c>
    </row>
    <row r="279" spans="1:9" s="30" customFormat="1" ht="18" customHeight="1" x14ac:dyDescent="0.5">
      <c r="A279" s="11" t="s">
        <v>599</v>
      </c>
      <c r="B279" s="5" t="s">
        <v>276</v>
      </c>
      <c r="C279" s="6">
        <v>180</v>
      </c>
      <c r="D279" s="7">
        <v>137</v>
      </c>
      <c r="E279" s="6">
        <f t="shared" si="36"/>
        <v>24660</v>
      </c>
      <c r="F279" s="6">
        <f t="shared" si="37"/>
        <v>1726.2000000000003</v>
      </c>
      <c r="G279" s="6">
        <f t="shared" si="38"/>
        <v>26386.2</v>
      </c>
      <c r="I279" s="30">
        <v>6903242</v>
      </c>
    </row>
    <row r="280" spans="1:9" ht="18" customHeight="1" thickBot="1" x14ac:dyDescent="0.45">
      <c r="A280" s="11"/>
      <c r="B280" s="73"/>
      <c r="C280" s="43">
        <f>SUM(C277:C279)</f>
        <v>900</v>
      </c>
      <c r="D280" s="38"/>
      <c r="E280" s="43">
        <f>SUM(E277:E279)</f>
        <v>123300</v>
      </c>
      <c r="F280" s="43">
        <f t="shared" ref="F280:G280" si="39">SUM(F277:F279)</f>
        <v>8631.0000000000018</v>
      </c>
      <c r="G280" s="43">
        <f t="shared" si="39"/>
        <v>131931</v>
      </c>
    </row>
    <row r="281" spans="1:9" s="26" customFormat="1" ht="18" customHeight="1" thickTop="1" x14ac:dyDescent="0.45">
      <c r="A281" s="52"/>
      <c r="B281" s="53"/>
      <c r="C281" s="54"/>
      <c r="D281" s="55"/>
      <c r="E281" s="56"/>
      <c r="F281" s="56"/>
      <c r="G281" s="56"/>
    </row>
    <row r="282" spans="1:9" s="30" customFormat="1" ht="12" customHeight="1" thickBot="1" x14ac:dyDescent="0.55000000000000004">
      <c r="A282" s="21"/>
      <c r="B282" s="147" t="s">
        <v>276</v>
      </c>
      <c r="C282" s="328">
        <f>+C280</f>
        <v>900</v>
      </c>
      <c r="D282" s="329">
        <v>2.21</v>
      </c>
      <c r="E282" s="188">
        <f>+C282*D282</f>
        <v>1989</v>
      </c>
      <c r="F282" s="23"/>
      <c r="G282" s="23"/>
    </row>
    <row r="283" spans="1:9" s="30" customFormat="1" ht="32.25" customHeight="1" thickTop="1" x14ac:dyDescent="0.5">
      <c r="A283" s="85"/>
      <c r="B283" s="68"/>
      <c r="C283" s="69"/>
      <c r="D283" s="88"/>
      <c r="E283" s="187"/>
      <c r="F283" s="187"/>
      <c r="G283" s="187"/>
    </row>
    <row r="284" spans="1:9" ht="23.25" x14ac:dyDescent="0.5">
      <c r="A284" s="358" t="s">
        <v>51</v>
      </c>
      <c r="B284" s="358"/>
      <c r="C284" s="358"/>
      <c r="D284" s="358"/>
      <c r="E284" s="358"/>
      <c r="F284" s="358"/>
      <c r="G284" s="358"/>
    </row>
    <row r="285" spans="1:9" s="26" customFormat="1" ht="18" customHeight="1" x14ac:dyDescent="0.45">
      <c r="A285" s="57" t="s">
        <v>2</v>
      </c>
      <c r="B285" s="58" t="s">
        <v>3</v>
      </c>
      <c r="C285" s="58" t="s">
        <v>4</v>
      </c>
      <c r="D285" s="59" t="s">
        <v>5</v>
      </c>
      <c r="E285" s="58" t="s">
        <v>6</v>
      </c>
      <c r="F285" s="58" t="s">
        <v>7</v>
      </c>
      <c r="G285" s="58" t="s">
        <v>8</v>
      </c>
    </row>
    <row r="286" spans="1:9" s="26" customFormat="1" ht="18" customHeight="1" x14ac:dyDescent="0.45">
      <c r="A286" s="81" t="s">
        <v>610</v>
      </c>
      <c r="B286" s="5" t="s">
        <v>195</v>
      </c>
      <c r="C286" s="82">
        <v>201.9</v>
      </c>
      <c r="D286" s="83">
        <v>70</v>
      </c>
      <c r="E286" s="8">
        <f>+C286*D286</f>
        <v>14133</v>
      </c>
      <c r="F286" s="8">
        <f>+E286*7%</f>
        <v>989.31000000000006</v>
      </c>
      <c r="G286" s="8">
        <f>+E286+F286</f>
        <v>15122.31</v>
      </c>
      <c r="I286" s="26">
        <v>6903346</v>
      </c>
    </row>
    <row r="287" spans="1:9" s="26" customFormat="1" ht="18" customHeight="1" x14ac:dyDescent="0.45">
      <c r="A287" s="81" t="s">
        <v>608</v>
      </c>
      <c r="B287" s="5" t="s">
        <v>52</v>
      </c>
      <c r="C287" s="82">
        <v>960.35</v>
      </c>
      <c r="D287" s="83">
        <v>56</v>
      </c>
      <c r="E287" s="8">
        <f>+C287*D287</f>
        <v>53779.6</v>
      </c>
      <c r="F287" s="8">
        <f>+E287*7%</f>
        <v>3764.5720000000001</v>
      </c>
      <c r="G287" s="8">
        <f>+E287+F287</f>
        <v>57544.171999999999</v>
      </c>
      <c r="I287" s="26">
        <v>6903038</v>
      </c>
    </row>
    <row r="288" spans="1:9" s="26" customFormat="1" ht="18" customHeight="1" x14ac:dyDescent="0.45">
      <c r="A288" s="81" t="s">
        <v>598</v>
      </c>
      <c r="B288" s="5" t="s">
        <v>52</v>
      </c>
      <c r="C288" s="82">
        <v>999.35</v>
      </c>
      <c r="D288" s="83">
        <v>56</v>
      </c>
      <c r="E288" s="8">
        <f>+C288*D288</f>
        <v>55963.6</v>
      </c>
      <c r="F288" s="8">
        <f>+E288*7%</f>
        <v>3917.4520000000002</v>
      </c>
      <c r="G288" s="8">
        <f>+E288+F288</f>
        <v>59881.051999999996</v>
      </c>
      <c r="I288" s="26">
        <v>6903257</v>
      </c>
    </row>
    <row r="289" spans="1:9" s="26" customFormat="1" ht="17.25" customHeight="1" thickBot="1" x14ac:dyDescent="0.5">
      <c r="A289" s="84"/>
      <c r="B289" s="17" t="s">
        <v>15</v>
      </c>
      <c r="C289" s="18">
        <f>SUM(C286:C288)</f>
        <v>2161.6</v>
      </c>
      <c r="D289" s="19"/>
      <c r="E289" s="18">
        <f>SUM(E286:E288)</f>
        <v>123876.20000000001</v>
      </c>
      <c r="F289" s="18">
        <f t="shared" ref="F289:G289" si="40">SUM(F286:F288)</f>
        <v>8671.3340000000007</v>
      </c>
      <c r="G289" s="18">
        <f t="shared" si="40"/>
        <v>132547.53399999999</v>
      </c>
    </row>
    <row r="290" spans="1:9" s="30" customFormat="1" ht="18" customHeight="1" thickTop="1" x14ac:dyDescent="0.5">
      <c r="A290" s="78"/>
      <c r="B290" s="79"/>
      <c r="C290" s="80"/>
      <c r="E290" s="22"/>
      <c r="F290" s="22"/>
      <c r="G290" s="22"/>
    </row>
    <row r="291" spans="1:9" s="30" customFormat="1" ht="23.25" x14ac:dyDescent="0.5">
      <c r="A291" s="359" t="s">
        <v>43</v>
      </c>
      <c r="B291" s="359"/>
      <c r="C291" s="359"/>
      <c r="D291" s="359"/>
      <c r="E291" s="359"/>
      <c r="F291" s="359"/>
      <c r="G291" s="359"/>
    </row>
    <row r="292" spans="1:9" s="30" customFormat="1" ht="18" customHeight="1" x14ac:dyDescent="0.5">
      <c r="A292" s="1" t="s">
        <v>2</v>
      </c>
      <c r="B292" s="2" t="s">
        <v>3</v>
      </c>
      <c r="C292" s="307" t="s">
        <v>44</v>
      </c>
      <c r="D292" s="3" t="s">
        <v>5</v>
      </c>
      <c r="E292" s="2" t="s">
        <v>6</v>
      </c>
      <c r="F292" s="2" t="s">
        <v>7</v>
      </c>
      <c r="G292" s="2" t="s">
        <v>8</v>
      </c>
    </row>
    <row r="293" spans="1:9" ht="18" customHeight="1" x14ac:dyDescent="0.4">
      <c r="A293" s="4" t="s">
        <v>608</v>
      </c>
      <c r="B293" s="5" t="s">
        <v>45</v>
      </c>
      <c r="C293" s="6">
        <v>108000</v>
      </c>
      <c r="D293" s="72">
        <v>0.56999999999999995</v>
      </c>
      <c r="E293" s="60">
        <f t="shared" ref="E293:E320" si="41">+C293*D293</f>
        <v>61559.999999999993</v>
      </c>
      <c r="F293" s="60">
        <f t="shared" ref="F293:F320" si="42">+E293*7%</f>
        <v>4309.2</v>
      </c>
      <c r="G293" s="60">
        <f t="shared" ref="G293:G320" si="43">+E293+F293</f>
        <v>65869.2</v>
      </c>
      <c r="I293">
        <v>6903036</v>
      </c>
    </row>
    <row r="294" spans="1:9" s="30" customFormat="1" ht="18" customHeight="1" x14ac:dyDescent="0.5">
      <c r="A294" s="4" t="s">
        <v>590</v>
      </c>
      <c r="B294" s="5" t="s">
        <v>45</v>
      </c>
      <c r="C294" s="6">
        <v>108000</v>
      </c>
      <c r="D294" s="72">
        <v>0.56999999999999995</v>
      </c>
      <c r="E294" s="8">
        <f t="shared" si="41"/>
        <v>61559.999999999993</v>
      </c>
      <c r="F294" s="8">
        <f t="shared" si="42"/>
        <v>4309.2</v>
      </c>
      <c r="G294" s="8">
        <f t="shared" si="43"/>
        <v>65869.2</v>
      </c>
      <c r="I294" s="30">
        <v>6903080</v>
      </c>
    </row>
    <row r="295" spans="1:9" s="30" customFormat="1" ht="18" customHeight="1" x14ac:dyDescent="0.5">
      <c r="A295" s="11" t="s">
        <v>609</v>
      </c>
      <c r="B295" s="5" t="s">
        <v>45</v>
      </c>
      <c r="C295" s="6">
        <v>108000</v>
      </c>
      <c r="D295" s="72">
        <v>0.56999999999999995</v>
      </c>
      <c r="E295" s="60">
        <f t="shared" si="41"/>
        <v>61559.999999999993</v>
      </c>
      <c r="F295" s="60">
        <f t="shared" si="42"/>
        <v>4309.2</v>
      </c>
      <c r="G295" s="60">
        <f t="shared" si="43"/>
        <v>65869.2</v>
      </c>
      <c r="I295" s="30">
        <v>6903155</v>
      </c>
    </row>
    <row r="296" spans="1:9" s="30" customFormat="1" ht="18" customHeight="1" x14ac:dyDescent="0.5">
      <c r="A296" s="11" t="s">
        <v>593</v>
      </c>
      <c r="B296" s="5" t="s">
        <v>45</v>
      </c>
      <c r="C296" s="6">
        <v>108000</v>
      </c>
      <c r="D296" s="72">
        <v>0.56999999999999995</v>
      </c>
      <c r="E296" s="8">
        <f t="shared" si="41"/>
        <v>61559.999999999993</v>
      </c>
      <c r="F296" s="8">
        <f t="shared" si="42"/>
        <v>4309.2</v>
      </c>
      <c r="G296" s="8">
        <f t="shared" si="43"/>
        <v>65869.2</v>
      </c>
      <c r="I296" s="30">
        <v>6903171</v>
      </c>
    </row>
    <row r="297" spans="1:9" s="30" customFormat="1" ht="18" customHeight="1" x14ac:dyDescent="0.5">
      <c r="A297" s="11" t="s">
        <v>599</v>
      </c>
      <c r="B297" s="5" t="s">
        <v>45</v>
      </c>
      <c r="C297" s="6">
        <v>108000</v>
      </c>
      <c r="D297" s="72">
        <v>0.56999999999999995</v>
      </c>
      <c r="E297" s="8">
        <f t="shared" si="41"/>
        <v>61559.999999999993</v>
      </c>
      <c r="F297" s="8">
        <f t="shared" si="42"/>
        <v>4309.2</v>
      </c>
      <c r="G297" s="8">
        <f t="shared" si="43"/>
        <v>65869.2</v>
      </c>
      <c r="I297" s="30">
        <v>6903236</v>
      </c>
    </row>
    <row r="298" spans="1:9" s="30" customFormat="1" ht="18" customHeight="1" x14ac:dyDescent="0.5">
      <c r="A298" s="11" t="s">
        <v>600</v>
      </c>
      <c r="B298" s="5" t="s">
        <v>45</v>
      </c>
      <c r="C298" s="6">
        <v>108000</v>
      </c>
      <c r="D298" s="72">
        <v>0.56999999999999995</v>
      </c>
      <c r="E298" s="8">
        <f t="shared" si="41"/>
        <v>61559.999999999993</v>
      </c>
      <c r="F298" s="8">
        <f t="shared" si="42"/>
        <v>4309.2</v>
      </c>
      <c r="G298" s="8">
        <f t="shared" si="43"/>
        <v>65869.2</v>
      </c>
      <c r="I298" s="30">
        <v>6903275</v>
      </c>
    </row>
    <row r="299" spans="1:9" s="30" customFormat="1" ht="18" customHeight="1" x14ac:dyDescent="0.5">
      <c r="A299" s="11" t="s">
        <v>602</v>
      </c>
      <c r="B299" s="5" t="s">
        <v>45</v>
      </c>
      <c r="C299" s="6">
        <v>108000</v>
      </c>
      <c r="D299" s="72">
        <v>0.56999999999999995</v>
      </c>
      <c r="E299" s="8">
        <f t="shared" si="41"/>
        <v>61559.999999999993</v>
      </c>
      <c r="F299" s="8">
        <f t="shared" si="42"/>
        <v>4309.2</v>
      </c>
      <c r="G299" s="8">
        <f t="shared" si="43"/>
        <v>65869.2</v>
      </c>
      <c r="I299" s="30">
        <v>6903311</v>
      </c>
    </row>
    <row r="300" spans="1:9" s="30" customFormat="1" ht="18" customHeight="1" x14ac:dyDescent="0.5">
      <c r="A300" s="11" t="s">
        <v>610</v>
      </c>
      <c r="B300" s="5" t="s">
        <v>45</v>
      </c>
      <c r="C300" s="6">
        <v>108000</v>
      </c>
      <c r="D300" s="72">
        <v>0.56999999999999995</v>
      </c>
      <c r="E300" s="8">
        <f t="shared" si="41"/>
        <v>61559.999999999993</v>
      </c>
      <c r="F300" s="8">
        <f t="shared" si="42"/>
        <v>4309.2</v>
      </c>
      <c r="G300" s="8">
        <f t="shared" si="43"/>
        <v>65869.2</v>
      </c>
      <c r="I300" s="30">
        <v>6903341</v>
      </c>
    </row>
    <row r="301" spans="1:9" s="30" customFormat="1" ht="18" customHeight="1" x14ac:dyDescent="0.5">
      <c r="A301" s="11" t="s">
        <v>613</v>
      </c>
      <c r="B301" s="5" t="s">
        <v>46</v>
      </c>
      <c r="C301" s="60">
        <v>184800</v>
      </c>
      <c r="D301" s="72">
        <v>0.63</v>
      </c>
      <c r="E301" s="8">
        <f t="shared" si="41"/>
        <v>116424</v>
      </c>
      <c r="F301" s="8">
        <f t="shared" si="42"/>
        <v>8149.6800000000012</v>
      </c>
      <c r="G301" s="8">
        <f t="shared" si="43"/>
        <v>124573.68000000001</v>
      </c>
      <c r="I301" s="30">
        <v>6903008</v>
      </c>
    </row>
    <row r="302" spans="1:9" s="30" customFormat="1" ht="18" customHeight="1" x14ac:dyDescent="0.5">
      <c r="A302" s="11" t="s">
        <v>608</v>
      </c>
      <c r="B302" s="5" t="s">
        <v>46</v>
      </c>
      <c r="C302" s="60">
        <v>184800</v>
      </c>
      <c r="D302" s="72">
        <v>0.63</v>
      </c>
      <c r="E302" s="8">
        <f t="shared" si="41"/>
        <v>116424</v>
      </c>
      <c r="F302" s="8">
        <f t="shared" si="42"/>
        <v>8149.6800000000012</v>
      </c>
      <c r="G302" s="8">
        <f t="shared" si="43"/>
        <v>124573.68000000001</v>
      </c>
      <c r="I302" s="30">
        <v>6903035</v>
      </c>
    </row>
    <row r="303" spans="1:9" s="30" customFormat="1" ht="18" customHeight="1" x14ac:dyDescent="0.5">
      <c r="A303" s="11" t="s">
        <v>587</v>
      </c>
      <c r="B303" s="5" t="s">
        <v>46</v>
      </c>
      <c r="C303" s="60">
        <v>369600</v>
      </c>
      <c r="D303" s="72">
        <v>0.63</v>
      </c>
      <c r="E303" s="8">
        <f t="shared" si="41"/>
        <v>232848</v>
      </c>
      <c r="F303" s="8">
        <f t="shared" si="42"/>
        <v>16299.360000000002</v>
      </c>
      <c r="G303" s="8">
        <f t="shared" si="43"/>
        <v>249147.36000000002</v>
      </c>
      <c r="I303" s="30">
        <v>6903024</v>
      </c>
    </row>
    <row r="304" spans="1:9" s="30" customFormat="1" ht="18" customHeight="1" x14ac:dyDescent="0.5">
      <c r="A304" s="11" t="s">
        <v>589</v>
      </c>
      <c r="B304" s="5" t="s">
        <v>46</v>
      </c>
      <c r="C304" s="60">
        <v>184800</v>
      </c>
      <c r="D304" s="72">
        <v>0.63</v>
      </c>
      <c r="E304" s="8">
        <f t="shared" si="41"/>
        <v>116424</v>
      </c>
      <c r="F304" s="8">
        <f t="shared" si="42"/>
        <v>8149.6800000000012</v>
      </c>
      <c r="G304" s="8">
        <f t="shared" si="43"/>
        <v>124573.68000000001</v>
      </c>
      <c r="I304" s="30">
        <v>6903060</v>
      </c>
    </row>
    <row r="305" spans="1:9" s="30" customFormat="1" ht="18" customHeight="1" x14ac:dyDescent="0.5">
      <c r="A305" s="11" t="s">
        <v>590</v>
      </c>
      <c r="B305" s="5" t="s">
        <v>46</v>
      </c>
      <c r="C305" s="60">
        <v>184800</v>
      </c>
      <c r="D305" s="72">
        <v>0.63</v>
      </c>
      <c r="E305" s="8">
        <f t="shared" si="41"/>
        <v>116424</v>
      </c>
      <c r="F305" s="8">
        <f t="shared" si="42"/>
        <v>8149.6800000000012</v>
      </c>
      <c r="G305" s="8">
        <f t="shared" si="43"/>
        <v>124573.68000000001</v>
      </c>
      <c r="I305" s="30">
        <v>6903081</v>
      </c>
    </row>
    <row r="306" spans="1:9" s="30" customFormat="1" ht="18" customHeight="1" x14ac:dyDescent="0.5">
      <c r="A306" s="11" t="s">
        <v>591</v>
      </c>
      <c r="B306" s="5" t="s">
        <v>46</v>
      </c>
      <c r="C306" s="60">
        <v>184800</v>
      </c>
      <c r="D306" s="72">
        <v>0.63</v>
      </c>
      <c r="E306" s="8">
        <f t="shared" si="41"/>
        <v>116424</v>
      </c>
      <c r="F306" s="8">
        <f t="shared" si="42"/>
        <v>8149.6800000000012</v>
      </c>
      <c r="G306" s="8">
        <f t="shared" si="43"/>
        <v>124573.68000000001</v>
      </c>
      <c r="I306" s="30">
        <v>6903115</v>
      </c>
    </row>
    <row r="307" spans="1:9" s="30" customFormat="1" ht="18" customHeight="1" x14ac:dyDescent="0.5">
      <c r="A307" s="11" t="s">
        <v>616</v>
      </c>
      <c r="B307" s="5" t="s">
        <v>46</v>
      </c>
      <c r="C307" s="60">
        <v>184800</v>
      </c>
      <c r="D307" s="72">
        <v>0.63</v>
      </c>
      <c r="E307" s="8">
        <f t="shared" si="41"/>
        <v>116424</v>
      </c>
      <c r="F307" s="8">
        <f t="shared" si="42"/>
        <v>8149.6800000000012</v>
      </c>
      <c r="G307" s="8">
        <f t="shared" si="43"/>
        <v>124573.68000000001</v>
      </c>
      <c r="I307" s="30">
        <v>6903099</v>
      </c>
    </row>
    <row r="308" spans="1:9" s="30" customFormat="1" ht="18" customHeight="1" x14ac:dyDescent="0.5">
      <c r="A308" s="11" t="s">
        <v>609</v>
      </c>
      <c r="B308" s="5" t="s">
        <v>46</v>
      </c>
      <c r="C308" s="60">
        <v>184800</v>
      </c>
      <c r="D308" s="72">
        <v>0.63</v>
      </c>
      <c r="E308" s="8">
        <f t="shared" si="41"/>
        <v>116424</v>
      </c>
      <c r="F308" s="8">
        <f t="shared" si="42"/>
        <v>8149.6800000000012</v>
      </c>
      <c r="G308" s="8">
        <f t="shared" si="43"/>
        <v>124573.68000000001</v>
      </c>
      <c r="I308" s="30">
        <v>6903156</v>
      </c>
    </row>
    <row r="309" spans="1:9" s="30" customFormat="1" ht="18" customHeight="1" x14ac:dyDescent="0.5">
      <c r="A309" s="11" t="s">
        <v>592</v>
      </c>
      <c r="B309" s="5" t="s">
        <v>46</v>
      </c>
      <c r="C309" s="60">
        <v>184800</v>
      </c>
      <c r="D309" s="72">
        <v>0.63</v>
      </c>
      <c r="E309" s="8">
        <f t="shared" si="41"/>
        <v>116424</v>
      </c>
      <c r="F309" s="8">
        <f t="shared" si="42"/>
        <v>8149.6800000000012</v>
      </c>
      <c r="G309" s="8">
        <f t="shared" si="43"/>
        <v>124573.68000000001</v>
      </c>
      <c r="I309" s="30">
        <v>6903132</v>
      </c>
    </row>
    <row r="310" spans="1:9" s="30" customFormat="1" ht="18" customHeight="1" x14ac:dyDescent="0.5">
      <c r="A310" s="11" t="s">
        <v>593</v>
      </c>
      <c r="B310" s="5" t="s">
        <v>46</v>
      </c>
      <c r="C310" s="60">
        <v>184800</v>
      </c>
      <c r="D310" s="72">
        <v>0.63</v>
      </c>
      <c r="E310" s="8">
        <f t="shared" si="41"/>
        <v>116424</v>
      </c>
      <c r="F310" s="8">
        <f t="shared" si="42"/>
        <v>8149.6800000000012</v>
      </c>
      <c r="G310" s="8">
        <f t="shared" si="43"/>
        <v>124573.68000000001</v>
      </c>
      <c r="I310" s="30">
        <v>6903172</v>
      </c>
    </row>
    <row r="311" spans="1:9" s="30" customFormat="1" ht="18" customHeight="1" x14ac:dyDescent="0.5">
      <c r="A311" s="11" t="s">
        <v>596</v>
      </c>
      <c r="B311" s="5" t="s">
        <v>46</v>
      </c>
      <c r="C311" s="60">
        <v>369600</v>
      </c>
      <c r="D311" s="72">
        <v>0.63</v>
      </c>
      <c r="E311" s="8">
        <f t="shared" si="41"/>
        <v>232848</v>
      </c>
      <c r="F311" s="8">
        <f t="shared" si="42"/>
        <v>16299.360000000002</v>
      </c>
      <c r="G311" s="8">
        <f t="shared" si="43"/>
        <v>249147.36000000002</v>
      </c>
      <c r="I311" s="30">
        <v>6903203</v>
      </c>
    </row>
    <row r="312" spans="1:9" s="30" customFormat="1" ht="18" customHeight="1" x14ac:dyDescent="0.5">
      <c r="A312" s="11" t="s">
        <v>597</v>
      </c>
      <c r="B312" s="5" t="s">
        <v>46</v>
      </c>
      <c r="C312" s="60">
        <v>184800</v>
      </c>
      <c r="D312" s="72">
        <v>0.63</v>
      </c>
      <c r="E312" s="8">
        <f t="shared" si="41"/>
        <v>116424</v>
      </c>
      <c r="F312" s="8">
        <f t="shared" si="42"/>
        <v>8149.6800000000012</v>
      </c>
      <c r="G312" s="8">
        <f t="shared" si="43"/>
        <v>124573.68000000001</v>
      </c>
      <c r="I312" s="30">
        <v>6903215</v>
      </c>
    </row>
    <row r="313" spans="1:9" s="30" customFormat="1" ht="18" customHeight="1" x14ac:dyDescent="0.5">
      <c r="A313" s="11" t="s">
        <v>598</v>
      </c>
      <c r="B313" s="5" t="s">
        <v>46</v>
      </c>
      <c r="C313" s="60">
        <v>316800</v>
      </c>
      <c r="D313" s="72">
        <v>0.63</v>
      </c>
      <c r="E313" s="8">
        <f t="shared" si="41"/>
        <v>199584</v>
      </c>
      <c r="F313" s="8">
        <f t="shared" si="42"/>
        <v>13970.880000000001</v>
      </c>
      <c r="G313" s="8">
        <f t="shared" si="43"/>
        <v>213554.88</v>
      </c>
      <c r="I313" s="30">
        <v>6903250</v>
      </c>
    </row>
    <row r="314" spans="1:9" s="30" customFormat="1" ht="18" customHeight="1" x14ac:dyDescent="0.5">
      <c r="A314" s="11" t="s">
        <v>600</v>
      </c>
      <c r="B314" s="5" t="s">
        <v>46</v>
      </c>
      <c r="C314" s="60">
        <v>373200</v>
      </c>
      <c r="D314" s="72">
        <v>0.63</v>
      </c>
      <c r="E314" s="8">
        <f t="shared" si="41"/>
        <v>235116</v>
      </c>
      <c r="F314" s="8">
        <f t="shared" si="42"/>
        <v>16458.120000000003</v>
      </c>
      <c r="G314" s="8">
        <f t="shared" si="43"/>
        <v>251574.12</v>
      </c>
      <c r="I314" s="30">
        <v>6903276</v>
      </c>
    </row>
    <row r="315" spans="1:9" s="30" customFormat="1" ht="18" customHeight="1" x14ac:dyDescent="0.5">
      <c r="A315" s="11" t="s">
        <v>601</v>
      </c>
      <c r="B315" s="5" t="s">
        <v>46</v>
      </c>
      <c r="C315" s="60">
        <v>184800</v>
      </c>
      <c r="D315" s="72">
        <v>0.63</v>
      </c>
      <c r="E315" s="8">
        <f t="shared" si="41"/>
        <v>116424</v>
      </c>
      <c r="F315" s="8">
        <f t="shared" si="42"/>
        <v>8149.6800000000012</v>
      </c>
      <c r="G315" s="8">
        <f t="shared" si="43"/>
        <v>124573.68000000001</v>
      </c>
      <c r="I315" s="30">
        <v>6903293</v>
      </c>
    </row>
    <row r="316" spans="1:9" s="30" customFormat="1" ht="18" customHeight="1" x14ac:dyDescent="0.5">
      <c r="A316" s="11" t="s">
        <v>612</v>
      </c>
      <c r="B316" s="5" t="s">
        <v>46</v>
      </c>
      <c r="C316" s="60">
        <v>184800</v>
      </c>
      <c r="D316" s="72">
        <v>0.63</v>
      </c>
      <c r="E316" s="8">
        <f t="shared" si="41"/>
        <v>116424</v>
      </c>
      <c r="F316" s="8">
        <f t="shared" si="42"/>
        <v>8149.6800000000012</v>
      </c>
      <c r="G316" s="8">
        <f t="shared" si="43"/>
        <v>124573.68000000001</v>
      </c>
      <c r="I316" s="30">
        <v>6903326</v>
      </c>
    </row>
    <row r="317" spans="1:9" s="30" customFormat="1" ht="18" customHeight="1" x14ac:dyDescent="0.5">
      <c r="A317" s="11" t="s">
        <v>610</v>
      </c>
      <c r="B317" s="5" t="s">
        <v>46</v>
      </c>
      <c r="C317" s="60">
        <v>120000</v>
      </c>
      <c r="D317" s="72">
        <v>0.63</v>
      </c>
      <c r="E317" s="8">
        <f t="shared" si="41"/>
        <v>75600</v>
      </c>
      <c r="F317" s="8">
        <f t="shared" si="42"/>
        <v>5292.0000000000009</v>
      </c>
      <c r="G317" s="8">
        <f t="shared" si="43"/>
        <v>80892</v>
      </c>
      <c r="I317" s="30">
        <v>6903342</v>
      </c>
    </row>
    <row r="318" spans="1:9" s="30" customFormat="1" ht="18" customHeight="1" x14ac:dyDescent="0.5">
      <c r="A318" s="11" t="s">
        <v>603</v>
      </c>
      <c r="B318" s="5" t="s">
        <v>46</v>
      </c>
      <c r="C318" s="60">
        <v>234000</v>
      </c>
      <c r="D318" s="72">
        <v>0.63</v>
      </c>
      <c r="E318" s="8">
        <f t="shared" si="41"/>
        <v>147420</v>
      </c>
      <c r="F318" s="8">
        <f t="shared" si="42"/>
        <v>10319.400000000001</v>
      </c>
      <c r="G318" s="8">
        <f t="shared" si="43"/>
        <v>157739.4</v>
      </c>
      <c r="I318" s="30">
        <v>6903379</v>
      </c>
    </row>
    <row r="319" spans="1:9" s="30" customFormat="1" ht="18" customHeight="1" x14ac:dyDescent="0.5">
      <c r="A319" s="11" t="s">
        <v>604</v>
      </c>
      <c r="B319" s="5" t="s">
        <v>46</v>
      </c>
      <c r="C319" s="60">
        <v>184800</v>
      </c>
      <c r="D319" s="72">
        <v>0.63</v>
      </c>
      <c r="E319" s="8">
        <f t="shared" si="41"/>
        <v>116424</v>
      </c>
      <c r="F319" s="8">
        <f t="shared" si="42"/>
        <v>8149.6800000000012</v>
      </c>
      <c r="G319" s="8">
        <f t="shared" si="43"/>
        <v>124573.68000000001</v>
      </c>
      <c r="I319" s="30">
        <v>6903366</v>
      </c>
    </row>
    <row r="320" spans="1:9" s="30" customFormat="1" ht="18" customHeight="1" x14ac:dyDescent="0.5">
      <c r="A320" s="11" t="s">
        <v>605</v>
      </c>
      <c r="B320" s="5" t="s">
        <v>46</v>
      </c>
      <c r="C320" s="60">
        <v>64800</v>
      </c>
      <c r="D320" s="72">
        <v>0.63</v>
      </c>
      <c r="E320" s="8">
        <f t="shared" si="41"/>
        <v>40824</v>
      </c>
      <c r="F320" s="8">
        <f t="shared" si="42"/>
        <v>2857.6800000000003</v>
      </c>
      <c r="G320" s="8">
        <f t="shared" si="43"/>
        <v>43681.68</v>
      </c>
      <c r="I320" s="30">
        <v>6903355</v>
      </c>
    </row>
    <row r="321" spans="1:9" ht="18" customHeight="1" thickBot="1" x14ac:dyDescent="0.45">
      <c r="A321" s="207"/>
      <c r="B321" s="73" t="s">
        <v>15</v>
      </c>
      <c r="C321" s="43">
        <f>SUM(C293:C320)</f>
        <v>5114400</v>
      </c>
      <c r="D321" s="51"/>
      <c r="E321" s="43">
        <f>SUM(E293:E320)</f>
        <v>3170232</v>
      </c>
      <c r="F321" s="43">
        <f t="shared" ref="F321:G321" si="44">SUM(F293:F320)</f>
        <v>221916.24000000002</v>
      </c>
      <c r="G321" s="43">
        <f t="shared" si="44"/>
        <v>3392148.24</v>
      </c>
    </row>
    <row r="322" spans="1:9" ht="43.5" customHeight="1" thickTop="1" x14ac:dyDescent="0.4">
      <c r="A322" s="208"/>
      <c r="B322" s="22"/>
      <c r="C322" s="308"/>
      <c r="D322" s="48"/>
      <c r="E322" s="22"/>
      <c r="F322" s="74"/>
      <c r="G322" s="22"/>
    </row>
    <row r="323" spans="1:9" ht="18" customHeight="1" x14ac:dyDescent="0.4">
      <c r="A323" s="1" t="s">
        <v>2</v>
      </c>
      <c r="B323" s="209" t="s">
        <v>3</v>
      </c>
      <c r="C323" s="309" t="s">
        <v>47</v>
      </c>
      <c r="D323" s="310"/>
      <c r="E323" s="54"/>
      <c r="F323" s="54"/>
      <c r="G323" s="54"/>
    </row>
    <row r="324" spans="1:9" s="30" customFormat="1" ht="18" customHeight="1" x14ac:dyDescent="0.5">
      <c r="A324" s="4" t="s">
        <v>608</v>
      </c>
      <c r="B324" s="5" t="s">
        <v>48</v>
      </c>
      <c r="C324" s="6">
        <v>1116.8</v>
      </c>
      <c r="E324"/>
      <c r="F324" s="22"/>
      <c r="G324" s="22"/>
      <c r="I324" s="30">
        <v>6903036</v>
      </c>
    </row>
    <row r="325" spans="1:9" s="30" customFormat="1" ht="18" customHeight="1" x14ac:dyDescent="0.5">
      <c r="A325" s="12" t="s">
        <v>590</v>
      </c>
      <c r="B325" s="5" t="s">
        <v>48</v>
      </c>
      <c r="C325" s="6">
        <v>1108.0999999999999</v>
      </c>
      <c r="E325"/>
      <c r="F325" s="22"/>
      <c r="G325" s="22"/>
      <c r="I325" s="30">
        <v>6903080</v>
      </c>
    </row>
    <row r="326" spans="1:9" s="30" customFormat="1" ht="18" customHeight="1" x14ac:dyDescent="0.5">
      <c r="A326" s="12" t="s">
        <v>609</v>
      </c>
      <c r="B326" s="5" t="s">
        <v>48</v>
      </c>
      <c r="C326" s="6">
        <v>1102.7</v>
      </c>
      <c r="E326"/>
      <c r="F326" s="22"/>
      <c r="G326" s="22"/>
      <c r="I326" s="30">
        <v>6903155</v>
      </c>
    </row>
    <row r="327" spans="1:9" s="30" customFormat="1" ht="18" customHeight="1" x14ac:dyDescent="0.5">
      <c r="A327" s="11" t="s">
        <v>593</v>
      </c>
      <c r="B327" s="5" t="s">
        <v>48</v>
      </c>
      <c r="C327" s="6">
        <v>1077.7</v>
      </c>
      <c r="F327" s="22"/>
      <c r="G327" s="22"/>
      <c r="I327" s="30">
        <v>6903171</v>
      </c>
    </row>
    <row r="328" spans="1:9" s="30" customFormat="1" ht="18" customHeight="1" x14ac:dyDescent="0.5">
      <c r="A328" s="11" t="s">
        <v>599</v>
      </c>
      <c r="B328" s="5" t="s">
        <v>48</v>
      </c>
      <c r="C328" s="6">
        <v>1082.3</v>
      </c>
      <c r="F328" s="22"/>
      <c r="G328" s="22"/>
      <c r="I328" s="30">
        <v>6903236</v>
      </c>
    </row>
    <row r="329" spans="1:9" s="30" customFormat="1" ht="18" customHeight="1" x14ac:dyDescent="0.5">
      <c r="A329" s="11" t="s">
        <v>600</v>
      </c>
      <c r="B329" s="5" t="s">
        <v>48</v>
      </c>
      <c r="C329" s="6">
        <v>1103.7</v>
      </c>
      <c r="F329" s="22"/>
      <c r="G329" s="22"/>
      <c r="I329" s="30">
        <v>6903275</v>
      </c>
    </row>
    <row r="330" spans="1:9" s="30" customFormat="1" ht="18" customHeight="1" x14ac:dyDescent="0.5">
      <c r="A330" s="11" t="s">
        <v>602</v>
      </c>
      <c r="B330" s="5" t="s">
        <v>48</v>
      </c>
      <c r="C330" s="6">
        <v>1098</v>
      </c>
      <c r="F330" s="22"/>
      <c r="G330" s="22"/>
      <c r="I330" s="30">
        <v>6903311</v>
      </c>
    </row>
    <row r="331" spans="1:9" s="30" customFormat="1" ht="18" customHeight="1" x14ac:dyDescent="0.5">
      <c r="A331" s="11" t="s">
        <v>610</v>
      </c>
      <c r="B331" s="5" t="s">
        <v>48</v>
      </c>
      <c r="C331" s="6">
        <v>1035.4000000000001</v>
      </c>
      <c r="F331" s="22"/>
      <c r="G331" s="22"/>
      <c r="I331" s="30">
        <v>6903341</v>
      </c>
    </row>
    <row r="332" spans="1:9" s="30" customFormat="1" ht="18" customHeight="1" x14ac:dyDescent="0.5">
      <c r="A332" s="11" t="s">
        <v>613</v>
      </c>
      <c r="B332" s="5" t="s">
        <v>49</v>
      </c>
      <c r="C332" s="6">
        <v>2072.1</v>
      </c>
      <c r="D332" s="26"/>
      <c r="F332" s="22"/>
      <c r="G332" s="22"/>
      <c r="I332" s="30">
        <v>6903008</v>
      </c>
    </row>
    <row r="333" spans="1:9" s="30" customFormat="1" ht="18" customHeight="1" x14ac:dyDescent="0.5">
      <c r="A333" s="11" t="s">
        <v>608</v>
      </c>
      <c r="B333" s="5" t="s">
        <v>49</v>
      </c>
      <c r="C333" s="6">
        <v>2102.9</v>
      </c>
      <c r="D333" s="26"/>
      <c r="E333" s="30" t="s">
        <v>211</v>
      </c>
      <c r="F333" s="22"/>
      <c r="G333" s="22"/>
      <c r="I333" s="30">
        <v>6903035</v>
      </c>
    </row>
    <row r="334" spans="1:9" s="30" customFormat="1" ht="18" customHeight="1" x14ac:dyDescent="0.5">
      <c r="A334" s="11" t="s">
        <v>587</v>
      </c>
      <c r="B334" s="5" t="s">
        <v>49</v>
      </c>
      <c r="C334" s="6">
        <v>4139.2</v>
      </c>
      <c r="D334" s="26"/>
      <c r="F334" s="22"/>
      <c r="G334" s="22"/>
      <c r="I334" s="30">
        <v>6903024</v>
      </c>
    </row>
    <row r="335" spans="1:9" s="30" customFormat="1" ht="18" customHeight="1" x14ac:dyDescent="0.5">
      <c r="A335" s="11" t="s">
        <v>589</v>
      </c>
      <c r="B335" s="5" t="s">
        <v>49</v>
      </c>
      <c r="C335" s="6">
        <v>2022.1</v>
      </c>
      <c r="D335" s="26"/>
      <c r="F335" s="22"/>
      <c r="G335" s="22"/>
      <c r="I335" s="30">
        <v>6903060</v>
      </c>
    </row>
    <row r="336" spans="1:9" s="30" customFormat="1" ht="18" customHeight="1" x14ac:dyDescent="0.5">
      <c r="A336" s="11" t="s">
        <v>590</v>
      </c>
      <c r="B336" s="5" t="s">
        <v>49</v>
      </c>
      <c r="C336" s="6">
        <v>2042.3</v>
      </c>
      <c r="D336" s="26"/>
      <c r="F336" s="22"/>
      <c r="G336" s="22"/>
      <c r="I336" s="30">
        <v>6903081</v>
      </c>
    </row>
    <row r="337" spans="1:9" s="30" customFormat="1" ht="18" customHeight="1" x14ac:dyDescent="0.5">
      <c r="A337" s="11" t="s">
        <v>591</v>
      </c>
      <c r="B337" s="5" t="s">
        <v>49</v>
      </c>
      <c r="C337" s="6">
        <v>2019.3</v>
      </c>
      <c r="D337" s="26"/>
      <c r="F337" s="22"/>
      <c r="G337" s="22"/>
      <c r="I337" s="30">
        <v>6903115</v>
      </c>
    </row>
    <row r="338" spans="1:9" s="30" customFormat="1" ht="18" customHeight="1" x14ac:dyDescent="0.5">
      <c r="A338" s="11" t="s">
        <v>616</v>
      </c>
      <c r="B338" s="5" t="s">
        <v>49</v>
      </c>
      <c r="C338" s="6">
        <v>1957.4</v>
      </c>
      <c r="D338" s="26"/>
      <c r="F338" s="22"/>
      <c r="G338" s="22"/>
      <c r="I338" s="30">
        <v>6903099</v>
      </c>
    </row>
    <row r="339" spans="1:9" s="30" customFormat="1" ht="18" customHeight="1" x14ac:dyDescent="0.5">
      <c r="A339" s="11" t="s">
        <v>609</v>
      </c>
      <c r="B339" s="5" t="s">
        <v>49</v>
      </c>
      <c r="C339" s="6">
        <v>2083.4</v>
      </c>
      <c r="D339" s="26"/>
      <c r="F339" s="22"/>
      <c r="G339" s="22"/>
      <c r="I339" s="30">
        <v>6903156</v>
      </c>
    </row>
    <row r="340" spans="1:9" s="30" customFormat="1" ht="18" customHeight="1" x14ac:dyDescent="0.5">
      <c r="A340" s="11" t="s">
        <v>592</v>
      </c>
      <c r="B340" s="5" t="s">
        <v>49</v>
      </c>
      <c r="C340" s="6">
        <v>2090.6999999999998</v>
      </c>
      <c r="D340" s="26"/>
      <c r="F340" s="22"/>
      <c r="G340" s="22"/>
      <c r="I340" s="30">
        <v>6903132</v>
      </c>
    </row>
    <row r="341" spans="1:9" s="30" customFormat="1" ht="18" customHeight="1" x14ac:dyDescent="0.5">
      <c r="A341" s="11" t="s">
        <v>593</v>
      </c>
      <c r="B341" s="5" t="s">
        <v>49</v>
      </c>
      <c r="C341" s="6">
        <v>2035.6</v>
      </c>
      <c r="D341" s="26"/>
      <c r="F341" s="22"/>
      <c r="G341" s="22"/>
      <c r="I341" s="30">
        <v>6903172</v>
      </c>
    </row>
    <row r="342" spans="1:9" s="30" customFormat="1" ht="18" customHeight="1" x14ac:dyDescent="0.5">
      <c r="A342" s="11" t="s">
        <v>596</v>
      </c>
      <c r="B342" s="5" t="s">
        <v>49</v>
      </c>
      <c r="C342" s="6">
        <v>4188</v>
      </c>
      <c r="D342" s="26"/>
      <c r="F342" s="22"/>
      <c r="G342" s="22"/>
      <c r="I342" s="30">
        <v>6903203</v>
      </c>
    </row>
    <row r="343" spans="1:9" s="30" customFormat="1" ht="18" customHeight="1" x14ac:dyDescent="0.5">
      <c r="A343" s="11" t="s">
        <v>597</v>
      </c>
      <c r="B343" s="5" t="s">
        <v>49</v>
      </c>
      <c r="C343" s="6">
        <v>2074.6</v>
      </c>
      <c r="D343" s="26"/>
      <c r="F343" s="22"/>
      <c r="G343" s="22"/>
      <c r="I343" s="30">
        <v>6903215</v>
      </c>
    </row>
    <row r="344" spans="1:9" s="30" customFormat="1" ht="18" customHeight="1" x14ac:dyDescent="0.5">
      <c r="A344" s="11" t="s">
        <v>598</v>
      </c>
      <c r="B344" s="5" t="s">
        <v>49</v>
      </c>
      <c r="C344" s="6">
        <v>3413.3</v>
      </c>
      <c r="D344" s="26"/>
      <c r="F344" s="22"/>
      <c r="G344" s="22"/>
      <c r="I344" s="30">
        <v>6903250</v>
      </c>
    </row>
    <row r="345" spans="1:9" s="30" customFormat="1" ht="18" customHeight="1" x14ac:dyDescent="0.5">
      <c r="A345" s="11" t="s">
        <v>600</v>
      </c>
      <c r="B345" s="5" t="s">
        <v>49</v>
      </c>
      <c r="C345" s="6">
        <v>4012.2</v>
      </c>
      <c r="D345" s="26"/>
      <c r="F345" s="22"/>
      <c r="G345" s="22"/>
      <c r="I345" s="30">
        <v>6903276</v>
      </c>
    </row>
    <row r="346" spans="1:9" s="30" customFormat="1" ht="18" customHeight="1" x14ac:dyDescent="0.5">
      <c r="A346" s="11" t="s">
        <v>601</v>
      </c>
      <c r="B346" s="5" t="s">
        <v>49</v>
      </c>
      <c r="C346" s="6">
        <v>2027.3</v>
      </c>
      <c r="D346" s="26"/>
      <c r="F346" s="22"/>
      <c r="G346" s="22"/>
      <c r="I346" s="30">
        <v>6903293</v>
      </c>
    </row>
    <row r="347" spans="1:9" s="30" customFormat="1" ht="18" customHeight="1" x14ac:dyDescent="0.5">
      <c r="A347" s="11" t="s">
        <v>612</v>
      </c>
      <c r="B347" s="5" t="s">
        <v>49</v>
      </c>
      <c r="C347" s="6">
        <v>1985.6</v>
      </c>
      <c r="D347" s="26"/>
      <c r="F347" s="22"/>
      <c r="G347" s="22"/>
      <c r="I347" s="30">
        <v>6903326</v>
      </c>
    </row>
    <row r="348" spans="1:9" s="30" customFormat="1" ht="18" customHeight="1" x14ac:dyDescent="0.5">
      <c r="A348" s="11" t="s">
        <v>610</v>
      </c>
      <c r="B348" s="5" t="s">
        <v>49</v>
      </c>
      <c r="C348" s="6">
        <v>1281.7</v>
      </c>
      <c r="D348" s="26"/>
      <c r="F348" s="22"/>
      <c r="G348" s="22"/>
      <c r="I348" s="30">
        <v>6903342</v>
      </c>
    </row>
    <row r="349" spans="1:9" s="30" customFormat="1" ht="18" customHeight="1" x14ac:dyDescent="0.5">
      <c r="A349" s="11" t="s">
        <v>603</v>
      </c>
      <c r="B349" s="5" t="s">
        <v>49</v>
      </c>
      <c r="C349" s="6">
        <v>2488.5</v>
      </c>
      <c r="D349" s="26"/>
      <c r="F349" s="22"/>
      <c r="G349" s="22"/>
      <c r="I349" s="30">
        <v>6903379</v>
      </c>
    </row>
    <row r="350" spans="1:9" s="30" customFormat="1" ht="18" customHeight="1" x14ac:dyDescent="0.5">
      <c r="A350" s="11" t="s">
        <v>604</v>
      </c>
      <c r="B350" s="5" t="s">
        <v>49</v>
      </c>
      <c r="C350" s="6">
        <v>1940.6</v>
      </c>
      <c r="D350" s="26"/>
      <c r="F350" s="22"/>
      <c r="G350" s="22"/>
      <c r="I350" s="30">
        <v>6903366</v>
      </c>
    </row>
    <row r="351" spans="1:9" s="30" customFormat="1" ht="18" customHeight="1" x14ac:dyDescent="0.5">
      <c r="A351" s="11" t="s">
        <v>605</v>
      </c>
      <c r="B351" s="5" t="s">
        <v>49</v>
      </c>
      <c r="C351" s="6">
        <v>715.2</v>
      </c>
      <c r="D351" s="26"/>
      <c r="F351" s="22"/>
      <c r="G351" s="22"/>
      <c r="I351" s="30">
        <v>6903355</v>
      </c>
    </row>
    <row r="352" spans="1:9" s="30" customFormat="1" ht="17.25" customHeight="1" thickBot="1" x14ac:dyDescent="0.55000000000000004">
      <c r="A352" s="75"/>
      <c r="B352" s="76" t="s">
        <v>50</v>
      </c>
      <c r="C352" s="77">
        <f>SUM(C324:C351)</f>
        <v>55416.69999999999</v>
      </c>
      <c r="E352" s="22"/>
      <c r="F352" s="22"/>
      <c r="G352" s="22"/>
    </row>
    <row r="353" spans="1:9" s="30" customFormat="1" ht="18" customHeight="1" thickTop="1" x14ac:dyDescent="0.5">
      <c r="A353" s="78"/>
      <c r="B353" s="79"/>
      <c r="C353" s="80"/>
      <c r="E353" s="22"/>
      <c r="F353" s="22"/>
      <c r="G353" s="22"/>
    </row>
    <row r="354" spans="1:9" ht="23.25" x14ac:dyDescent="0.3">
      <c r="A354" s="359" t="s">
        <v>56</v>
      </c>
      <c r="B354" s="359"/>
      <c r="C354" s="359"/>
      <c r="D354" s="359"/>
      <c r="E354" s="359"/>
      <c r="F354" s="359"/>
      <c r="G354" s="359"/>
    </row>
    <row r="355" spans="1:9" ht="18" customHeight="1" x14ac:dyDescent="0.3">
      <c r="A355" s="1" t="s">
        <v>2</v>
      </c>
      <c r="B355" s="2" t="s">
        <v>3</v>
      </c>
      <c r="C355" s="2" t="s">
        <v>4</v>
      </c>
      <c r="D355" s="3" t="s">
        <v>5</v>
      </c>
      <c r="E355" s="2" t="s">
        <v>6</v>
      </c>
      <c r="F355" s="2" t="s">
        <v>7</v>
      </c>
      <c r="G355" s="2" t="s">
        <v>8</v>
      </c>
    </row>
    <row r="356" spans="1:9" ht="18" customHeight="1" x14ac:dyDescent="0.4">
      <c r="A356" s="16" t="s">
        <v>591</v>
      </c>
      <c r="B356" s="5" t="s">
        <v>57</v>
      </c>
      <c r="C356" s="6">
        <v>1988.7</v>
      </c>
      <c r="D356" s="72">
        <v>59</v>
      </c>
      <c r="E356" s="60">
        <f t="shared" ref="E356:E360" si="45">+C356*D356</f>
        <v>117333.3</v>
      </c>
      <c r="F356" s="60">
        <f t="shared" ref="F356:F360" si="46">+E356*7%</f>
        <v>8213.3310000000001</v>
      </c>
      <c r="G356" s="60">
        <f t="shared" ref="G356:G360" si="47">+E356+F356</f>
        <v>125546.63100000001</v>
      </c>
      <c r="I356">
        <v>6903125</v>
      </c>
    </row>
    <row r="357" spans="1:9" ht="18" customHeight="1" x14ac:dyDescent="0.4">
      <c r="A357" s="16" t="s">
        <v>591</v>
      </c>
      <c r="B357" s="5" t="s">
        <v>58</v>
      </c>
      <c r="C357" s="6">
        <v>2936.4</v>
      </c>
      <c r="D357" s="72">
        <v>59</v>
      </c>
      <c r="E357" s="60">
        <f t="shared" si="45"/>
        <v>173247.6</v>
      </c>
      <c r="F357" s="60">
        <f t="shared" si="46"/>
        <v>12127.332000000002</v>
      </c>
      <c r="G357" s="60">
        <f t="shared" si="47"/>
        <v>185374.932</v>
      </c>
      <c r="I357">
        <v>6903125</v>
      </c>
    </row>
    <row r="358" spans="1:9" ht="18" customHeight="1" x14ac:dyDescent="0.4">
      <c r="A358" s="16" t="s">
        <v>616</v>
      </c>
      <c r="B358" s="5" t="s">
        <v>631</v>
      </c>
      <c r="C358" s="6">
        <v>290.3</v>
      </c>
      <c r="D358" s="72">
        <v>82</v>
      </c>
      <c r="E358" s="60">
        <f t="shared" si="45"/>
        <v>23804.600000000002</v>
      </c>
      <c r="F358" s="60">
        <f t="shared" si="46"/>
        <v>1666.3220000000003</v>
      </c>
      <c r="G358" s="60">
        <f t="shared" si="47"/>
        <v>25470.922000000002</v>
      </c>
      <c r="I358">
        <v>6903106</v>
      </c>
    </row>
    <row r="359" spans="1:9" ht="18" customHeight="1" x14ac:dyDescent="0.4">
      <c r="A359" s="16" t="s">
        <v>616</v>
      </c>
      <c r="B359" s="5" t="s">
        <v>632</v>
      </c>
      <c r="C359" s="6">
        <v>293.89999999999998</v>
      </c>
      <c r="D359" s="72">
        <v>82</v>
      </c>
      <c r="E359" s="60">
        <f t="shared" si="45"/>
        <v>24099.8</v>
      </c>
      <c r="F359" s="60">
        <f t="shared" si="46"/>
        <v>1686.9860000000001</v>
      </c>
      <c r="G359" s="60">
        <f t="shared" si="47"/>
        <v>25786.786</v>
      </c>
      <c r="I359">
        <v>6903105</v>
      </c>
    </row>
    <row r="360" spans="1:9" ht="18" customHeight="1" x14ac:dyDescent="0.4">
      <c r="A360" s="16" t="s">
        <v>616</v>
      </c>
      <c r="B360" s="5" t="s">
        <v>633</v>
      </c>
      <c r="C360" s="6">
        <v>490.1</v>
      </c>
      <c r="D360" s="72">
        <v>82</v>
      </c>
      <c r="E360" s="60">
        <f t="shared" si="45"/>
        <v>40188.200000000004</v>
      </c>
      <c r="F360" s="60">
        <f t="shared" si="46"/>
        <v>2813.1740000000004</v>
      </c>
      <c r="G360" s="60">
        <f t="shared" si="47"/>
        <v>43001.374000000003</v>
      </c>
      <c r="I360">
        <v>6903105</v>
      </c>
    </row>
    <row r="361" spans="1:9" s="30" customFormat="1" ht="18" customHeight="1" thickBot="1" x14ac:dyDescent="0.55000000000000004">
      <c r="A361" s="16"/>
      <c r="B361" s="73" t="s">
        <v>15</v>
      </c>
      <c r="C361" s="89">
        <f>SUM(C356:C360)</f>
        <v>5999.4000000000005</v>
      </c>
      <c r="D361" s="51"/>
      <c r="E361" s="89">
        <f>SUM(E356:E360)</f>
        <v>378673.5</v>
      </c>
      <c r="F361" s="89">
        <f t="shared" ref="F361:G361" si="48">SUM(F356:F360)</f>
        <v>26507.145</v>
      </c>
      <c r="G361" s="89">
        <f t="shared" si="48"/>
        <v>405180.64500000008</v>
      </c>
    </row>
    <row r="362" spans="1:9" s="30" customFormat="1" ht="33.75" customHeight="1" thickTop="1" x14ac:dyDescent="0.5">
      <c r="A362" s="90"/>
      <c r="B362" s="91"/>
      <c r="C362" s="92"/>
      <c r="D362" s="93"/>
      <c r="E362" s="92"/>
      <c r="F362" s="92"/>
      <c r="G362" s="92"/>
    </row>
    <row r="363" spans="1:9" ht="23.25" x14ac:dyDescent="0.5">
      <c r="A363" s="358" t="s">
        <v>55</v>
      </c>
      <c r="B363" s="358"/>
      <c r="C363" s="358"/>
      <c r="D363" s="358"/>
      <c r="E363" s="358"/>
      <c r="F363" s="358"/>
      <c r="G363" s="358"/>
    </row>
    <row r="364" spans="1:9" s="26" customFormat="1" ht="18" customHeight="1" x14ac:dyDescent="0.45">
      <c r="A364" s="57" t="s">
        <v>2</v>
      </c>
      <c r="B364" s="58" t="s">
        <v>3</v>
      </c>
      <c r="C364" s="58" t="s">
        <v>4</v>
      </c>
      <c r="D364" s="64" t="s">
        <v>5</v>
      </c>
      <c r="E364" s="58" t="s">
        <v>6</v>
      </c>
      <c r="F364" s="58" t="s">
        <v>7</v>
      </c>
      <c r="G364" s="58" t="s">
        <v>8</v>
      </c>
    </row>
    <row r="365" spans="1:9" s="26" customFormat="1" ht="18" customHeight="1" x14ac:dyDescent="0.45">
      <c r="A365" s="16" t="s">
        <v>600</v>
      </c>
      <c r="B365" s="5" t="s">
        <v>54</v>
      </c>
      <c r="C365" s="86">
        <v>3086.35</v>
      </c>
      <c r="D365" s="87">
        <v>71.5</v>
      </c>
      <c r="E365" s="37">
        <f t="shared" ref="E365:E366" si="49">+C365*D365</f>
        <v>220674.02499999999</v>
      </c>
      <c r="F365" s="37">
        <f t="shared" ref="F365:F366" si="50">+E365*7%</f>
        <v>15447.181750000002</v>
      </c>
      <c r="G365" s="37">
        <f t="shared" ref="G365:G366" si="51">+E365+F365</f>
        <v>236121.20674999998</v>
      </c>
      <c r="I365" s="26">
        <v>6903271</v>
      </c>
    </row>
    <row r="366" spans="1:9" s="26" customFormat="1" ht="18" customHeight="1" x14ac:dyDescent="0.45">
      <c r="A366" s="16" t="s">
        <v>610</v>
      </c>
      <c r="B366" s="5" t="s">
        <v>54</v>
      </c>
      <c r="C366" s="86">
        <v>388.2</v>
      </c>
      <c r="D366" s="87">
        <v>71.5</v>
      </c>
      <c r="E366" s="37">
        <f t="shared" si="49"/>
        <v>27756.3</v>
      </c>
      <c r="F366" s="37">
        <f t="shared" si="50"/>
        <v>1942.941</v>
      </c>
      <c r="G366" s="37">
        <f t="shared" si="51"/>
        <v>29699.240999999998</v>
      </c>
      <c r="I366" s="26">
        <v>6903340</v>
      </c>
    </row>
    <row r="367" spans="1:9" s="26" customFormat="1" ht="17.25" customHeight="1" thickBot="1" x14ac:dyDescent="0.5">
      <c r="A367" s="84"/>
      <c r="B367" s="17" t="s">
        <v>15</v>
      </c>
      <c r="C367" s="18">
        <f>SUM(C365:C366)</f>
        <v>3474.5499999999997</v>
      </c>
      <c r="D367" s="66"/>
      <c r="E367" s="18">
        <f>SUM(E365:E366)</f>
        <v>248430.32499999998</v>
      </c>
      <c r="F367" s="18">
        <f t="shared" ref="F367:G367" si="52">SUM(F365:F366)</f>
        <v>17390.122750000002</v>
      </c>
      <c r="G367" s="18">
        <f t="shared" si="52"/>
        <v>265820.44774999999</v>
      </c>
      <c r="I367" s="26" t="s">
        <v>211</v>
      </c>
    </row>
    <row r="368" spans="1:9" s="26" customFormat="1" ht="14.25" customHeight="1" thickTop="1" x14ac:dyDescent="0.45">
      <c r="A368" s="85"/>
      <c r="B368" s="68"/>
      <c r="C368" s="69"/>
      <c r="D368" s="88"/>
      <c r="E368" s="69"/>
      <c r="F368" s="69"/>
      <c r="G368" s="69"/>
    </row>
    <row r="369" spans="1:9" ht="23.25" x14ac:dyDescent="0.5">
      <c r="A369" s="358" t="s">
        <v>502</v>
      </c>
      <c r="B369" s="358"/>
      <c r="C369" s="358"/>
      <c r="D369" s="358"/>
      <c r="E369" s="358"/>
      <c r="F369" s="358"/>
      <c r="G369" s="358"/>
    </row>
    <row r="370" spans="1:9" s="26" customFormat="1" ht="18" customHeight="1" x14ac:dyDescent="0.45">
      <c r="A370" s="57" t="s">
        <v>2</v>
      </c>
      <c r="B370" s="58" t="s">
        <v>3</v>
      </c>
      <c r="C370" s="58" t="s">
        <v>4</v>
      </c>
      <c r="D370" s="64" t="s">
        <v>5</v>
      </c>
      <c r="E370" s="58" t="s">
        <v>6</v>
      </c>
      <c r="F370" s="58" t="s">
        <v>7</v>
      </c>
      <c r="G370" s="58" t="s">
        <v>8</v>
      </c>
    </row>
    <row r="371" spans="1:9" s="26" customFormat="1" ht="18" customHeight="1" x14ac:dyDescent="0.45">
      <c r="A371" s="16" t="s">
        <v>590</v>
      </c>
      <c r="B371" s="5" t="s">
        <v>54</v>
      </c>
      <c r="C371" s="86">
        <v>787.05</v>
      </c>
      <c r="D371" s="87">
        <v>56</v>
      </c>
      <c r="E371" s="37">
        <f t="shared" ref="E371:E373" si="53">+C371*D371</f>
        <v>44074.799999999996</v>
      </c>
      <c r="F371" s="37">
        <f t="shared" ref="F371:F373" si="54">+E371*7%</f>
        <v>3085.2359999999999</v>
      </c>
      <c r="G371" s="37">
        <f t="shared" ref="G371:G373" si="55">+E371+F371</f>
        <v>47160.035999999993</v>
      </c>
      <c r="I371" s="26">
        <v>6903085</v>
      </c>
    </row>
    <row r="372" spans="1:9" s="26" customFormat="1" ht="18" customHeight="1" x14ac:dyDescent="0.45">
      <c r="A372" s="16" t="s">
        <v>593</v>
      </c>
      <c r="B372" s="5" t="s">
        <v>54</v>
      </c>
      <c r="C372" s="86">
        <v>2811.2</v>
      </c>
      <c r="D372" s="87">
        <v>56</v>
      </c>
      <c r="E372" s="37">
        <f t="shared" si="53"/>
        <v>157427.19999999998</v>
      </c>
      <c r="F372" s="37">
        <f t="shared" si="54"/>
        <v>11019.904</v>
      </c>
      <c r="G372" s="37">
        <f t="shared" si="55"/>
        <v>168447.10399999999</v>
      </c>
      <c r="I372" s="26">
        <v>6903177</v>
      </c>
    </row>
    <row r="373" spans="1:9" s="26" customFormat="1" ht="18" customHeight="1" x14ac:dyDescent="0.45">
      <c r="A373" s="16" t="s">
        <v>596</v>
      </c>
      <c r="B373" s="5" t="s">
        <v>54</v>
      </c>
      <c r="C373" s="86">
        <v>1850.6</v>
      </c>
      <c r="D373" s="87">
        <v>56</v>
      </c>
      <c r="E373" s="37">
        <f t="shared" si="53"/>
        <v>103633.59999999999</v>
      </c>
      <c r="F373" s="37">
        <f t="shared" si="54"/>
        <v>7254.3519999999999</v>
      </c>
      <c r="G373" s="37">
        <f t="shared" si="55"/>
        <v>110887.95199999999</v>
      </c>
      <c r="I373" s="26">
        <v>6903205</v>
      </c>
    </row>
    <row r="374" spans="1:9" s="26" customFormat="1" ht="17.25" customHeight="1" thickBot="1" x14ac:dyDescent="0.5">
      <c r="A374" s="84"/>
      <c r="B374" s="17" t="s">
        <v>15</v>
      </c>
      <c r="C374" s="18">
        <f>SUM(C371:C373)</f>
        <v>5448.85</v>
      </c>
      <c r="D374" s="66"/>
      <c r="E374" s="18">
        <f>SUM(E371:E373)</f>
        <v>305135.59999999998</v>
      </c>
      <c r="F374" s="18">
        <f t="shared" ref="F374:G374" si="56">SUM(F371:F373)</f>
        <v>21359.491999999998</v>
      </c>
      <c r="G374" s="18">
        <f t="shared" si="56"/>
        <v>326495.09199999995</v>
      </c>
    </row>
    <row r="375" spans="1:9" s="26" customFormat="1" ht="12" customHeight="1" thickTop="1" x14ac:dyDescent="0.45">
      <c r="A375" s="85"/>
      <c r="B375" s="68"/>
      <c r="C375" s="69"/>
      <c r="D375" s="88"/>
      <c r="E375" s="69"/>
      <c r="F375" s="69"/>
      <c r="G375" s="69"/>
    </row>
    <row r="376" spans="1:9" ht="23.25" x14ac:dyDescent="0.3">
      <c r="A376" s="362" t="s">
        <v>59</v>
      </c>
      <c r="B376" s="362"/>
      <c r="C376" s="362"/>
      <c r="D376" s="362"/>
      <c r="E376" s="362"/>
      <c r="F376" s="362"/>
      <c r="G376" s="362"/>
    </row>
    <row r="377" spans="1:9" ht="18" customHeight="1" x14ac:dyDescent="0.3">
      <c r="A377" s="94" t="s">
        <v>2</v>
      </c>
      <c r="B377" s="95" t="s">
        <v>3</v>
      </c>
      <c r="C377" s="95" t="s">
        <v>4</v>
      </c>
      <c r="D377" s="3" t="s">
        <v>5</v>
      </c>
      <c r="E377" s="95" t="s">
        <v>6</v>
      </c>
      <c r="F377" s="95" t="s">
        <v>7</v>
      </c>
      <c r="G377" s="95" t="s">
        <v>8</v>
      </c>
    </row>
    <row r="378" spans="1:9" ht="18" customHeight="1" x14ac:dyDescent="0.4">
      <c r="A378" s="96" t="s">
        <v>591</v>
      </c>
      <c r="B378" s="5" t="s">
        <v>60</v>
      </c>
      <c r="C378" s="97">
        <v>1043.3499999999999</v>
      </c>
      <c r="D378" s="83">
        <v>77</v>
      </c>
      <c r="E378" s="60">
        <f>+C378*D378</f>
        <v>80337.95</v>
      </c>
      <c r="F378" s="60">
        <f>+E378*7%</f>
        <v>5623.6565000000001</v>
      </c>
      <c r="G378" s="60">
        <f>+E378+F378</f>
        <v>85961.606499999994</v>
      </c>
      <c r="I378">
        <v>6903116</v>
      </c>
    </row>
    <row r="379" spans="1:9" ht="18" customHeight="1" thickBot="1" x14ac:dyDescent="0.35">
      <c r="A379" s="98"/>
      <c r="B379" s="28" t="s">
        <v>15</v>
      </c>
      <c r="C379" s="99">
        <f>SUM(C378)</f>
        <v>1043.3499999999999</v>
      </c>
      <c r="D379" s="19"/>
      <c r="E379" s="100">
        <f>SUM(E378)</f>
        <v>80337.95</v>
      </c>
      <c r="F379" s="100">
        <f t="shared" ref="F379:G379" si="57">SUM(F378)</f>
        <v>5623.6565000000001</v>
      </c>
      <c r="G379" s="100">
        <f t="shared" si="57"/>
        <v>85961.606499999994</v>
      </c>
    </row>
    <row r="380" spans="1:9" ht="13.5" customHeight="1" thickTop="1" x14ac:dyDescent="0.4">
      <c r="A380" s="101"/>
      <c r="B380" s="53"/>
      <c r="C380" s="102"/>
      <c r="D380" s="48"/>
      <c r="E380" s="103"/>
      <c r="F380" s="103"/>
      <c r="G380" s="103"/>
    </row>
    <row r="381" spans="1:9" ht="23.25" x14ac:dyDescent="0.3">
      <c r="A381" s="359" t="s">
        <v>61</v>
      </c>
      <c r="B381" s="359"/>
      <c r="C381" s="359"/>
      <c r="D381" s="359"/>
      <c r="E381" s="359"/>
      <c r="F381" s="359"/>
      <c r="G381" s="359"/>
    </row>
    <row r="382" spans="1:9" ht="18" customHeight="1" x14ac:dyDescent="0.4">
      <c r="A382" s="57" t="s">
        <v>2</v>
      </c>
      <c r="B382" s="58" t="s">
        <v>3</v>
      </c>
      <c r="C382" s="2" t="s">
        <v>62</v>
      </c>
      <c r="D382" s="59" t="s">
        <v>5</v>
      </c>
      <c r="E382" s="58" t="s">
        <v>6</v>
      </c>
      <c r="F382" s="58" t="s">
        <v>7</v>
      </c>
      <c r="G382" s="58" t="s">
        <v>8</v>
      </c>
    </row>
    <row r="383" spans="1:9" ht="18" customHeight="1" x14ac:dyDescent="0.4">
      <c r="A383" s="16" t="s">
        <v>590</v>
      </c>
      <c r="B383" s="5" t="s">
        <v>63</v>
      </c>
      <c r="C383" s="6">
        <v>2000</v>
      </c>
      <c r="D383" s="72">
        <v>74</v>
      </c>
      <c r="E383" s="60">
        <f>+C383*D383</f>
        <v>148000</v>
      </c>
      <c r="F383" s="60">
        <f>+E383*7%</f>
        <v>10360.000000000002</v>
      </c>
      <c r="G383" s="60">
        <f>+E383+F383</f>
        <v>158360</v>
      </c>
      <c r="I383">
        <v>6903082</v>
      </c>
    </row>
    <row r="384" spans="1:9" ht="18" customHeight="1" thickBot="1" x14ac:dyDescent="0.35">
      <c r="A384" s="84"/>
      <c r="B384" s="17" t="s">
        <v>15</v>
      </c>
      <c r="C384" s="18">
        <f>SUM(C383)</f>
        <v>2000</v>
      </c>
      <c r="D384" s="19"/>
      <c r="E384" s="18">
        <f>SUM(E383)</f>
        <v>148000</v>
      </c>
      <c r="F384" s="18">
        <f t="shared" ref="F384:G384" si="58">SUM(F383)</f>
        <v>10360.000000000002</v>
      </c>
      <c r="G384" s="18">
        <f t="shared" si="58"/>
        <v>158360</v>
      </c>
    </row>
    <row r="385" spans="1:9" ht="13.5" customHeight="1" thickTop="1" x14ac:dyDescent="0.3">
      <c r="A385" s="85"/>
      <c r="B385" s="68"/>
      <c r="C385" s="69"/>
      <c r="D385" s="70"/>
      <c r="E385" s="69"/>
      <c r="F385" s="69"/>
      <c r="G385" s="69"/>
    </row>
    <row r="386" spans="1:9" s="108" customFormat="1" ht="18" customHeight="1" thickBot="1" x14ac:dyDescent="0.45">
      <c r="A386" s="104"/>
      <c r="B386" s="105" t="s">
        <v>63</v>
      </c>
      <c r="C386" s="69">
        <f>C384</f>
        <v>2000</v>
      </c>
      <c r="D386" s="106">
        <v>1.1080000000000001</v>
      </c>
      <c r="E386" s="107">
        <f>+C386*D386</f>
        <v>2216</v>
      </c>
      <c r="G386" s="109"/>
    </row>
    <row r="387" spans="1:9" ht="14.25" customHeight="1" thickTop="1" x14ac:dyDescent="0.3">
      <c r="A387" s="85"/>
      <c r="B387" s="68"/>
      <c r="C387" s="69"/>
      <c r="D387" s="70"/>
      <c r="E387" s="69"/>
      <c r="F387" s="69"/>
      <c r="G387" s="69"/>
    </row>
    <row r="388" spans="1:9" s="30" customFormat="1" ht="23.25" x14ac:dyDescent="0.5">
      <c r="A388" s="360" t="s">
        <v>64</v>
      </c>
      <c r="B388" s="360"/>
      <c r="C388" s="360"/>
      <c r="D388" s="360"/>
      <c r="E388" s="360"/>
      <c r="F388" s="360"/>
      <c r="G388" s="360"/>
    </row>
    <row r="389" spans="1:9" s="30" customFormat="1" ht="18" customHeight="1" x14ac:dyDescent="0.5">
      <c r="A389" s="114" t="s">
        <v>2</v>
      </c>
      <c r="B389" s="115" t="s">
        <v>3</v>
      </c>
      <c r="C389" s="95" t="s">
        <v>4</v>
      </c>
      <c r="D389" s="3" t="s">
        <v>5</v>
      </c>
      <c r="E389" s="115" t="s">
        <v>6</v>
      </c>
      <c r="F389" s="115" t="s">
        <v>7</v>
      </c>
      <c r="G389" s="115" t="s">
        <v>8</v>
      </c>
    </row>
    <row r="390" spans="1:9" s="30" customFormat="1" ht="18" customHeight="1" x14ac:dyDescent="0.5">
      <c r="A390" s="16" t="s">
        <v>600</v>
      </c>
      <c r="B390" s="5" t="s">
        <v>634</v>
      </c>
      <c r="C390" s="6">
        <v>949.5</v>
      </c>
      <c r="D390" s="7">
        <v>54</v>
      </c>
      <c r="E390" s="60">
        <f t="shared" ref="E390:E392" si="59">+C390*D390</f>
        <v>51273</v>
      </c>
      <c r="F390" s="60">
        <f t="shared" ref="F390:F392" si="60">+E390*7%</f>
        <v>3589.11</v>
      </c>
      <c r="G390" s="60">
        <f t="shared" ref="G390:G392" si="61">+E390+F390</f>
        <v>54862.11</v>
      </c>
      <c r="I390" s="30">
        <v>6903278</v>
      </c>
    </row>
    <row r="391" spans="1:9" s="30" customFormat="1" ht="18" customHeight="1" x14ac:dyDescent="0.5">
      <c r="A391" s="16" t="s">
        <v>604</v>
      </c>
      <c r="B391" s="5" t="s">
        <v>504</v>
      </c>
      <c r="C391" s="6">
        <v>937.3</v>
      </c>
      <c r="D391" s="7">
        <v>52</v>
      </c>
      <c r="E391" s="60">
        <f t="shared" si="59"/>
        <v>48739.6</v>
      </c>
      <c r="F391" s="60">
        <f t="shared" si="60"/>
        <v>3411.7720000000004</v>
      </c>
      <c r="G391" s="60">
        <f t="shared" si="61"/>
        <v>52151.371999999996</v>
      </c>
      <c r="I391" s="30">
        <v>6903367</v>
      </c>
    </row>
    <row r="392" spans="1:9" s="30" customFormat="1" ht="18" customHeight="1" x14ac:dyDescent="0.5">
      <c r="A392" s="16" t="s">
        <v>593</v>
      </c>
      <c r="B392" s="5" t="s">
        <v>505</v>
      </c>
      <c r="C392" s="6">
        <v>977.3</v>
      </c>
      <c r="D392" s="7">
        <v>52</v>
      </c>
      <c r="E392" s="60">
        <f t="shared" si="59"/>
        <v>50819.6</v>
      </c>
      <c r="F392" s="60">
        <f t="shared" si="60"/>
        <v>3557.3720000000003</v>
      </c>
      <c r="G392" s="60">
        <f t="shared" si="61"/>
        <v>54376.972000000002</v>
      </c>
      <c r="I392" s="30">
        <v>6903173</v>
      </c>
    </row>
    <row r="393" spans="1:9" ht="18" customHeight="1" thickBot="1" x14ac:dyDescent="0.35">
      <c r="A393" s="116"/>
      <c r="B393" s="17" t="s">
        <v>15</v>
      </c>
      <c r="C393" s="18">
        <f>SUM(C390:C392)</f>
        <v>2864.1</v>
      </c>
      <c r="D393" s="19"/>
      <c r="E393" s="62">
        <f>SUM(E390:E392)</f>
        <v>150832.20000000001</v>
      </c>
      <c r="F393" s="62">
        <f t="shared" ref="F393:G393" si="62">SUM(F390:F392)</f>
        <v>10558.254000000001</v>
      </c>
      <c r="G393" s="62">
        <f t="shared" si="62"/>
        <v>161390.454</v>
      </c>
    </row>
    <row r="394" spans="1:9" s="30" customFormat="1" ht="15.75" customHeight="1" thickTop="1" x14ac:dyDescent="0.5">
      <c r="A394" s="110"/>
      <c r="B394" s="111"/>
      <c r="C394" s="112"/>
      <c r="D394" s="70"/>
      <c r="E394" s="113"/>
      <c r="F394" s="113"/>
      <c r="G394" s="113"/>
    </row>
    <row r="395" spans="1:9" s="30" customFormat="1" ht="23.25" x14ac:dyDescent="0.5">
      <c r="A395" s="360" t="s">
        <v>64</v>
      </c>
      <c r="B395" s="360"/>
      <c r="C395" s="360"/>
      <c r="D395" s="360"/>
      <c r="E395" s="360"/>
      <c r="F395" s="360"/>
      <c r="G395" s="360"/>
    </row>
    <row r="396" spans="1:9" s="30" customFormat="1" ht="18" customHeight="1" x14ac:dyDescent="0.5">
      <c r="A396" s="114" t="s">
        <v>2</v>
      </c>
      <c r="B396" s="115" t="s">
        <v>3</v>
      </c>
      <c r="C396" s="95" t="s">
        <v>506</v>
      </c>
      <c r="D396" s="3" t="s">
        <v>5</v>
      </c>
      <c r="E396" s="115" t="s">
        <v>6</v>
      </c>
      <c r="F396" s="115" t="s">
        <v>7</v>
      </c>
      <c r="G396" s="115" t="s">
        <v>8</v>
      </c>
    </row>
    <row r="397" spans="1:9" s="30" customFormat="1" ht="18" customHeight="1" x14ac:dyDescent="0.5">
      <c r="A397" s="16" t="s">
        <v>604</v>
      </c>
      <c r="B397" s="5" t="s">
        <v>507</v>
      </c>
      <c r="C397" s="6">
        <v>30000</v>
      </c>
      <c r="D397" s="7">
        <v>1.04</v>
      </c>
      <c r="E397" s="60">
        <f t="shared" ref="E397" si="63">+C397*D397</f>
        <v>31200</v>
      </c>
      <c r="F397" s="60">
        <f t="shared" ref="F397" si="64">+E397*7%</f>
        <v>2184</v>
      </c>
      <c r="G397" s="60">
        <f>+E397+F397</f>
        <v>33384</v>
      </c>
      <c r="I397" s="30">
        <v>6903368</v>
      </c>
    </row>
    <row r="398" spans="1:9" ht="18" customHeight="1" thickBot="1" x14ac:dyDescent="0.35">
      <c r="A398" s="116"/>
      <c r="B398" s="17" t="s">
        <v>15</v>
      </c>
      <c r="C398" s="18">
        <f>SUM(C397)</f>
        <v>30000</v>
      </c>
      <c r="D398" s="19"/>
      <c r="E398" s="62">
        <f>SUM(E397)</f>
        <v>31200</v>
      </c>
      <c r="F398" s="62">
        <f t="shared" ref="F398:G398" si="65">SUM(F397)</f>
        <v>2184</v>
      </c>
      <c r="G398" s="62">
        <f t="shared" si="65"/>
        <v>33384</v>
      </c>
    </row>
    <row r="399" spans="1:9" ht="18" customHeight="1" thickTop="1" x14ac:dyDescent="0.3">
      <c r="A399" s="311"/>
      <c r="B399" s="68"/>
      <c r="C399" s="69"/>
      <c r="D399" s="70"/>
      <c r="E399" s="71"/>
      <c r="F399" s="71"/>
      <c r="G399" s="71"/>
    </row>
    <row r="400" spans="1:9" s="30" customFormat="1" ht="23.25" x14ac:dyDescent="0.5">
      <c r="A400" s="372" t="s">
        <v>64</v>
      </c>
      <c r="B400" s="372"/>
      <c r="C400" s="372"/>
      <c r="D400" s="372"/>
      <c r="E400" s="372"/>
      <c r="F400" s="372"/>
      <c r="G400" s="372"/>
    </row>
    <row r="401" spans="1:9" s="30" customFormat="1" ht="18" customHeight="1" x14ac:dyDescent="0.5">
      <c r="A401" s="117" t="s">
        <v>2</v>
      </c>
      <c r="B401" s="118" t="s">
        <v>3</v>
      </c>
      <c r="C401" s="28" t="s">
        <v>4</v>
      </c>
      <c r="D401" s="119"/>
      <c r="E401" s="312"/>
      <c r="F401" s="312"/>
      <c r="G401" s="312"/>
    </row>
    <row r="402" spans="1:9" s="30" customFormat="1" ht="18" customHeight="1" x14ac:dyDescent="0.5">
      <c r="A402" s="16" t="s">
        <v>604</v>
      </c>
      <c r="B402" s="5" t="s">
        <v>507</v>
      </c>
      <c r="C402" s="6">
        <v>557.9</v>
      </c>
      <c r="D402" s="93"/>
      <c r="E402" s="120"/>
      <c r="F402" s="120"/>
      <c r="G402" s="120"/>
      <c r="I402" s="30">
        <v>6903368</v>
      </c>
    </row>
    <row r="403" spans="1:9" ht="18" customHeight="1" thickBot="1" x14ac:dyDescent="0.35">
      <c r="A403" s="116"/>
      <c r="B403" s="17" t="s">
        <v>15</v>
      </c>
      <c r="C403" s="18">
        <f>SUM(C402:C402)</f>
        <v>557.9</v>
      </c>
      <c r="D403" s="70"/>
      <c r="E403" s="71"/>
      <c r="F403" s="71"/>
      <c r="G403" s="71"/>
    </row>
    <row r="404" spans="1:9" ht="18" customHeight="1" thickTop="1" x14ac:dyDescent="0.3">
      <c r="A404" s="311"/>
      <c r="B404" s="68"/>
      <c r="C404" s="69"/>
      <c r="D404" s="70"/>
      <c r="E404" s="71"/>
      <c r="F404" s="71"/>
      <c r="G404" s="71"/>
    </row>
    <row r="405" spans="1:9" s="30" customFormat="1" ht="23.25" x14ac:dyDescent="0.5">
      <c r="A405" s="360" t="s">
        <v>64</v>
      </c>
      <c r="B405" s="360"/>
      <c r="C405" s="360"/>
      <c r="D405" s="360"/>
      <c r="E405" s="360"/>
      <c r="F405" s="360"/>
      <c r="G405" s="360"/>
    </row>
    <row r="406" spans="1:9" s="30" customFormat="1" ht="18" customHeight="1" x14ac:dyDescent="0.5">
      <c r="A406" s="114" t="s">
        <v>2</v>
      </c>
      <c r="B406" s="115" t="s">
        <v>3</v>
      </c>
      <c r="C406" s="95" t="s">
        <v>65</v>
      </c>
      <c r="D406" s="3" t="s">
        <v>5</v>
      </c>
      <c r="E406" s="115" t="s">
        <v>6</v>
      </c>
      <c r="F406" s="115" t="s">
        <v>7</v>
      </c>
      <c r="G406" s="115" t="s">
        <v>8</v>
      </c>
    </row>
    <row r="407" spans="1:9" ht="18" customHeight="1" x14ac:dyDescent="0.4">
      <c r="A407" s="16" t="s">
        <v>598</v>
      </c>
      <c r="B407" s="5" t="s">
        <v>251</v>
      </c>
      <c r="C407" s="37">
        <v>32736</v>
      </c>
      <c r="D407" s="51">
        <v>1.1100000000000001</v>
      </c>
      <c r="E407" s="8">
        <f t="shared" ref="E407:E417" si="66">+C407*D407</f>
        <v>36336.960000000006</v>
      </c>
      <c r="F407" s="8">
        <f t="shared" ref="F407:F417" si="67">+E407*7%</f>
        <v>2543.5872000000008</v>
      </c>
      <c r="G407" s="122">
        <f t="shared" ref="G407:G415" si="68">SUM(E407:F407)</f>
        <v>38880.547200000008</v>
      </c>
      <c r="I407">
        <v>6903251</v>
      </c>
    </row>
    <row r="408" spans="1:9" ht="18" customHeight="1" x14ac:dyDescent="0.4">
      <c r="A408" s="16" t="s">
        <v>598</v>
      </c>
      <c r="B408" s="5" t="s">
        <v>180</v>
      </c>
      <c r="C408" s="37">
        <v>32408</v>
      </c>
      <c r="D408" s="51">
        <v>1.1100000000000001</v>
      </c>
      <c r="E408" s="8">
        <f t="shared" si="66"/>
        <v>35972.880000000005</v>
      </c>
      <c r="F408" s="8">
        <f t="shared" si="67"/>
        <v>2518.1016000000004</v>
      </c>
      <c r="G408" s="122">
        <f t="shared" si="68"/>
        <v>38490.981600000006</v>
      </c>
      <c r="I408">
        <v>6903254</v>
      </c>
    </row>
    <row r="409" spans="1:9" ht="18" customHeight="1" x14ac:dyDescent="0.4">
      <c r="A409" s="16" t="s">
        <v>610</v>
      </c>
      <c r="B409" s="5" t="s">
        <v>508</v>
      </c>
      <c r="C409" s="37">
        <v>32736</v>
      </c>
      <c r="D409" s="51">
        <v>1.1100000000000001</v>
      </c>
      <c r="E409" s="8">
        <f t="shared" si="66"/>
        <v>36336.960000000006</v>
      </c>
      <c r="F409" s="8">
        <f t="shared" si="67"/>
        <v>2543.5872000000008</v>
      </c>
      <c r="G409" s="122">
        <f t="shared" si="68"/>
        <v>38880.547200000008</v>
      </c>
      <c r="I409">
        <v>6903343</v>
      </c>
    </row>
    <row r="410" spans="1:9" ht="18" customHeight="1" x14ac:dyDescent="0.4">
      <c r="A410" s="16" t="s">
        <v>613</v>
      </c>
      <c r="B410" s="5" t="s">
        <v>510</v>
      </c>
      <c r="C410" s="37">
        <v>15522</v>
      </c>
      <c r="D410" s="51">
        <v>1.26</v>
      </c>
      <c r="E410" s="8">
        <f t="shared" si="66"/>
        <v>19557.72</v>
      </c>
      <c r="F410" s="8">
        <f t="shared" si="67"/>
        <v>1369.0404000000003</v>
      </c>
      <c r="G410" s="122">
        <f t="shared" si="68"/>
        <v>20926.760400000003</v>
      </c>
      <c r="I410">
        <v>6903010</v>
      </c>
    </row>
    <row r="411" spans="1:9" ht="18" customHeight="1" x14ac:dyDescent="0.4">
      <c r="A411" s="16" t="s">
        <v>613</v>
      </c>
      <c r="B411" s="5" t="s">
        <v>66</v>
      </c>
      <c r="C411" s="37">
        <v>107150</v>
      </c>
      <c r="D411" s="51">
        <v>1.38</v>
      </c>
      <c r="E411" s="8">
        <f t="shared" si="66"/>
        <v>147867</v>
      </c>
      <c r="F411" s="8">
        <f t="shared" si="67"/>
        <v>10350.69</v>
      </c>
      <c r="G411" s="122">
        <f t="shared" si="68"/>
        <v>158217.69</v>
      </c>
      <c r="I411">
        <v>6903009</v>
      </c>
    </row>
    <row r="412" spans="1:9" ht="18" customHeight="1" x14ac:dyDescent="0.4">
      <c r="A412" s="16" t="s">
        <v>589</v>
      </c>
      <c r="B412" s="5" t="s">
        <v>66</v>
      </c>
      <c r="C412" s="37">
        <v>21430</v>
      </c>
      <c r="D412" s="51">
        <v>1.38</v>
      </c>
      <c r="E412" s="8">
        <f t="shared" si="66"/>
        <v>29573.399999999998</v>
      </c>
      <c r="F412" s="8">
        <f t="shared" si="67"/>
        <v>2070.1379999999999</v>
      </c>
      <c r="G412" s="122">
        <f t="shared" si="68"/>
        <v>31643.537999999997</v>
      </c>
      <c r="I412">
        <v>6903061</v>
      </c>
    </row>
    <row r="413" spans="1:9" ht="18" customHeight="1" x14ac:dyDescent="0.4">
      <c r="A413" s="16" t="s">
        <v>616</v>
      </c>
      <c r="B413" s="5" t="s">
        <v>66</v>
      </c>
      <c r="C413" s="37">
        <v>92149</v>
      </c>
      <c r="D413" s="51">
        <v>1.38</v>
      </c>
      <c r="E413" s="8">
        <f t="shared" si="66"/>
        <v>127165.62</v>
      </c>
      <c r="F413" s="8">
        <f t="shared" si="67"/>
        <v>8901.5933999999997</v>
      </c>
      <c r="G413" s="122">
        <f t="shared" si="68"/>
        <v>136067.21340000001</v>
      </c>
      <c r="I413">
        <v>6903102</v>
      </c>
    </row>
    <row r="414" spans="1:9" ht="18" customHeight="1" x14ac:dyDescent="0.4">
      <c r="A414" s="16" t="s">
        <v>598</v>
      </c>
      <c r="B414" s="5" t="s">
        <v>66</v>
      </c>
      <c r="C414" s="37">
        <v>107150</v>
      </c>
      <c r="D414" s="51">
        <v>1.38</v>
      </c>
      <c r="E414" s="8">
        <f t="shared" si="66"/>
        <v>147867</v>
      </c>
      <c r="F414" s="8">
        <f t="shared" si="67"/>
        <v>10350.69</v>
      </c>
      <c r="G414" s="122">
        <f t="shared" si="68"/>
        <v>158217.69</v>
      </c>
      <c r="I414">
        <v>6903252</v>
      </c>
    </row>
    <row r="415" spans="1:9" ht="18" customHeight="1" x14ac:dyDescent="0.4">
      <c r="A415" s="16" t="s">
        <v>600</v>
      </c>
      <c r="B415" s="5" t="s">
        <v>66</v>
      </c>
      <c r="C415" s="37">
        <v>107150</v>
      </c>
      <c r="D415" s="51">
        <v>1.38</v>
      </c>
      <c r="E415" s="8">
        <f t="shared" si="66"/>
        <v>147867</v>
      </c>
      <c r="F415" s="8">
        <f t="shared" si="67"/>
        <v>10350.69</v>
      </c>
      <c r="G415" s="122">
        <f t="shared" si="68"/>
        <v>158217.69</v>
      </c>
      <c r="I415">
        <v>6903277</v>
      </c>
    </row>
    <row r="416" spans="1:9" ht="18" customHeight="1" x14ac:dyDescent="0.4">
      <c r="A416" s="16" t="s">
        <v>598</v>
      </c>
      <c r="B416" s="5" t="s">
        <v>635</v>
      </c>
      <c r="C416" s="37">
        <v>2885</v>
      </c>
      <c r="D416" s="51">
        <v>1.39</v>
      </c>
      <c r="E416" s="8">
        <f t="shared" si="66"/>
        <v>4010.1499999999996</v>
      </c>
      <c r="F416" s="8">
        <f t="shared" si="67"/>
        <v>280.71050000000002</v>
      </c>
      <c r="G416" s="8">
        <f t="shared" ref="G416:G417" si="69">+E416+F416</f>
        <v>4290.8604999999998</v>
      </c>
      <c r="I416">
        <v>6903253</v>
      </c>
    </row>
    <row r="417" spans="1:9" ht="18" customHeight="1" x14ac:dyDescent="0.4">
      <c r="A417" s="16" t="s">
        <v>610</v>
      </c>
      <c r="B417" s="5" t="s">
        <v>635</v>
      </c>
      <c r="C417" s="37">
        <v>17310</v>
      </c>
      <c r="D417" s="51">
        <v>1.31</v>
      </c>
      <c r="E417" s="8">
        <f t="shared" si="66"/>
        <v>22676.100000000002</v>
      </c>
      <c r="F417" s="8">
        <f t="shared" si="67"/>
        <v>1587.3270000000002</v>
      </c>
      <c r="G417" s="8">
        <f t="shared" si="69"/>
        <v>24263.427000000003</v>
      </c>
      <c r="I417">
        <v>6903344</v>
      </c>
    </row>
    <row r="418" spans="1:9" ht="18" customHeight="1" thickBot="1" x14ac:dyDescent="0.35">
      <c r="A418" s="116"/>
      <c r="B418" s="17" t="s">
        <v>15</v>
      </c>
      <c r="C418" s="18">
        <f>SUM(C407:C417)</f>
        <v>568626</v>
      </c>
      <c r="D418" s="19"/>
      <c r="E418" s="62">
        <f>SUM(E407:E417)</f>
        <v>755230.79</v>
      </c>
      <c r="F418" s="62">
        <f t="shared" ref="F418:G418" si="70">SUM(F407:F417)</f>
        <v>52866.155300000006</v>
      </c>
      <c r="G418" s="62">
        <f t="shared" si="70"/>
        <v>808096.9452999999</v>
      </c>
    </row>
    <row r="419" spans="1:9" ht="15.75" customHeight="1" thickTop="1" x14ac:dyDescent="0.3">
      <c r="A419" s="121"/>
      <c r="B419" s="68"/>
      <c r="C419" s="69"/>
      <c r="D419" s="70"/>
      <c r="E419" s="70"/>
      <c r="F419" s="71"/>
      <c r="G419" s="71"/>
    </row>
    <row r="420" spans="1:9" s="30" customFormat="1" ht="18" customHeight="1" x14ac:dyDescent="0.5">
      <c r="A420" s="117"/>
      <c r="B420" s="118" t="s">
        <v>3</v>
      </c>
      <c r="C420" s="73" t="s">
        <v>4</v>
      </c>
      <c r="F420"/>
      <c r="G420"/>
    </row>
    <row r="421" spans="1:9" ht="18" customHeight="1" x14ac:dyDescent="0.4">
      <c r="A421" s="16" t="s">
        <v>598</v>
      </c>
      <c r="B421" s="275" t="s">
        <v>251</v>
      </c>
      <c r="C421" s="276">
        <v>454.4</v>
      </c>
      <c r="D421" s="93"/>
      <c r="E421" s="120"/>
      <c r="F421" s="120"/>
      <c r="G421" s="123"/>
      <c r="H421" s="273" t="s">
        <v>392</v>
      </c>
      <c r="I421">
        <v>6903251</v>
      </c>
    </row>
    <row r="422" spans="1:9" ht="18" customHeight="1" x14ac:dyDescent="0.4">
      <c r="A422" s="16" t="s">
        <v>598</v>
      </c>
      <c r="B422" s="275" t="s">
        <v>180</v>
      </c>
      <c r="C422" s="276">
        <v>445.15</v>
      </c>
      <c r="D422" s="93"/>
      <c r="E422" s="120"/>
      <c r="F422" s="120"/>
      <c r="G422" s="123"/>
      <c r="H422" s="273" t="s">
        <v>392</v>
      </c>
      <c r="I422">
        <v>6903254</v>
      </c>
    </row>
    <row r="423" spans="1:9" ht="18" customHeight="1" x14ac:dyDescent="0.4">
      <c r="A423" s="16" t="s">
        <v>610</v>
      </c>
      <c r="B423" s="275" t="s">
        <v>508</v>
      </c>
      <c r="C423" s="276">
        <v>453.15</v>
      </c>
      <c r="D423" s="93"/>
      <c r="E423" s="120"/>
      <c r="F423" s="120"/>
      <c r="G423" s="123"/>
      <c r="H423" s="273" t="s">
        <v>392</v>
      </c>
      <c r="I423">
        <v>6903343</v>
      </c>
    </row>
    <row r="424" spans="1:9" ht="18" customHeight="1" x14ac:dyDescent="0.4">
      <c r="A424" s="16" t="s">
        <v>613</v>
      </c>
      <c r="B424" s="275" t="s">
        <v>510</v>
      </c>
      <c r="C424" s="276">
        <v>220.85</v>
      </c>
      <c r="D424" s="93"/>
      <c r="E424" s="120"/>
      <c r="F424" s="120"/>
      <c r="G424" s="123"/>
      <c r="H424" s="273" t="s">
        <v>392</v>
      </c>
      <c r="I424">
        <v>6903010</v>
      </c>
    </row>
    <row r="425" spans="1:9" ht="18" customHeight="1" x14ac:dyDescent="0.4">
      <c r="A425" s="16" t="s">
        <v>613</v>
      </c>
      <c r="B425" s="275" t="s">
        <v>66</v>
      </c>
      <c r="C425" s="276">
        <v>1969.05</v>
      </c>
      <c r="D425" s="93"/>
      <c r="E425" s="120"/>
      <c r="F425" s="120"/>
      <c r="G425" s="123"/>
      <c r="H425" s="273" t="s">
        <v>392</v>
      </c>
      <c r="I425">
        <v>6903009</v>
      </c>
    </row>
    <row r="426" spans="1:9" ht="18" customHeight="1" x14ac:dyDescent="0.4">
      <c r="A426" s="16" t="s">
        <v>589</v>
      </c>
      <c r="B426" s="275" t="s">
        <v>66</v>
      </c>
      <c r="C426" s="276">
        <v>392.95</v>
      </c>
      <c r="D426" s="93"/>
      <c r="E426" s="120"/>
      <c r="F426" s="120"/>
      <c r="G426" s="123"/>
      <c r="H426" s="273" t="s">
        <v>392</v>
      </c>
      <c r="I426">
        <v>6903061</v>
      </c>
    </row>
    <row r="427" spans="1:9" ht="18" customHeight="1" x14ac:dyDescent="0.4">
      <c r="A427" s="16" t="s">
        <v>616</v>
      </c>
      <c r="B427" s="275" t="s">
        <v>66</v>
      </c>
      <c r="C427" s="276">
        <v>1671.75</v>
      </c>
      <c r="D427" s="93"/>
      <c r="E427" s="120"/>
      <c r="F427" s="120"/>
      <c r="G427" s="123"/>
      <c r="H427" s="273" t="s">
        <v>392</v>
      </c>
      <c r="I427">
        <v>6903102</v>
      </c>
    </row>
    <row r="428" spans="1:9" ht="18" customHeight="1" x14ac:dyDescent="0.4">
      <c r="A428" s="16" t="s">
        <v>598</v>
      </c>
      <c r="B428" s="275" t="s">
        <v>66</v>
      </c>
      <c r="C428" s="276">
        <v>1976.3</v>
      </c>
      <c r="D428" s="93"/>
      <c r="E428" s="120"/>
      <c r="F428" s="120"/>
      <c r="G428" s="123"/>
      <c r="H428" s="273" t="s">
        <v>392</v>
      </c>
      <c r="I428">
        <v>6903252</v>
      </c>
    </row>
    <row r="429" spans="1:9" ht="18" customHeight="1" x14ac:dyDescent="0.4">
      <c r="A429" s="16" t="s">
        <v>600</v>
      </c>
      <c r="B429" s="275" t="s">
        <v>66</v>
      </c>
      <c r="C429" s="276">
        <v>2005.15</v>
      </c>
      <c r="D429" s="93"/>
      <c r="E429" s="120"/>
      <c r="F429" s="120"/>
      <c r="G429" s="123"/>
      <c r="H429" s="273" t="s">
        <v>392</v>
      </c>
      <c r="I429">
        <v>6903277</v>
      </c>
    </row>
    <row r="430" spans="1:9" ht="18" customHeight="1" x14ac:dyDescent="0.45">
      <c r="A430" s="16" t="s">
        <v>598</v>
      </c>
      <c r="B430" s="278" t="s">
        <v>635</v>
      </c>
      <c r="C430" s="279">
        <v>42.65</v>
      </c>
      <c r="D430" s="26"/>
      <c r="H430" s="273" t="s">
        <v>392</v>
      </c>
      <c r="I430">
        <v>6903253</v>
      </c>
    </row>
    <row r="431" spans="1:9" ht="18" customHeight="1" x14ac:dyDescent="0.45">
      <c r="A431" s="16" t="s">
        <v>610</v>
      </c>
      <c r="B431" s="278" t="s">
        <v>635</v>
      </c>
      <c r="C431" s="279">
        <v>253.85</v>
      </c>
      <c r="D431" s="26"/>
      <c r="H431" s="273" t="s">
        <v>392</v>
      </c>
      <c r="I431">
        <v>6903344</v>
      </c>
    </row>
    <row r="432" spans="1:9" ht="18" customHeight="1" thickBot="1" x14ac:dyDescent="0.35">
      <c r="A432" s="116"/>
      <c r="B432" s="17" t="s">
        <v>15</v>
      </c>
      <c r="C432" s="124">
        <f>SUM(C421:C431)</f>
        <v>9885.25</v>
      </c>
    </row>
    <row r="433" spans="1:9" ht="18" customHeight="1" thickTop="1" x14ac:dyDescent="0.3">
      <c r="A433" s="121"/>
      <c r="B433" s="68"/>
      <c r="C433" s="125"/>
    </row>
    <row r="434" spans="1:9" ht="23.25" x14ac:dyDescent="0.3">
      <c r="A434" s="362" t="s">
        <v>84</v>
      </c>
      <c r="B434" s="362"/>
      <c r="C434" s="362"/>
      <c r="D434" s="362"/>
      <c r="E434" s="362"/>
      <c r="F434" s="362"/>
      <c r="G434" s="362"/>
    </row>
    <row r="435" spans="1:9" ht="18" customHeight="1" x14ac:dyDescent="0.3">
      <c r="A435" s="1" t="s">
        <v>2</v>
      </c>
      <c r="B435" s="2" t="s">
        <v>3</v>
      </c>
      <c r="C435" s="2" t="s">
        <v>4</v>
      </c>
      <c r="D435" s="3" t="s">
        <v>5</v>
      </c>
      <c r="E435" s="2" t="s">
        <v>6</v>
      </c>
      <c r="F435" s="2" t="s">
        <v>7</v>
      </c>
      <c r="G435" s="2" t="s">
        <v>8</v>
      </c>
    </row>
    <row r="436" spans="1:9" ht="18" customHeight="1" x14ac:dyDescent="0.4">
      <c r="A436" s="11" t="s">
        <v>600</v>
      </c>
      <c r="B436" s="5" t="s">
        <v>515</v>
      </c>
      <c r="C436" s="138">
        <v>497.1</v>
      </c>
      <c r="D436" s="40">
        <v>45</v>
      </c>
      <c r="E436" s="6">
        <f t="shared" ref="E436:E440" si="71">+C436*D436</f>
        <v>22369.5</v>
      </c>
      <c r="F436" s="60">
        <f t="shared" ref="F436:F440" si="72">+E436*7%</f>
        <v>1565.8650000000002</v>
      </c>
      <c r="G436" s="60">
        <f t="shared" ref="G436:G440" si="73">+E436+F436</f>
        <v>23935.365000000002</v>
      </c>
      <c r="I436">
        <v>6903287</v>
      </c>
    </row>
    <row r="437" spans="1:9" ht="18" customHeight="1" x14ac:dyDescent="0.4">
      <c r="A437" s="11" t="s">
        <v>593</v>
      </c>
      <c r="B437" s="5" t="s">
        <v>516</v>
      </c>
      <c r="C437" s="138">
        <v>512.79999999999995</v>
      </c>
      <c r="D437" s="40">
        <v>45</v>
      </c>
      <c r="E437" s="6">
        <f t="shared" si="71"/>
        <v>23075.999999999996</v>
      </c>
      <c r="F437" s="60">
        <f t="shared" si="72"/>
        <v>1615.32</v>
      </c>
      <c r="G437" s="60">
        <f t="shared" si="73"/>
        <v>24691.319999999996</v>
      </c>
      <c r="I437">
        <v>6903179</v>
      </c>
    </row>
    <row r="438" spans="1:9" ht="18" customHeight="1" x14ac:dyDescent="0.4">
      <c r="A438" s="11" t="s">
        <v>616</v>
      </c>
      <c r="B438" s="5" t="s">
        <v>258</v>
      </c>
      <c r="C438" s="138">
        <v>2040.35</v>
      </c>
      <c r="D438" s="40">
        <v>44.5</v>
      </c>
      <c r="E438" s="6">
        <f t="shared" si="71"/>
        <v>90795.574999999997</v>
      </c>
      <c r="F438" s="60">
        <f t="shared" si="72"/>
        <v>6355.6902500000006</v>
      </c>
      <c r="G438" s="60">
        <f t="shared" si="73"/>
        <v>97151.265249999997</v>
      </c>
      <c r="I438">
        <v>6903103</v>
      </c>
    </row>
    <row r="439" spans="1:9" ht="18" customHeight="1" x14ac:dyDescent="0.4">
      <c r="A439" s="11" t="s">
        <v>600</v>
      </c>
      <c r="B439" s="5" t="s">
        <v>258</v>
      </c>
      <c r="C439" s="138">
        <v>1907.9</v>
      </c>
      <c r="D439" s="40">
        <v>44.5</v>
      </c>
      <c r="E439" s="6">
        <f t="shared" si="71"/>
        <v>84901.55</v>
      </c>
      <c r="F439" s="60">
        <f t="shared" si="72"/>
        <v>5943.1085000000012</v>
      </c>
      <c r="G439" s="60">
        <f t="shared" si="73"/>
        <v>90844.658500000005</v>
      </c>
      <c r="I439">
        <v>6903286</v>
      </c>
    </row>
    <row r="440" spans="1:9" ht="18" customHeight="1" x14ac:dyDescent="0.4">
      <c r="A440" s="11" t="s">
        <v>609</v>
      </c>
      <c r="B440" s="5" t="s">
        <v>637</v>
      </c>
      <c r="C440" s="138">
        <v>949.4</v>
      </c>
      <c r="D440" s="40">
        <v>45</v>
      </c>
      <c r="E440" s="6">
        <f t="shared" si="71"/>
        <v>42723</v>
      </c>
      <c r="F440" s="60">
        <f t="shared" si="72"/>
        <v>2990.61</v>
      </c>
      <c r="G440" s="60">
        <f t="shared" si="73"/>
        <v>45713.61</v>
      </c>
      <c r="I440">
        <v>6903162</v>
      </c>
    </row>
    <row r="441" spans="1:9" ht="18" customHeight="1" thickBot="1" x14ac:dyDescent="0.35">
      <c r="A441" s="139"/>
      <c r="B441" s="17" t="s">
        <v>15</v>
      </c>
      <c r="C441" s="18">
        <f>SUM(C436:C440)</f>
        <v>5907.5499999999993</v>
      </c>
      <c r="D441" s="141"/>
      <c r="E441" s="18">
        <f>SUM(E436:E440)</f>
        <v>263865.625</v>
      </c>
      <c r="F441" s="18">
        <f t="shared" ref="F441:G441" si="74">SUM(F436:F440)</f>
        <v>18470.593750000004</v>
      </c>
      <c r="G441" s="18">
        <f t="shared" si="74"/>
        <v>282336.21875</v>
      </c>
    </row>
    <row r="442" spans="1:9" ht="36.75" customHeight="1" thickTop="1" x14ac:dyDescent="0.4">
      <c r="A442" s="21"/>
      <c r="B442" s="22"/>
      <c r="C442" s="23"/>
      <c r="D442" s="140"/>
      <c r="E442" s="23"/>
      <c r="F442" s="25"/>
      <c r="G442" s="23"/>
    </row>
    <row r="443" spans="1:9" ht="23.25" x14ac:dyDescent="0.3">
      <c r="A443" s="359" t="s">
        <v>67</v>
      </c>
      <c r="B443" s="359"/>
      <c r="C443" s="359"/>
      <c r="D443" s="359"/>
      <c r="E443" s="359"/>
      <c r="F443" s="359"/>
      <c r="G443" s="359"/>
    </row>
    <row r="444" spans="1:9" ht="18" customHeight="1" x14ac:dyDescent="0.4">
      <c r="A444" s="57" t="s">
        <v>2</v>
      </c>
      <c r="B444" s="58" t="s">
        <v>3</v>
      </c>
      <c r="C444" s="58" t="s">
        <v>4</v>
      </c>
      <c r="D444" s="59" t="s">
        <v>5</v>
      </c>
      <c r="E444" s="58" t="s">
        <v>6</v>
      </c>
      <c r="F444" s="58" t="s">
        <v>7</v>
      </c>
      <c r="G444" s="58" t="s">
        <v>8</v>
      </c>
    </row>
    <row r="445" spans="1:9" ht="18" customHeight="1" x14ac:dyDescent="0.4">
      <c r="A445" s="16" t="s">
        <v>589</v>
      </c>
      <c r="B445" s="5" t="s">
        <v>68</v>
      </c>
      <c r="C445" s="86">
        <v>348.65</v>
      </c>
      <c r="D445" s="87">
        <v>75</v>
      </c>
      <c r="E445" s="8">
        <f t="shared" ref="E445:E469" si="75">+C445*D445</f>
        <v>26148.75</v>
      </c>
      <c r="F445" s="8">
        <f t="shared" ref="F445:F469" si="76">+E445*7%</f>
        <v>1830.4125000000001</v>
      </c>
      <c r="G445" s="8">
        <f t="shared" ref="G445:G469" si="77">+E445+F445</f>
        <v>27979.162499999999</v>
      </c>
      <c r="I445">
        <v>6903066</v>
      </c>
    </row>
    <row r="446" spans="1:9" ht="18" customHeight="1" x14ac:dyDescent="0.4">
      <c r="A446" s="16" t="s">
        <v>589</v>
      </c>
      <c r="B446" s="5" t="s">
        <v>68</v>
      </c>
      <c r="C446" s="86">
        <v>38.700000000000003</v>
      </c>
      <c r="D446" s="38">
        <v>75</v>
      </c>
      <c r="E446" s="8">
        <f>+C446*D446</f>
        <v>2902.5</v>
      </c>
      <c r="F446" s="8">
        <f>+E446*7%</f>
        <v>203.17500000000001</v>
      </c>
      <c r="G446" s="8">
        <f>+E446+F446</f>
        <v>3105.6750000000002</v>
      </c>
      <c r="I446">
        <v>6903065</v>
      </c>
    </row>
    <row r="447" spans="1:9" ht="18" customHeight="1" x14ac:dyDescent="0.4">
      <c r="A447" s="16" t="s">
        <v>591</v>
      </c>
      <c r="B447" s="5" t="s">
        <v>68</v>
      </c>
      <c r="C447" s="86">
        <v>282.2</v>
      </c>
      <c r="D447" s="87">
        <v>75</v>
      </c>
      <c r="E447" s="8">
        <f t="shared" si="75"/>
        <v>21165</v>
      </c>
      <c r="F447" s="8">
        <f t="shared" si="76"/>
        <v>1481.5500000000002</v>
      </c>
      <c r="G447" s="8">
        <f t="shared" si="77"/>
        <v>22646.55</v>
      </c>
      <c r="I447">
        <v>6903122</v>
      </c>
    </row>
    <row r="448" spans="1:9" ht="18" customHeight="1" x14ac:dyDescent="0.4">
      <c r="A448" s="16" t="s">
        <v>591</v>
      </c>
      <c r="B448" s="5" t="s">
        <v>68</v>
      </c>
      <c r="C448" s="86">
        <v>124.95</v>
      </c>
      <c r="D448" s="87">
        <v>75</v>
      </c>
      <c r="E448" s="8">
        <f t="shared" si="75"/>
        <v>9371.25</v>
      </c>
      <c r="F448" s="8">
        <f t="shared" si="76"/>
        <v>655.98750000000007</v>
      </c>
      <c r="G448" s="8">
        <f t="shared" si="77"/>
        <v>10027.237499999999</v>
      </c>
      <c r="I448">
        <v>6903121</v>
      </c>
    </row>
    <row r="449" spans="1:9" ht="18" customHeight="1" x14ac:dyDescent="0.4">
      <c r="A449" s="16" t="s">
        <v>596</v>
      </c>
      <c r="B449" s="5" t="s">
        <v>68</v>
      </c>
      <c r="C449" s="86">
        <v>100.85</v>
      </c>
      <c r="D449" s="87">
        <v>75</v>
      </c>
      <c r="E449" s="8">
        <f t="shared" si="75"/>
        <v>7563.75</v>
      </c>
      <c r="F449" s="8">
        <f t="shared" si="76"/>
        <v>529.46250000000009</v>
      </c>
      <c r="G449" s="8">
        <f t="shared" si="77"/>
        <v>8093.2124999999996</v>
      </c>
      <c r="I449">
        <v>6903207</v>
      </c>
    </row>
    <row r="450" spans="1:9" ht="18" customHeight="1" x14ac:dyDescent="0.4">
      <c r="A450" s="16" t="s">
        <v>600</v>
      </c>
      <c r="B450" s="5" t="s">
        <v>68</v>
      </c>
      <c r="C450" s="86">
        <v>519.25</v>
      </c>
      <c r="D450" s="87">
        <v>75</v>
      </c>
      <c r="E450" s="8">
        <f t="shared" si="75"/>
        <v>38943.75</v>
      </c>
      <c r="F450" s="8">
        <f t="shared" si="76"/>
        <v>2726.0625000000005</v>
      </c>
      <c r="G450" s="8">
        <f t="shared" si="77"/>
        <v>41669.8125</v>
      </c>
      <c r="I450">
        <v>6903282</v>
      </c>
    </row>
    <row r="451" spans="1:9" ht="18" customHeight="1" x14ac:dyDescent="0.4">
      <c r="A451" s="16" t="s">
        <v>608</v>
      </c>
      <c r="B451" s="5" t="s">
        <v>69</v>
      </c>
      <c r="C451" s="86">
        <v>208.7</v>
      </c>
      <c r="D451" s="87">
        <v>75</v>
      </c>
      <c r="E451" s="8">
        <f t="shared" si="75"/>
        <v>15652.5</v>
      </c>
      <c r="F451" s="8">
        <f t="shared" si="76"/>
        <v>1095.6750000000002</v>
      </c>
      <c r="G451" s="8">
        <f t="shared" si="77"/>
        <v>16748.174999999999</v>
      </c>
      <c r="I451">
        <v>6903048</v>
      </c>
    </row>
    <row r="452" spans="1:9" ht="18" customHeight="1" x14ac:dyDescent="0.4">
      <c r="A452" s="16" t="s">
        <v>597</v>
      </c>
      <c r="B452" s="5" t="s">
        <v>69</v>
      </c>
      <c r="C452" s="86">
        <v>367.75</v>
      </c>
      <c r="D452" s="87">
        <v>75</v>
      </c>
      <c r="E452" s="8">
        <f t="shared" si="75"/>
        <v>27581.25</v>
      </c>
      <c r="F452" s="8">
        <f t="shared" si="76"/>
        <v>1930.6875000000002</v>
      </c>
      <c r="G452" s="8">
        <f t="shared" si="77"/>
        <v>29511.9375</v>
      </c>
      <c r="I452">
        <v>6903219</v>
      </c>
    </row>
    <row r="453" spans="1:9" ht="18" customHeight="1" x14ac:dyDescent="0.4">
      <c r="A453" s="16" t="s">
        <v>610</v>
      </c>
      <c r="B453" s="5" t="s">
        <v>69</v>
      </c>
      <c r="C453" s="86">
        <v>209.1</v>
      </c>
      <c r="D453" s="87">
        <v>75</v>
      </c>
      <c r="E453" s="8">
        <f t="shared" si="75"/>
        <v>15682.5</v>
      </c>
      <c r="F453" s="8">
        <f t="shared" si="76"/>
        <v>1097.7750000000001</v>
      </c>
      <c r="G453" s="8">
        <f t="shared" si="77"/>
        <v>16780.275000000001</v>
      </c>
      <c r="I453">
        <v>6903350</v>
      </c>
    </row>
    <row r="454" spans="1:9" ht="18" customHeight="1" x14ac:dyDescent="0.4">
      <c r="A454" s="16" t="s">
        <v>608</v>
      </c>
      <c r="B454" s="5" t="s">
        <v>70</v>
      </c>
      <c r="C454" s="86">
        <v>552.9</v>
      </c>
      <c r="D454" s="87">
        <v>75</v>
      </c>
      <c r="E454" s="8">
        <f t="shared" si="75"/>
        <v>41467.5</v>
      </c>
      <c r="F454" s="8">
        <f t="shared" si="76"/>
        <v>2902.7250000000004</v>
      </c>
      <c r="G454" s="8">
        <f t="shared" si="77"/>
        <v>44370.224999999999</v>
      </c>
      <c r="I454">
        <v>6903048</v>
      </c>
    </row>
    <row r="455" spans="1:9" ht="18" customHeight="1" x14ac:dyDescent="0.4">
      <c r="A455" s="16" t="s">
        <v>591</v>
      </c>
      <c r="B455" s="5" t="s">
        <v>70</v>
      </c>
      <c r="C455" s="86">
        <v>191.2</v>
      </c>
      <c r="D455" s="87">
        <v>78</v>
      </c>
      <c r="E455" s="8">
        <f t="shared" si="75"/>
        <v>14913.599999999999</v>
      </c>
      <c r="F455" s="8">
        <f t="shared" si="76"/>
        <v>1043.952</v>
      </c>
      <c r="G455" s="8">
        <f t="shared" si="77"/>
        <v>15957.551999999998</v>
      </c>
      <c r="I455">
        <v>6903123</v>
      </c>
    </row>
    <row r="456" spans="1:9" ht="18" customHeight="1" x14ac:dyDescent="0.4">
      <c r="A456" s="16" t="s">
        <v>592</v>
      </c>
      <c r="B456" s="5" t="s">
        <v>70</v>
      </c>
      <c r="C456" s="86">
        <v>100.45</v>
      </c>
      <c r="D456" s="87">
        <v>75</v>
      </c>
      <c r="E456" s="8">
        <f t="shared" si="75"/>
        <v>7533.75</v>
      </c>
      <c r="F456" s="8">
        <f t="shared" si="76"/>
        <v>527.36250000000007</v>
      </c>
      <c r="G456" s="8">
        <f t="shared" si="77"/>
        <v>8061.1125000000002</v>
      </c>
      <c r="I456">
        <v>6903134</v>
      </c>
    </row>
    <row r="457" spans="1:9" ht="18" customHeight="1" x14ac:dyDescent="0.4">
      <c r="A457" s="16" t="s">
        <v>596</v>
      </c>
      <c r="B457" s="5" t="s">
        <v>70</v>
      </c>
      <c r="C457" s="86">
        <v>193.35</v>
      </c>
      <c r="D457" s="87">
        <v>78</v>
      </c>
      <c r="E457" s="8">
        <f t="shared" si="75"/>
        <v>15081.3</v>
      </c>
      <c r="F457" s="8">
        <f t="shared" si="76"/>
        <v>1055.691</v>
      </c>
      <c r="G457" s="8">
        <f t="shared" si="77"/>
        <v>16136.991</v>
      </c>
      <c r="I457">
        <v>6903208</v>
      </c>
    </row>
    <row r="458" spans="1:9" ht="18" customHeight="1" x14ac:dyDescent="0.4">
      <c r="A458" s="16" t="s">
        <v>597</v>
      </c>
      <c r="B458" s="5" t="s">
        <v>70</v>
      </c>
      <c r="C458" s="86">
        <v>306.8</v>
      </c>
      <c r="D458" s="87">
        <v>75</v>
      </c>
      <c r="E458" s="8">
        <f t="shared" si="75"/>
        <v>23010</v>
      </c>
      <c r="F458" s="8">
        <f t="shared" si="76"/>
        <v>1610.7</v>
      </c>
      <c r="G458" s="8">
        <f t="shared" si="77"/>
        <v>24620.7</v>
      </c>
      <c r="I458">
        <v>6903218</v>
      </c>
    </row>
    <row r="459" spans="1:9" ht="18" customHeight="1" x14ac:dyDescent="0.4">
      <c r="A459" s="16" t="s">
        <v>610</v>
      </c>
      <c r="B459" s="5" t="s">
        <v>70</v>
      </c>
      <c r="C459" s="86">
        <v>207.05</v>
      </c>
      <c r="D459" s="87">
        <v>75</v>
      </c>
      <c r="E459" s="8">
        <f t="shared" si="75"/>
        <v>15528.75</v>
      </c>
      <c r="F459" s="8">
        <f t="shared" si="76"/>
        <v>1087.0125</v>
      </c>
      <c r="G459" s="8">
        <f t="shared" si="77"/>
        <v>16615.762500000001</v>
      </c>
      <c r="I459">
        <v>6903349</v>
      </c>
    </row>
    <row r="460" spans="1:9" ht="18" customHeight="1" x14ac:dyDescent="0.4">
      <c r="A460" s="16" t="s">
        <v>608</v>
      </c>
      <c r="B460" s="5" t="s">
        <v>71</v>
      </c>
      <c r="C460" s="86">
        <v>311.45</v>
      </c>
      <c r="D460" s="87">
        <v>75</v>
      </c>
      <c r="E460" s="8">
        <f t="shared" si="75"/>
        <v>23358.75</v>
      </c>
      <c r="F460" s="8">
        <f t="shared" si="76"/>
        <v>1635.1125000000002</v>
      </c>
      <c r="G460" s="8">
        <f t="shared" si="77"/>
        <v>24993.862499999999</v>
      </c>
      <c r="I460">
        <v>6903047</v>
      </c>
    </row>
    <row r="461" spans="1:9" ht="18" customHeight="1" x14ac:dyDescent="0.4">
      <c r="A461" s="16" t="s">
        <v>589</v>
      </c>
      <c r="B461" s="5" t="s">
        <v>71</v>
      </c>
      <c r="C461" s="86">
        <v>47.3</v>
      </c>
      <c r="D461" s="87">
        <v>75</v>
      </c>
      <c r="E461" s="8">
        <f t="shared" si="75"/>
        <v>3547.5</v>
      </c>
      <c r="F461" s="8">
        <f t="shared" si="76"/>
        <v>248.32500000000002</v>
      </c>
      <c r="G461" s="8">
        <f t="shared" si="77"/>
        <v>3795.8249999999998</v>
      </c>
      <c r="I461">
        <v>6903064</v>
      </c>
    </row>
    <row r="462" spans="1:9" ht="18" customHeight="1" x14ac:dyDescent="0.4">
      <c r="A462" s="16" t="s">
        <v>592</v>
      </c>
      <c r="B462" s="5" t="s">
        <v>71</v>
      </c>
      <c r="C462" s="86">
        <v>182.5</v>
      </c>
      <c r="D462" s="87">
        <v>75</v>
      </c>
      <c r="E462" s="8">
        <f t="shared" si="75"/>
        <v>13687.5</v>
      </c>
      <c r="F462" s="8">
        <f t="shared" si="76"/>
        <v>958.12500000000011</v>
      </c>
      <c r="G462" s="8">
        <f t="shared" si="77"/>
        <v>14645.625</v>
      </c>
      <c r="I462">
        <v>6903133</v>
      </c>
    </row>
    <row r="463" spans="1:9" ht="18" customHeight="1" x14ac:dyDescent="0.4">
      <c r="A463" s="16" t="s">
        <v>596</v>
      </c>
      <c r="B463" s="5" t="s">
        <v>71</v>
      </c>
      <c r="C463" s="86">
        <v>67.900000000000006</v>
      </c>
      <c r="D463" s="87">
        <v>75</v>
      </c>
      <c r="E463" s="8">
        <f t="shared" si="75"/>
        <v>5092.5</v>
      </c>
      <c r="F463" s="8">
        <f t="shared" si="76"/>
        <v>356.47500000000002</v>
      </c>
      <c r="G463" s="8">
        <f t="shared" si="77"/>
        <v>5448.9750000000004</v>
      </c>
      <c r="I463">
        <v>6903207</v>
      </c>
    </row>
    <row r="464" spans="1:9" ht="18" customHeight="1" x14ac:dyDescent="0.4">
      <c r="A464" s="16" t="s">
        <v>596</v>
      </c>
      <c r="B464" s="5" t="s">
        <v>71</v>
      </c>
      <c r="C464" s="86">
        <v>27.1</v>
      </c>
      <c r="D464" s="87">
        <v>75</v>
      </c>
      <c r="E464" s="8">
        <f t="shared" si="75"/>
        <v>2032.5</v>
      </c>
      <c r="F464" s="8">
        <f t="shared" si="76"/>
        <v>142.27500000000001</v>
      </c>
      <c r="G464" s="8">
        <f t="shared" si="77"/>
        <v>2174.7750000000001</v>
      </c>
      <c r="I464">
        <v>6903206</v>
      </c>
    </row>
    <row r="465" spans="1:9" ht="18" customHeight="1" x14ac:dyDescent="0.4">
      <c r="A465" s="16" t="s">
        <v>597</v>
      </c>
      <c r="B465" s="5" t="s">
        <v>71</v>
      </c>
      <c r="C465" s="86">
        <v>832.2</v>
      </c>
      <c r="D465" s="87">
        <v>74</v>
      </c>
      <c r="E465" s="8">
        <f t="shared" si="75"/>
        <v>61582.8</v>
      </c>
      <c r="F465" s="8">
        <f t="shared" si="76"/>
        <v>4310.7960000000003</v>
      </c>
      <c r="G465" s="8">
        <f t="shared" si="77"/>
        <v>65893.596000000005</v>
      </c>
      <c r="I465">
        <v>6903217</v>
      </c>
    </row>
    <row r="466" spans="1:9" ht="18" customHeight="1" x14ac:dyDescent="0.4">
      <c r="A466" s="16" t="s">
        <v>600</v>
      </c>
      <c r="B466" s="5" t="s">
        <v>71</v>
      </c>
      <c r="C466" s="86">
        <v>104.4</v>
      </c>
      <c r="D466" s="87">
        <v>75</v>
      </c>
      <c r="E466" s="8">
        <f t="shared" si="75"/>
        <v>7830</v>
      </c>
      <c r="F466" s="8">
        <f t="shared" si="76"/>
        <v>548.1</v>
      </c>
      <c r="G466" s="8">
        <f t="shared" si="77"/>
        <v>8378.1</v>
      </c>
      <c r="I466">
        <v>6903282</v>
      </c>
    </row>
    <row r="467" spans="1:9" ht="18" customHeight="1" x14ac:dyDescent="0.4">
      <c r="A467" s="16" t="s">
        <v>610</v>
      </c>
      <c r="B467" s="5" t="s">
        <v>71</v>
      </c>
      <c r="C467" s="86">
        <v>311.85000000000002</v>
      </c>
      <c r="D467" s="87">
        <v>74</v>
      </c>
      <c r="E467" s="8">
        <f t="shared" si="75"/>
        <v>23076.9</v>
      </c>
      <c r="F467" s="8">
        <f t="shared" si="76"/>
        <v>1615.3830000000003</v>
      </c>
      <c r="G467" s="8">
        <f t="shared" si="77"/>
        <v>24692.283000000003</v>
      </c>
      <c r="I467">
        <v>6903348</v>
      </c>
    </row>
    <row r="468" spans="1:9" ht="18" customHeight="1" x14ac:dyDescent="0.4">
      <c r="A468" s="16" t="s">
        <v>589</v>
      </c>
      <c r="B468" s="5" t="s">
        <v>74</v>
      </c>
      <c r="C468" s="86">
        <v>19.25</v>
      </c>
      <c r="D468" s="87">
        <v>80</v>
      </c>
      <c r="E468" s="8">
        <f t="shared" si="75"/>
        <v>1540</v>
      </c>
      <c r="F468" s="8">
        <f t="shared" si="76"/>
        <v>107.80000000000001</v>
      </c>
      <c r="G468" s="8">
        <f t="shared" si="77"/>
        <v>1647.8</v>
      </c>
      <c r="I468">
        <v>6903063</v>
      </c>
    </row>
    <row r="469" spans="1:9" ht="18" customHeight="1" x14ac:dyDescent="0.4">
      <c r="A469" s="16" t="s">
        <v>589</v>
      </c>
      <c r="B469" s="5" t="s">
        <v>74</v>
      </c>
      <c r="C469" s="86">
        <v>28.3</v>
      </c>
      <c r="D469" s="87">
        <v>80</v>
      </c>
      <c r="E469" s="8">
        <f t="shared" si="75"/>
        <v>2264</v>
      </c>
      <c r="F469" s="8">
        <f t="shared" si="76"/>
        <v>158.48000000000002</v>
      </c>
      <c r="G469" s="8">
        <f t="shared" si="77"/>
        <v>2422.48</v>
      </c>
      <c r="I469">
        <v>6903062</v>
      </c>
    </row>
    <row r="470" spans="1:9" ht="18" customHeight="1" thickBot="1" x14ac:dyDescent="0.35">
      <c r="A470" s="84"/>
      <c r="B470" s="17" t="s">
        <v>15</v>
      </c>
      <c r="C470" s="18">
        <f>SUM(C445:C469)</f>
        <v>5684.15</v>
      </c>
      <c r="D470" s="19"/>
      <c r="E470" s="18">
        <f>SUM(E445:E469)</f>
        <v>426558.60000000003</v>
      </c>
      <c r="F470" s="18">
        <f t="shared" ref="F470:G470" si="78">SUM(F445:F469)</f>
        <v>29859.101999999999</v>
      </c>
      <c r="G470" s="18">
        <f t="shared" si="78"/>
        <v>456417.70199999999</v>
      </c>
    </row>
    <row r="471" spans="1:9" ht="7.5" customHeight="1" thickTop="1" x14ac:dyDescent="0.4">
      <c r="A471" s="21"/>
      <c r="B471" s="22"/>
      <c r="C471" s="23"/>
      <c r="D471" s="24"/>
      <c r="E471" s="23"/>
      <c r="F471" s="25"/>
      <c r="G471" s="23"/>
    </row>
    <row r="472" spans="1:9" ht="23.25" x14ac:dyDescent="0.5">
      <c r="A472" s="361" t="s">
        <v>75</v>
      </c>
      <c r="B472" s="361"/>
      <c r="C472" s="361"/>
      <c r="D472" s="361"/>
      <c r="E472" s="361"/>
      <c r="F472" s="361"/>
      <c r="G472" s="361"/>
    </row>
    <row r="473" spans="1:9" ht="18" customHeight="1" x14ac:dyDescent="0.3">
      <c r="A473" s="94" t="s">
        <v>2</v>
      </c>
      <c r="B473" s="95" t="s">
        <v>3</v>
      </c>
      <c r="C473" s="95" t="s">
        <v>4</v>
      </c>
      <c r="D473" s="3" t="s">
        <v>5</v>
      </c>
      <c r="E473" s="95" t="s">
        <v>6</v>
      </c>
      <c r="F473" s="95" t="s">
        <v>7</v>
      </c>
      <c r="G473" s="95" t="s">
        <v>8</v>
      </c>
    </row>
    <row r="474" spans="1:9" ht="18" customHeight="1" x14ac:dyDescent="0.4">
      <c r="A474" s="127" t="s">
        <v>604</v>
      </c>
      <c r="B474" s="5" t="s">
        <v>636</v>
      </c>
      <c r="C474" s="128">
        <v>566.1</v>
      </c>
      <c r="D474" s="40">
        <v>74.5</v>
      </c>
      <c r="E474" s="6">
        <f>+C474*D474</f>
        <v>42174.450000000004</v>
      </c>
      <c r="F474" s="6">
        <f>+E474*7%</f>
        <v>2952.2115000000008</v>
      </c>
      <c r="G474" s="6">
        <f>+E474+F474</f>
        <v>45126.661500000002</v>
      </c>
      <c r="I474">
        <v>6903370</v>
      </c>
    </row>
    <row r="475" spans="1:9" ht="18" customHeight="1" thickBot="1" x14ac:dyDescent="0.35">
      <c r="A475" s="131"/>
      <c r="B475" s="95" t="s">
        <v>15</v>
      </c>
      <c r="C475" s="132">
        <f>SUM(C474:C474)</f>
        <v>566.1</v>
      </c>
      <c r="D475" s="133"/>
      <c r="E475" s="134">
        <f>SUM(E474:E474)</f>
        <v>42174.450000000004</v>
      </c>
      <c r="F475" s="134">
        <f>SUM(F474:F474)</f>
        <v>2952.2115000000008</v>
      </c>
      <c r="G475" s="134">
        <f>SUM(G474:G474)</f>
        <v>45126.661500000002</v>
      </c>
    </row>
    <row r="476" spans="1:9" ht="8.25" customHeight="1" thickTop="1" x14ac:dyDescent="0.3">
      <c r="A476" s="126"/>
      <c r="B476" s="111"/>
      <c r="C476" s="112"/>
      <c r="D476" s="119"/>
      <c r="E476" s="113"/>
      <c r="F476" s="113"/>
      <c r="G476" s="113"/>
    </row>
    <row r="477" spans="1:9" ht="18.75" customHeight="1" x14ac:dyDescent="0.5">
      <c r="A477" s="361" t="s">
        <v>75</v>
      </c>
      <c r="B477" s="361"/>
      <c r="C477" s="361"/>
      <c r="D477" s="361"/>
      <c r="E477" s="361"/>
      <c r="F477" s="361"/>
      <c r="G477" s="361"/>
    </row>
    <row r="478" spans="1:9" ht="18" customHeight="1" x14ac:dyDescent="0.3">
      <c r="A478" s="94" t="s">
        <v>2</v>
      </c>
      <c r="B478" s="95" t="s">
        <v>3</v>
      </c>
      <c r="C478" s="95" t="s">
        <v>76</v>
      </c>
      <c r="D478" s="3" t="s">
        <v>5</v>
      </c>
      <c r="E478" s="95" t="s">
        <v>6</v>
      </c>
      <c r="F478" s="95" t="s">
        <v>7</v>
      </c>
      <c r="G478" s="95" t="s">
        <v>8</v>
      </c>
    </row>
    <row r="479" spans="1:9" ht="18" customHeight="1" x14ac:dyDescent="0.4">
      <c r="A479" s="127" t="s">
        <v>613</v>
      </c>
      <c r="B479" s="5" t="s">
        <v>77</v>
      </c>
      <c r="C479" s="128">
        <v>49</v>
      </c>
      <c r="D479" s="40">
        <v>685</v>
      </c>
      <c r="E479" s="6">
        <f>+C479*D479</f>
        <v>33565</v>
      </c>
      <c r="F479" s="6">
        <f>+E479*7%</f>
        <v>2349.5500000000002</v>
      </c>
      <c r="G479" s="6">
        <f>+E479+F479</f>
        <v>35914.550000000003</v>
      </c>
      <c r="I479">
        <v>6903018</v>
      </c>
    </row>
    <row r="480" spans="1:9" ht="18" customHeight="1" x14ac:dyDescent="0.4">
      <c r="A480" s="127" t="s">
        <v>589</v>
      </c>
      <c r="B480" s="129" t="s">
        <v>78</v>
      </c>
      <c r="C480" s="130">
        <v>130</v>
      </c>
      <c r="D480" s="19">
        <v>674</v>
      </c>
      <c r="E480" s="60">
        <f>+C480*D480</f>
        <v>87620</v>
      </c>
      <c r="F480" s="60">
        <f>+E480*7%</f>
        <v>6133.4000000000005</v>
      </c>
      <c r="G480" s="60">
        <f>+E480+F480</f>
        <v>93753.4</v>
      </c>
      <c r="I480">
        <v>6903070</v>
      </c>
    </row>
    <row r="481" spans="1:9" ht="18" customHeight="1" x14ac:dyDescent="0.4">
      <c r="A481" s="127" t="s">
        <v>592</v>
      </c>
      <c r="B481" s="129" t="s">
        <v>78</v>
      </c>
      <c r="C481" s="130">
        <v>191</v>
      </c>
      <c r="D481" s="19">
        <v>674</v>
      </c>
      <c r="E481" s="60">
        <f>+C481*D481</f>
        <v>128734</v>
      </c>
      <c r="F481" s="60">
        <f>+E481*7%</f>
        <v>9011.380000000001</v>
      </c>
      <c r="G481" s="60">
        <f>+E481+F481</f>
        <v>137745.38</v>
      </c>
      <c r="I481">
        <v>6903136</v>
      </c>
    </row>
    <row r="482" spans="1:9" ht="18" customHeight="1" x14ac:dyDescent="0.4">
      <c r="A482" s="127" t="s">
        <v>592</v>
      </c>
      <c r="B482" s="129" t="s">
        <v>78</v>
      </c>
      <c r="C482" s="130">
        <v>1</v>
      </c>
      <c r="D482" s="19">
        <v>685</v>
      </c>
      <c r="E482" s="60">
        <f>+C482*D482</f>
        <v>685</v>
      </c>
      <c r="F482" s="60">
        <f>+E482*7%</f>
        <v>47.95</v>
      </c>
      <c r="G482" s="60">
        <f>+E482+F482</f>
        <v>732.95</v>
      </c>
      <c r="I482">
        <v>6903135</v>
      </c>
    </row>
    <row r="483" spans="1:9" ht="18" customHeight="1" x14ac:dyDescent="0.4">
      <c r="A483" s="127" t="s">
        <v>602</v>
      </c>
      <c r="B483" s="129" t="s">
        <v>78</v>
      </c>
      <c r="C483" s="130">
        <v>110</v>
      </c>
      <c r="D483" s="19">
        <v>674</v>
      </c>
      <c r="E483" s="60">
        <f>+C483*D483</f>
        <v>74140</v>
      </c>
      <c r="F483" s="60">
        <f>+E483*7%</f>
        <v>5189.8</v>
      </c>
      <c r="G483" s="60">
        <f>+E483+F483</f>
        <v>79329.8</v>
      </c>
      <c r="I483">
        <v>6903314</v>
      </c>
    </row>
    <row r="484" spans="1:9" ht="18" customHeight="1" thickBot="1" x14ac:dyDescent="0.35">
      <c r="A484" s="131"/>
      <c r="B484" s="95" t="s">
        <v>15</v>
      </c>
      <c r="C484" s="132">
        <f>SUM(C479:C483)</f>
        <v>481</v>
      </c>
      <c r="D484" s="133"/>
      <c r="E484" s="134">
        <f>SUM(E479:E483)</f>
        <v>324744</v>
      </c>
      <c r="F484" s="134">
        <f>SUM(F479:F483)</f>
        <v>22732.080000000002</v>
      </c>
      <c r="G484" s="134">
        <f>SUM(G479:G483)</f>
        <v>347476.08</v>
      </c>
    </row>
    <row r="485" spans="1:9" ht="18" customHeight="1" thickTop="1" x14ac:dyDescent="0.3">
      <c r="A485" s="126"/>
      <c r="B485" s="111"/>
      <c r="C485" s="112"/>
      <c r="D485" s="119"/>
      <c r="E485" s="113"/>
      <c r="F485" s="113"/>
      <c r="G485" s="113"/>
    </row>
    <row r="486" spans="1:9" ht="18" customHeight="1" x14ac:dyDescent="0.3">
      <c r="A486" s="27" t="s">
        <v>2</v>
      </c>
      <c r="B486" s="28" t="s">
        <v>3</v>
      </c>
      <c r="C486" s="28" t="s">
        <v>79</v>
      </c>
      <c r="D486" s="119"/>
      <c r="E486" s="111"/>
      <c r="F486" s="111"/>
      <c r="G486" s="111"/>
    </row>
    <row r="487" spans="1:9" ht="18" customHeight="1" x14ac:dyDescent="0.4">
      <c r="A487" s="127" t="s">
        <v>613</v>
      </c>
      <c r="B487" s="5" t="s">
        <v>80</v>
      </c>
      <c r="C487" s="128">
        <v>578.04999999999995</v>
      </c>
      <c r="D487" s="88"/>
      <c r="E487" s="135"/>
      <c r="F487" s="111"/>
      <c r="G487" s="135"/>
      <c r="I487">
        <v>6903018</v>
      </c>
    </row>
    <row r="488" spans="1:9" ht="18" customHeight="1" x14ac:dyDescent="0.4">
      <c r="A488" s="127" t="s">
        <v>589</v>
      </c>
      <c r="B488" s="5" t="s">
        <v>80</v>
      </c>
      <c r="C488" s="136">
        <v>1512</v>
      </c>
      <c r="D488" s="70"/>
      <c r="E488" s="120"/>
      <c r="F488" s="120"/>
      <c r="G488" s="120"/>
      <c r="I488">
        <v>6903070</v>
      </c>
    </row>
    <row r="489" spans="1:9" ht="18" customHeight="1" x14ac:dyDescent="0.4">
      <c r="A489" s="127" t="s">
        <v>592</v>
      </c>
      <c r="B489" s="5" t="s">
        <v>80</v>
      </c>
      <c r="C489" s="136">
        <v>2238.85</v>
      </c>
      <c r="D489" s="70"/>
      <c r="E489" s="120"/>
      <c r="F489" s="120"/>
      <c r="G489" s="120"/>
      <c r="I489">
        <v>6903136</v>
      </c>
    </row>
    <row r="490" spans="1:9" ht="18" customHeight="1" x14ac:dyDescent="0.4">
      <c r="A490" s="127" t="s">
        <v>592</v>
      </c>
      <c r="B490" s="5" t="s">
        <v>80</v>
      </c>
      <c r="C490" s="136">
        <v>11.45</v>
      </c>
      <c r="D490" s="70"/>
      <c r="E490" s="120"/>
      <c r="F490" s="120"/>
      <c r="G490" s="120"/>
      <c r="I490">
        <v>6903135</v>
      </c>
    </row>
    <row r="491" spans="1:9" ht="18" customHeight="1" x14ac:dyDescent="0.4">
      <c r="A491" s="127" t="s">
        <v>602</v>
      </c>
      <c r="B491" s="5" t="s">
        <v>80</v>
      </c>
      <c r="C491" s="136">
        <v>1275</v>
      </c>
      <c r="D491" s="70"/>
      <c r="E491" s="120"/>
      <c r="F491" s="120"/>
      <c r="G491" s="120"/>
      <c r="I491">
        <v>6903314</v>
      </c>
    </row>
    <row r="492" spans="1:9" ht="18" customHeight="1" thickBot="1" x14ac:dyDescent="0.35">
      <c r="A492" s="131"/>
      <c r="B492" s="95" t="s">
        <v>15</v>
      </c>
      <c r="C492" s="132">
        <f>SUM(C487:C491)</f>
        <v>5615.3499999999995</v>
      </c>
      <c r="D492" s="119"/>
      <c r="E492" s="113"/>
      <c r="F492" s="113"/>
      <c r="G492" s="113"/>
    </row>
    <row r="493" spans="1:9" ht="18" customHeight="1" thickTop="1" x14ac:dyDescent="0.3">
      <c r="A493" s="126"/>
      <c r="B493" s="111"/>
      <c r="C493" s="112"/>
      <c r="D493" s="119"/>
      <c r="E493" s="113"/>
      <c r="F493" s="113"/>
      <c r="G493" s="113"/>
    </row>
    <row r="494" spans="1:9" ht="23.25" x14ac:dyDescent="0.3">
      <c r="A494" s="359" t="s">
        <v>81</v>
      </c>
      <c r="B494" s="359"/>
      <c r="C494" s="359"/>
      <c r="D494" s="359"/>
      <c r="E494" s="359"/>
      <c r="F494" s="359"/>
      <c r="G494" s="359"/>
    </row>
    <row r="495" spans="1:9" ht="18" customHeight="1" x14ac:dyDescent="0.3">
      <c r="A495" s="1" t="s">
        <v>2</v>
      </c>
      <c r="B495" s="2" t="s">
        <v>3</v>
      </c>
      <c r="C495" s="2" t="s">
        <v>4</v>
      </c>
      <c r="D495" s="3" t="s">
        <v>5</v>
      </c>
      <c r="E495" s="2" t="s">
        <v>6</v>
      </c>
      <c r="F495" s="2" t="s">
        <v>7</v>
      </c>
      <c r="G495" s="2" t="s">
        <v>8</v>
      </c>
    </row>
    <row r="496" spans="1:9" ht="18" customHeight="1" x14ac:dyDescent="0.4">
      <c r="A496" s="4" t="s">
        <v>594</v>
      </c>
      <c r="B496" s="5" t="s">
        <v>250</v>
      </c>
      <c r="C496" s="128">
        <v>195.65</v>
      </c>
      <c r="D496" s="40">
        <v>57</v>
      </c>
      <c r="E496" s="6">
        <f>+C496*D496</f>
        <v>11152.050000000001</v>
      </c>
      <c r="F496" s="60">
        <f>+E496*7%</f>
        <v>780.64350000000013</v>
      </c>
      <c r="G496" s="60">
        <f>+E496+F496</f>
        <v>11932.693500000001</v>
      </c>
      <c r="I496">
        <v>6903197</v>
      </c>
    </row>
    <row r="497" spans="1:9" ht="18" customHeight="1" x14ac:dyDescent="0.4">
      <c r="A497" s="4" t="s">
        <v>593</v>
      </c>
      <c r="B497" s="5" t="s">
        <v>83</v>
      </c>
      <c r="C497" s="128">
        <v>61.5</v>
      </c>
      <c r="D497" s="40">
        <v>57</v>
      </c>
      <c r="E497" s="6">
        <f>+C497*D497</f>
        <v>3505.5</v>
      </c>
      <c r="F497" s="60">
        <f>+E497*7%</f>
        <v>245.38500000000002</v>
      </c>
      <c r="G497" s="60">
        <f>+E497+F497</f>
        <v>3750.8850000000002</v>
      </c>
      <c r="I497">
        <v>6903175</v>
      </c>
    </row>
    <row r="498" spans="1:9" ht="18" customHeight="1" x14ac:dyDescent="0.4">
      <c r="A498" s="4" t="s">
        <v>593</v>
      </c>
      <c r="B498" s="5" t="s">
        <v>83</v>
      </c>
      <c r="C498" s="128">
        <v>195.65</v>
      </c>
      <c r="D498" s="40">
        <v>57</v>
      </c>
      <c r="E498" s="6">
        <f>+C498*D498</f>
        <v>11152.050000000001</v>
      </c>
      <c r="F498" s="60">
        <f>+E498*7%</f>
        <v>780.64350000000013</v>
      </c>
      <c r="G498" s="60">
        <f>+E498+F498</f>
        <v>11932.693500000001</v>
      </c>
      <c r="I498">
        <v>6903174</v>
      </c>
    </row>
    <row r="499" spans="1:9" ht="18" customHeight="1" thickBot="1" x14ac:dyDescent="0.35">
      <c r="A499" s="61"/>
      <c r="B499" s="137" t="s">
        <v>15</v>
      </c>
      <c r="C499" s="18">
        <f>SUM(C496:C498)</f>
        <v>452.79999999999995</v>
      </c>
      <c r="D499" s="66"/>
      <c r="E499" s="18">
        <f>SUM(E496:E498)</f>
        <v>25809.600000000002</v>
      </c>
      <c r="F499" s="18">
        <f>SUM(F496:F498)</f>
        <v>1806.6720000000003</v>
      </c>
      <c r="G499" s="18">
        <f>SUM(G496:G498)</f>
        <v>27616.272000000004</v>
      </c>
    </row>
    <row r="500" spans="1:9" ht="15" customHeight="1" thickTop="1" x14ac:dyDescent="0.4">
      <c r="A500" s="21"/>
      <c r="B500" s="22"/>
      <c r="C500" s="23"/>
      <c r="D500" s="24"/>
      <c r="E500" s="23"/>
      <c r="F500" s="23"/>
      <c r="G500" s="23"/>
    </row>
    <row r="501" spans="1:9" ht="23.25" x14ac:dyDescent="0.3">
      <c r="A501" s="359" t="s">
        <v>517</v>
      </c>
      <c r="B501" s="359"/>
      <c r="C501" s="359"/>
      <c r="D501" s="359"/>
      <c r="E501" s="359"/>
      <c r="F501" s="359"/>
      <c r="G501" s="359"/>
    </row>
    <row r="502" spans="1:9" ht="18" customHeight="1" x14ac:dyDescent="0.3">
      <c r="A502" s="1" t="s">
        <v>2</v>
      </c>
      <c r="B502" s="2" t="s">
        <v>3</v>
      </c>
      <c r="C502" s="2" t="s">
        <v>92</v>
      </c>
      <c r="D502" s="3" t="s">
        <v>5</v>
      </c>
      <c r="E502" s="2" t="s">
        <v>6</v>
      </c>
      <c r="F502" s="2" t="s">
        <v>7</v>
      </c>
      <c r="G502" s="2" t="s">
        <v>8</v>
      </c>
    </row>
    <row r="503" spans="1:9" ht="18" customHeight="1" x14ac:dyDescent="0.4">
      <c r="A503" s="81" t="s">
        <v>609</v>
      </c>
      <c r="B503" s="5" t="s">
        <v>518</v>
      </c>
      <c r="C503" s="128">
        <v>5000</v>
      </c>
      <c r="D503" s="40">
        <v>8.5</v>
      </c>
      <c r="E503" s="6">
        <f>+C503*D503</f>
        <v>42500</v>
      </c>
      <c r="F503" s="60">
        <f>+E503*7%</f>
        <v>2975.0000000000005</v>
      </c>
      <c r="G503" s="60">
        <f>+E503+F503</f>
        <v>45475</v>
      </c>
      <c r="I503">
        <v>6903161</v>
      </c>
    </row>
    <row r="504" spans="1:9" ht="18" customHeight="1" x14ac:dyDescent="0.4">
      <c r="A504" s="81" t="s">
        <v>598</v>
      </c>
      <c r="B504" s="5" t="s">
        <v>518</v>
      </c>
      <c r="C504" s="128">
        <v>2500</v>
      </c>
      <c r="D504" s="40">
        <v>8.25</v>
      </c>
      <c r="E504" s="6">
        <f>+C504*D504</f>
        <v>20625</v>
      </c>
      <c r="F504" s="60">
        <f>+E504*7%</f>
        <v>1443.7500000000002</v>
      </c>
      <c r="G504" s="60">
        <f>+E504+F504</f>
        <v>22068.75</v>
      </c>
      <c r="I504">
        <v>6903256</v>
      </c>
    </row>
    <row r="505" spans="1:9" ht="18" customHeight="1" x14ac:dyDescent="0.4">
      <c r="A505" s="81" t="s">
        <v>601</v>
      </c>
      <c r="B505" s="5" t="s">
        <v>518</v>
      </c>
      <c r="C505" s="128">
        <v>2500</v>
      </c>
      <c r="D505" s="40">
        <v>8.25</v>
      </c>
      <c r="E505" s="6">
        <f>+C505*D505</f>
        <v>20625</v>
      </c>
      <c r="F505" s="60">
        <f>+E505*7%</f>
        <v>1443.7500000000002</v>
      </c>
      <c r="G505" s="60">
        <f>+E505+F505</f>
        <v>22068.75</v>
      </c>
      <c r="I505">
        <v>6903294</v>
      </c>
    </row>
    <row r="506" spans="1:9" ht="18" customHeight="1" x14ac:dyDescent="0.4">
      <c r="A506" s="81" t="s">
        <v>602</v>
      </c>
      <c r="B506" s="5" t="s">
        <v>519</v>
      </c>
      <c r="C506" s="128">
        <v>5000</v>
      </c>
      <c r="D506" s="40">
        <v>11.25</v>
      </c>
      <c r="E506" s="6">
        <f>+C506*D506</f>
        <v>56250</v>
      </c>
      <c r="F506" s="60">
        <f>+E506*7%</f>
        <v>3937.5000000000005</v>
      </c>
      <c r="G506" s="60">
        <f>+E506+F506</f>
        <v>60187.5</v>
      </c>
      <c r="I506">
        <v>6903316</v>
      </c>
    </row>
    <row r="507" spans="1:9" ht="18" customHeight="1" thickBot="1" x14ac:dyDescent="0.45">
      <c r="A507" s="61"/>
      <c r="B507" s="137" t="s">
        <v>15</v>
      </c>
      <c r="C507" s="43">
        <f>SUM(C503:C506)</f>
        <v>15000</v>
      </c>
      <c r="D507" s="51"/>
      <c r="E507" s="89">
        <f>SUM(E503:E506)</f>
        <v>140000</v>
      </c>
      <c r="F507" s="89">
        <f>SUM(F503:F506)</f>
        <v>9800.0000000000018</v>
      </c>
      <c r="G507" s="89">
        <f>SUM(G503:G506)</f>
        <v>149800</v>
      </c>
    </row>
    <row r="508" spans="1:9" ht="12.75" customHeight="1" thickTop="1" x14ac:dyDescent="0.4">
      <c r="A508" s="21"/>
      <c r="B508" s="22"/>
      <c r="C508" s="23"/>
      <c r="D508" s="24"/>
      <c r="E508" s="23"/>
      <c r="F508" s="23"/>
      <c r="G508" s="23"/>
    </row>
    <row r="509" spans="1:9" ht="18" customHeight="1" x14ac:dyDescent="0.3">
      <c r="A509" s="85"/>
      <c r="B509" s="68"/>
      <c r="C509" s="69"/>
      <c r="D509" s="70"/>
      <c r="E509" s="71"/>
      <c r="F509" s="71"/>
      <c r="G509" s="71"/>
    </row>
    <row r="510" spans="1:9" s="108" customFormat="1" ht="18" customHeight="1" thickBot="1" x14ac:dyDescent="0.45">
      <c r="A510" s="143"/>
      <c r="B510" s="106" t="s">
        <v>558</v>
      </c>
      <c r="C510" s="318">
        <f>C506</f>
        <v>5000</v>
      </c>
      <c r="D510" s="144">
        <v>0.23580000000000001</v>
      </c>
      <c r="E510" s="189">
        <f>+C510*D510</f>
        <v>1179</v>
      </c>
      <c r="F510" s="145">
        <f>SUM(E510:E512)</f>
        <v>2829</v>
      </c>
      <c r="G510" s="316"/>
    </row>
    <row r="511" spans="1:9" s="108" customFormat="1" ht="18" customHeight="1" thickTop="1" x14ac:dyDescent="0.4">
      <c r="A511" s="143"/>
      <c r="B511" s="106" t="s">
        <v>559</v>
      </c>
      <c r="C511" s="318">
        <f>C503+C504+C505</f>
        <v>10000</v>
      </c>
      <c r="D511" s="144">
        <v>0.16500000000000001</v>
      </c>
      <c r="E511" s="189">
        <f>+C511*D511</f>
        <v>1650</v>
      </c>
      <c r="F511" s="146"/>
      <c r="G511" s="316"/>
    </row>
    <row r="512" spans="1:9" s="108" customFormat="1" ht="18" customHeight="1" x14ac:dyDescent="0.4">
      <c r="A512" s="143"/>
      <c r="B512" s="106" t="s">
        <v>560</v>
      </c>
      <c r="C512" s="318">
        <v>0</v>
      </c>
      <c r="D512" s="55">
        <v>0.15559999999999999</v>
      </c>
      <c r="E512" s="189">
        <f>+C512*D512</f>
        <v>0</v>
      </c>
      <c r="F512" s="54"/>
      <c r="G512" s="316"/>
    </row>
    <row r="513" spans="1:9" s="108" customFormat="1" ht="12" customHeight="1" x14ac:dyDescent="0.4">
      <c r="A513" s="143"/>
      <c r="B513" s="106"/>
      <c r="C513" s="318"/>
      <c r="D513" s="55"/>
      <c r="E513" s="189"/>
      <c r="F513" s="54"/>
      <c r="G513" s="316"/>
    </row>
    <row r="514" spans="1:9" ht="23.25" x14ac:dyDescent="0.3">
      <c r="A514" s="359" t="s">
        <v>87</v>
      </c>
      <c r="B514" s="359"/>
      <c r="C514" s="359"/>
      <c r="D514" s="359"/>
      <c r="E514" s="359"/>
      <c r="F514" s="359"/>
      <c r="G514" s="359"/>
    </row>
    <row r="515" spans="1:9" ht="18" customHeight="1" x14ac:dyDescent="0.4">
      <c r="A515" s="57" t="s">
        <v>2</v>
      </c>
      <c r="B515" s="58" t="s">
        <v>3</v>
      </c>
      <c r="C515" s="2" t="s">
        <v>76</v>
      </c>
      <c r="D515" s="59" t="s">
        <v>5</v>
      </c>
      <c r="E515" s="58" t="s">
        <v>6</v>
      </c>
      <c r="F515" s="58" t="s">
        <v>7</v>
      </c>
      <c r="G515" s="58" t="s">
        <v>8</v>
      </c>
    </row>
    <row r="516" spans="1:9" ht="18" customHeight="1" x14ac:dyDescent="0.4">
      <c r="A516" s="16" t="s">
        <v>593</v>
      </c>
      <c r="B516" s="5" t="s">
        <v>638</v>
      </c>
      <c r="C516" s="37">
        <v>60</v>
      </c>
      <c r="D516" s="51">
        <v>118</v>
      </c>
      <c r="E516" s="60">
        <f t="shared" ref="E516" si="79">+C516*D516</f>
        <v>7080</v>
      </c>
      <c r="F516" s="60">
        <f t="shared" ref="F516" si="80">+E516*7%</f>
        <v>495.6</v>
      </c>
      <c r="G516" s="60">
        <f t="shared" ref="G516" si="81">+E516+F516</f>
        <v>7575.6</v>
      </c>
      <c r="I516">
        <v>6903180</v>
      </c>
    </row>
    <row r="517" spans="1:9" ht="18" customHeight="1" thickBot="1" x14ac:dyDescent="0.35">
      <c r="A517" s="84"/>
      <c r="B517" s="17" t="s">
        <v>15</v>
      </c>
      <c r="C517" s="18">
        <f>SUM(C516)</f>
        <v>60</v>
      </c>
      <c r="D517" s="19"/>
      <c r="E517" s="18">
        <f>SUM(E516)</f>
        <v>7080</v>
      </c>
      <c r="F517" s="18">
        <f t="shared" ref="F517:G517" si="82">SUM(F516)</f>
        <v>495.6</v>
      </c>
      <c r="G517" s="18">
        <f t="shared" si="82"/>
        <v>7575.6</v>
      </c>
    </row>
    <row r="518" spans="1:9" ht="18" customHeight="1" thickTop="1" x14ac:dyDescent="0.3">
      <c r="A518" s="85"/>
      <c r="B518" s="68"/>
      <c r="C518" s="69"/>
      <c r="D518" s="70"/>
      <c r="E518" s="71"/>
      <c r="F518" s="71"/>
      <c r="G518" s="71"/>
    </row>
    <row r="519" spans="1:9" s="30" customFormat="1" ht="12" customHeight="1" thickBot="1" x14ac:dyDescent="0.55000000000000004">
      <c r="A519" s="21"/>
      <c r="B519" s="147" t="s">
        <v>89</v>
      </c>
      <c r="C519" s="148">
        <f>+C517</f>
        <v>60</v>
      </c>
      <c r="D519" s="149">
        <v>2.0699999999999998</v>
      </c>
      <c r="E519" s="188">
        <f>+C519*D519</f>
        <v>124.19999999999999</v>
      </c>
      <c r="F519" s="23"/>
      <c r="G519" s="23"/>
    </row>
    <row r="520" spans="1:9" ht="18" customHeight="1" thickTop="1" x14ac:dyDescent="0.3">
      <c r="A520" s="85"/>
      <c r="B520" s="68"/>
      <c r="C520" s="69"/>
      <c r="D520" s="70"/>
      <c r="E520" s="71"/>
      <c r="F520" s="71"/>
      <c r="G520" s="71"/>
    </row>
    <row r="521" spans="1:9" ht="23.25" x14ac:dyDescent="0.3">
      <c r="A521" s="359" t="s">
        <v>101</v>
      </c>
      <c r="B521" s="359"/>
      <c r="C521" s="359"/>
      <c r="D521" s="359"/>
      <c r="E521" s="359"/>
      <c r="F521" s="359"/>
      <c r="G521" s="359"/>
    </row>
    <row r="522" spans="1:9" ht="18" customHeight="1" x14ac:dyDescent="0.4">
      <c r="A522" s="57" t="s">
        <v>2</v>
      </c>
      <c r="B522" s="58" t="s">
        <v>3</v>
      </c>
      <c r="C522" s="2" t="s">
        <v>4</v>
      </c>
      <c r="D522" s="59" t="s">
        <v>5</v>
      </c>
      <c r="E522" s="58" t="s">
        <v>6</v>
      </c>
      <c r="F522" s="58" t="s">
        <v>7</v>
      </c>
      <c r="G522" s="58" t="s">
        <v>8</v>
      </c>
    </row>
    <row r="523" spans="1:9" ht="18" customHeight="1" x14ac:dyDescent="0.4">
      <c r="A523" s="81" t="s">
        <v>602</v>
      </c>
      <c r="B523" s="5" t="s">
        <v>209</v>
      </c>
      <c r="C523" s="167">
        <v>972.7</v>
      </c>
      <c r="D523" s="154">
        <v>65</v>
      </c>
      <c r="E523" s="60">
        <f t="shared" ref="E523" si="83">+C523*D523</f>
        <v>63225.5</v>
      </c>
      <c r="F523" s="60">
        <f t="shared" ref="F523" si="84">+E523*7%</f>
        <v>4425.7850000000008</v>
      </c>
      <c r="G523" s="60">
        <f t="shared" ref="G523" si="85">+E523+F523</f>
        <v>67651.285000000003</v>
      </c>
      <c r="I523">
        <v>6903312</v>
      </c>
    </row>
    <row r="524" spans="1:9" s="30" customFormat="1" ht="18" customHeight="1" thickBot="1" x14ac:dyDescent="0.55000000000000004">
      <c r="A524" s="84"/>
      <c r="B524" s="17" t="s">
        <v>15</v>
      </c>
      <c r="C524" s="18">
        <f>SUM(C523:C523)</f>
        <v>972.7</v>
      </c>
      <c r="D524" s="19"/>
      <c r="E524" s="18">
        <f>SUM(E523:E523)</f>
        <v>63225.5</v>
      </c>
      <c r="F524" s="18">
        <f t="shared" ref="F524:G524" si="86">SUM(F523:F523)</f>
        <v>4425.7850000000008</v>
      </c>
      <c r="G524" s="18">
        <f t="shared" si="86"/>
        <v>67651.285000000003</v>
      </c>
    </row>
    <row r="525" spans="1:9" s="30" customFormat="1" ht="12.75" customHeight="1" thickTop="1" x14ac:dyDescent="0.5">
      <c r="A525" s="85"/>
      <c r="B525" s="68"/>
      <c r="C525" s="69"/>
      <c r="D525" s="70"/>
      <c r="E525" s="69"/>
      <c r="F525" s="69"/>
      <c r="G525" s="69"/>
    </row>
    <row r="526" spans="1:9" ht="23.25" x14ac:dyDescent="0.3">
      <c r="A526" s="359" t="s">
        <v>87</v>
      </c>
      <c r="B526" s="359"/>
      <c r="C526" s="359"/>
      <c r="D526" s="359"/>
      <c r="E526" s="359"/>
      <c r="F526" s="359"/>
      <c r="G526" s="359"/>
    </row>
    <row r="527" spans="1:9" ht="18" customHeight="1" x14ac:dyDescent="0.4">
      <c r="A527" s="57" t="s">
        <v>2</v>
      </c>
      <c r="B527" s="58" t="s">
        <v>3</v>
      </c>
      <c r="C527" s="2" t="s">
        <v>4</v>
      </c>
      <c r="D527" s="59" t="s">
        <v>5</v>
      </c>
      <c r="E527" s="58" t="s">
        <v>6</v>
      </c>
      <c r="F527" s="58" t="s">
        <v>7</v>
      </c>
      <c r="G527" s="58" t="s">
        <v>8</v>
      </c>
    </row>
    <row r="528" spans="1:9" ht="18" customHeight="1" x14ac:dyDescent="0.4">
      <c r="A528" s="16" t="s">
        <v>589</v>
      </c>
      <c r="B528" s="5" t="s">
        <v>90</v>
      </c>
      <c r="C528" s="37">
        <v>512.54999999999995</v>
      </c>
      <c r="D528" s="51">
        <v>52</v>
      </c>
      <c r="E528" s="60">
        <f t="shared" ref="E528:E533" si="87">+C528*D528</f>
        <v>26652.6</v>
      </c>
      <c r="F528" s="60">
        <f t="shared" ref="F528:F533" si="88">+E528*7%</f>
        <v>1865.682</v>
      </c>
      <c r="G528" s="60">
        <f t="shared" ref="G528:G533" si="89">+E528+F528</f>
        <v>28518.281999999999</v>
      </c>
      <c r="I528">
        <v>6903071</v>
      </c>
    </row>
    <row r="529" spans="1:9" ht="18" customHeight="1" x14ac:dyDescent="0.4">
      <c r="A529" s="16" t="s">
        <v>592</v>
      </c>
      <c r="B529" s="5" t="s">
        <v>90</v>
      </c>
      <c r="C529" s="37">
        <v>512.15</v>
      </c>
      <c r="D529" s="51">
        <v>52</v>
      </c>
      <c r="E529" s="60">
        <f t="shared" si="87"/>
        <v>26631.8</v>
      </c>
      <c r="F529" s="60">
        <f t="shared" si="88"/>
        <v>1864.2260000000001</v>
      </c>
      <c r="G529" s="60">
        <f t="shared" si="89"/>
        <v>28496.025999999998</v>
      </c>
      <c r="I529">
        <v>6903147</v>
      </c>
    </row>
    <row r="530" spans="1:9" ht="18" customHeight="1" x14ac:dyDescent="0.4">
      <c r="A530" s="16" t="s">
        <v>594</v>
      </c>
      <c r="B530" s="5" t="s">
        <v>90</v>
      </c>
      <c r="C530" s="37">
        <v>508.45</v>
      </c>
      <c r="D530" s="51">
        <v>52</v>
      </c>
      <c r="E530" s="60">
        <f t="shared" si="87"/>
        <v>26439.399999999998</v>
      </c>
      <c r="F530" s="60">
        <f t="shared" si="88"/>
        <v>1850.758</v>
      </c>
      <c r="G530" s="60">
        <f t="shared" si="89"/>
        <v>28290.157999999999</v>
      </c>
      <c r="I530">
        <v>6903200</v>
      </c>
    </row>
    <row r="531" spans="1:9" ht="18" customHeight="1" x14ac:dyDescent="0.4">
      <c r="A531" s="16" t="s">
        <v>598</v>
      </c>
      <c r="B531" s="5" t="s">
        <v>90</v>
      </c>
      <c r="C531" s="37">
        <v>495.5</v>
      </c>
      <c r="D531" s="51">
        <v>52</v>
      </c>
      <c r="E531" s="60">
        <f t="shared" si="87"/>
        <v>25766</v>
      </c>
      <c r="F531" s="60">
        <f t="shared" si="88"/>
        <v>1803.6200000000001</v>
      </c>
      <c r="G531" s="60">
        <f t="shared" si="89"/>
        <v>27569.62</v>
      </c>
      <c r="I531">
        <v>6903263</v>
      </c>
    </row>
    <row r="532" spans="1:9" ht="18" customHeight="1" x14ac:dyDescent="0.4">
      <c r="A532" s="16" t="s">
        <v>602</v>
      </c>
      <c r="B532" s="5" t="s">
        <v>90</v>
      </c>
      <c r="C532" s="37">
        <v>506.5</v>
      </c>
      <c r="D532" s="51">
        <v>52</v>
      </c>
      <c r="E532" s="60">
        <f t="shared" si="87"/>
        <v>26338</v>
      </c>
      <c r="F532" s="60">
        <f t="shared" si="88"/>
        <v>1843.66</v>
      </c>
      <c r="G532" s="60">
        <f t="shared" si="89"/>
        <v>28181.66</v>
      </c>
      <c r="I532">
        <v>6903321</v>
      </c>
    </row>
    <row r="533" spans="1:9" ht="18" customHeight="1" x14ac:dyDescent="0.4">
      <c r="A533" s="16" t="s">
        <v>603</v>
      </c>
      <c r="B533" s="5" t="s">
        <v>90</v>
      </c>
      <c r="C533" s="37">
        <v>499.5</v>
      </c>
      <c r="D533" s="51">
        <v>70</v>
      </c>
      <c r="E533" s="60">
        <f t="shared" si="87"/>
        <v>34965</v>
      </c>
      <c r="F533" s="60">
        <f t="shared" si="88"/>
        <v>2447.5500000000002</v>
      </c>
      <c r="G533" s="60">
        <f t="shared" si="89"/>
        <v>37412.550000000003</v>
      </c>
      <c r="I533">
        <v>6903381</v>
      </c>
    </row>
    <row r="534" spans="1:9" ht="18" customHeight="1" thickBot="1" x14ac:dyDescent="0.35">
      <c r="A534" s="84"/>
      <c r="B534" s="17" t="s">
        <v>15</v>
      </c>
      <c r="C534" s="18">
        <f>SUM(C528:C533)</f>
        <v>3034.6499999999996</v>
      </c>
      <c r="D534" s="19"/>
      <c r="E534" s="18">
        <f>SUM(E528:E533)</f>
        <v>166792.79999999999</v>
      </c>
      <c r="F534" s="18">
        <f t="shared" ref="F534:G534" si="90">SUM(F528:F533)</f>
        <v>11675.495999999999</v>
      </c>
      <c r="G534" s="18">
        <f t="shared" si="90"/>
        <v>178468.29599999997</v>
      </c>
      <c r="I534" t="s">
        <v>211</v>
      </c>
    </row>
    <row r="535" spans="1:9" ht="18" customHeight="1" thickTop="1" x14ac:dyDescent="0.3">
      <c r="A535" s="85"/>
      <c r="B535" s="68"/>
      <c r="C535" s="69"/>
      <c r="D535" s="70"/>
      <c r="E535" s="69"/>
      <c r="F535" s="69"/>
      <c r="G535" s="69"/>
    </row>
    <row r="536" spans="1:9" s="26" customFormat="1" ht="23.25" x14ac:dyDescent="0.5">
      <c r="A536" s="361" t="s">
        <v>91</v>
      </c>
      <c r="B536" s="361"/>
      <c r="C536" s="361"/>
      <c r="D536" s="361"/>
      <c r="E536" s="361"/>
      <c r="F536" s="361"/>
      <c r="G536" s="361"/>
    </row>
    <row r="537" spans="1:9" s="26" customFormat="1" ht="16.5" customHeight="1" x14ac:dyDescent="0.45">
      <c r="A537" s="150" t="s">
        <v>2</v>
      </c>
      <c r="B537" s="151" t="s">
        <v>3</v>
      </c>
      <c r="C537" s="151" t="s">
        <v>92</v>
      </c>
      <c r="D537" s="59" t="s">
        <v>5</v>
      </c>
      <c r="E537" s="151" t="s">
        <v>6</v>
      </c>
      <c r="F537" s="151" t="s">
        <v>7</v>
      </c>
      <c r="G537" s="151" t="s">
        <v>8</v>
      </c>
    </row>
    <row r="538" spans="1:9" s="26" customFormat="1" ht="16.5" customHeight="1" x14ac:dyDescent="0.45">
      <c r="A538" s="12" t="s">
        <v>600</v>
      </c>
      <c r="B538" s="152" t="s">
        <v>218</v>
      </c>
      <c r="C538" s="153">
        <v>1700</v>
      </c>
      <c r="D538" s="154">
        <v>24.5</v>
      </c>
      <c r="E538" s="60">
        <f t="shared" ref="E538:E543" si="91">+C538*D538</f>
        <v>41650</v>
      </c>
      <c r="F538" s="60">
        <f t="shared" ref="F538:F543" si="92">+E538*7%</f>
        <v>2915.5000000000005</v>
      </c>
      <c r="G538" s="60">
        <f t="shared" ref="G538:G543" si="93">+E538+F538</f>
        <v>44565.5</v>
      </c>
      <c r="I538" s="26">
        <v>6903279</v>
      </c>
    </row>
    <row r="539" spans="1:9" s="26" customFormat="1" ht="16.5" customHeight="1" x14ac:dyDescent="0.45">
      <c r="A539" s="12" t="s">
        <v>663</v>
      </c>
      <c r="B539" s="152" t="s">
        <v>94</v>
      </c>
      <c r="C539" s="153">
        <v>7000</v>
      </c>
      <c r="D539" s="154">
        <v>5</v>
      </c>
      <c r="E539" s="60">
        <f t="shared" si="91"/>
        <v>35000</v>
      </c>
      <c r="F539" s="60">
        <f t="shared" si="92"/>
        <v>2450.0000000000005</v>
      </c>
      <c r="G539" s="60">
        <f t="shared" si="93"/>
        <v>37450</v>
      </c>
      <c r="I539" s="26">
        <v>6903176</v>
      </c>
    </row>
    <row r="540" spans="1:9" s="26" customFormat="1" ht="16.5" customHeight="1" x14ac:dyDescent="0.45">
      <c r="A540" s="12" t="s">
        <v>610</v>
      </c>
      <c r="B540" s="152" t="s">
        <v>95</v>
      </c>
      <c r="C540" s="153">
        <v>1600</v>
      </c>
      <c r="D540" s="154">
        <v>37</v>
      </c>
      <c r="E540" s="60">
        <f>+C540*D540</f>
        <v>59200</v>
      </c>
      <c r="F540" s="60">
        <f>+E540*7%</f>
        <v>4144</v>
      </c>
      <c r="G540" s="60">
        <f>+E540+F540</f>
        <v>63344</v>
      </c>
      <c r="I540" s="26">
        <v>6903345</v>
      </c>
    </row>
    <row r="541" spans="1:9" s="26" customFormat="1" ht="16.5" customHeight="1" x14ac:dyDescent="0.45">
      <c r="A541" s="12" t="s">
        <v>616</v>
      </c>
      <c r="B541" s="152" t="s">
        <v>267</v>
      </c>
      <c r="C541" s="153">
        <v>2000</v>
      </c>
      <c r="D541" s="154">
        <v>10</v>
      </c>
      <c r="E541" s="60">
        <f>+C541*D541</f>
        <v>20000</v>
      </c>
      <c r="F541" s="60">
        <f>+E541*7%</f>
        <v>1400.0000000000002</v>
      </c>
      <c r="G541" s="60">
        <f>+E541+F541</f>
        <v>21400</v>
      </c>
      <c r="I541" s="26">
        <v>6903101</v>
      </c>
    </row>
    <row r="542" spans="1:9" s="26" customFormat="1" ht="16.5" customHeight="1" x14ac:dyDescent="0.45">
      <c r="A542" s="12" t="s">
        <v>600</v>
      </c>
      <c r="B542" s="152" t="s">
        <v>267</v>
      </c>
      <c r="C542" s="153">
        <v>3300</v>
      </c>
      <c r="D542" s="154">
        <v>9.75</v>
      </c>
      <c r="E542" s="60">
        <f>+C542*D542</f>
        <v>32175</v>
      </c>
      <c r="F542" s="60">
        <f>+E542*7%</f>
        <v>2252.25</v>
      </c>
      <c r="G542" s="60">
        <f>+E542+F542</f>
        <v>34427.25</v>
      </c>
      <c r="I542" s="26">
        <v>6903280</v>
      </c>
    </row>
    <row r="543" spans="1:9" s="26" customFormat="1" ht="16.5" customHeight="1" x14ac:dyDescent="0.45">
      <c r="A543" s="12" t="s">
        <v>597</v>
      </c>
      <c r="B543" s="152" t="s">
        <v>185</v>
      </c>
      <c r="C543" s="153">
        <v>8200</v>
      </c>
      <c r="D543" s="154">
        <v>7.25</v>
      </c>
      <c r="E543" s="60">
        <f t="shared" si="91"/>
        <v>59450</v>
      </c>
      <c r="F543" s="60">
        <f t="shared" si="92"/>
        <v>4161.5</v>
      </c>
      <c r="G543" s="60">
        <f t="shared" si="93"/>
        <v>63611.5</v>
      </c>
      <c r="I543" s="26">
        <v>6903216</v>
      </c>
    </row>
    <row r="544" spans="1:9" s="26" customFormat="1" ht="18" customHeight="1" thickBot="1" x14ac:dyDescent="0.5">
      <c r="A544" s="41"/>
      <c r="B544" s="151" t="s">
        <v>15</v>
      </c>
      <c r="C544" s="155">
        <f>SUM(C538:C543)</f>
        <v>23800</v>
      </c>
      <c r="D544" s="156"/>
      <c r="E544" s="157">
        <f>SUM(E538:E543)</f>
        <v>247475</v>
      </c>
      <c r="F544" s="157">
        <f t="shared" ref="F544:G544" si="94">SUM(F538:F543)</f>
        <v>17323.25</v>
      </c>
      <c r="G544" s="157">
        <f t="shared" si="94"/>
        <v>264798.25</v>
      </c>
    </row>
    <row r="545" spans="1:9" s="26" customFormat="1" ht="12.75" customHeight="1" thickTop="1" x14ac:dyDescent="0.45">
      <c r="A545" s="78"/>
      <c r="B545" s="91"/>
      <c r="C545" s="54"/>
      <c r="D545" s="158"/>
      <c r="E545" s="92"/>
      <c r="F545" s="92"/>
      <c r="G545" s="92"/>
    </row>
    <row r="546" spans="1:9" s="26" customFormat="1" ht="21" x14ac:dyDescent="0.45">
      <c r="A546" s="78"/>
      <c r="B546" s="22" t="s">
        <v>93</v>
      </c>
      <c r="C546" s="159">
        <v>0</v>
      </c>
      <c r="D546" s="93">
        <v>0.39800000000000002</v>
      </c>
      <c r="E546" s="160">
        <f t="shared" ref="E546:E554" si="95">+C546*D546</f>
        <v>0</v>
      </c>
      <c r="F546" s="120"/>
      <c r="G546" s="92"/>
    </row>
    <row r="547" spans="1:9" s="108" customFormat="1" ht="18" x14ac:dyDescent="0.4">
      <c r="A547" s="161"/>
      <c r="B547" s="162" t="s">
        <v>97</v>
      </c>
      <c r="C547" s="159">
        <f>C538</f>
        <v>1700</v>
      </c>
      <c r="D547" s="163">
        <v>0.53</v>
      </c>
      <c r="E547" s="160">
        <f t="shared" si="95"/>
        <v>901</v>
      </c>
    </row>
    <row r="548" spans="1:9" s="108" customFormat="1" ht="18" x14ac:dyDescent="0.4">
      <c r="A548" s="161"/>
      <c r="B548" s="162" t="s">
        <v>125</v>
      </c>
      <c r="C548" s="159">
        <v>0</v>
      </c>
      <c r="D548" s="163">
        <v>0.64900000000000002</v>
      </c>
      <c r="E548" s="160">
        <f t="shared" si="95"/>
        <v>0</v>
      </c>
    </row>
    <row r="549" spans="1:9" s="108" customFormat="1" ht="18.75" thickBot="1" x14ac:dyDescent="0.45">
      <c r="A549" s="143"/>
      <c r="B549" s="106" t="s">
        <v>94</v>
      </c>
      <c r="C549" s="159">
        <f>C539</f>
        <v>7000</v>
      </c>
      <c r="D549" s="144">
        <v>8.6199999999999999E-2</v>
      </c>
      <c r="E549" s="160">
        <f t="shared" si="95"/>
        <v>603.4</v>
      </c>
      <c r="F549" s="145">
        <f>SUM(E546:E554)</f>
        <v>4909.7008000000005</v>
      </c>
      <c r="G549" s="109"/>
    </row>
    <row r="550" spans="1:9" s="108" customFormat="1" ht="18.75" thickTop="1" x14ac:dyDescent="0.4">
      <c r="A550" s="143"/>
      <c r="B550" s="106" t="s">
        <v>98</v>
      </c>
      <c r="C550" s="159">
        <f>C541+C542</f>
        <v>5300</v>
      </c>
      <c r="D550" s="144">
        <f>120*120*150*0.921/10000000</f>
        <v>0.198936</v>
      </c>
      <c r="E550" s="160">
        <f t="shared" si="95"/>
        <v>1054.3607999999999</v>
      </c>
      <c r="F550" s="146"/>
      <c r="G550" s="109"/>
    </row>
    <row r="551" spans="1:9" s="108" customFormat="1" ht="18" x14ac:dyDescent="0.4">
      <c r="A551" s="143"/>
      <c r="B551" s="106" t="s">
        <v>95</v>
      </c>
      <c r="C551" s="159">
        <f>C540</f>
        <v>1600</v>
      </c>
      <c r="D551" s="144">
        <v>0.77900000000000003</v>
      </c>
      <c r="E551" s="160">
        <f t="shared" si="95"/>
        <v>1246.4000000000001</v>
      </c>
      <c r="F551" s="146"/>
      <c r="G551" s="109"/>
    </row>
    <row r="552" spans="1:9" s="108" customFormat="1" ht="18" x14ac:dyDescent="0.4">
      <c r="A552" s="143"/>
      <c r="B552" s="106" t="s">
        <v>99</v>
      </c>
      <c r="C552" s="159">
        <v>0</v>
      </c>
      <c r="D552" s="144">
        <v>1.7789999999999999</v>
      </c>
      <c r="E552" s="160">
        <f t="shared" si="95"/>
        <v>0</v>
      </c>
      <c r="F552" s="146"/>
      <c r="G552" s="109"/>
    </row>
    <row r="553" spans="1:9" s="166" customFormat="1" ht="18" x14ac:dyDescent="0.4">
      <c r="A553" s="164"/>
      <c r="B553" s="105" t="s">
        <v>96</v>
      </c>
      <c r="C553" s="159">
        <f>C543</f>
        <v>8200</v>
      </c>
      <c r="D553" s="165">
        <v>0.13469999999999999</v>
      </c>
      <c r="E553" s="160">
        <f t="shared" si="95"/>
        <v>1104.54</v>
      </c>
      <c r="F553" s="105"/>
      <c r="G553" s="105"/>
    </row>
    <row r="554" spans="1:9" s="166" customFormat="1" ht="18" x14ac:dyDescent="0.4">
      <c r="A554" s="164"/>
      <c r="B554" s="105" t="s">
        <v>100</v>
      </c>
      <c r="C554" s="159">
        <v>0</v>
      </c>
      <c r="D554" s="165">
        <v>0.57199999999999995</v>
      </c>
      <c r="E554" s="160">
        <f t="shared" si="95"/>
        <v>0</v>
      </c>
      <c r="F554" s="105"/>
      <c r="G554" s="105"/>
    </row>
    <row r="555" spans="1:9" s="30" customFormat="1" ht="13.5" customHeight="1" x14ac:dyDescent="0.5">
      <c r="A555" s="85"/>
      <c r="B555" s="68"/>
      <c r="C555" s="69"/>
      <c r="D555" s="70"/>
      <c r="E555" s="71"/>
      <c r="F555" s="71"/>
      <c r="G555" s="71"/>
    </row>
    <row r="556" spans="1:9" s="30" customFormat="1" ht="23.25" x14ac:dyDescent="0.5">
      <c r="A556" s="359" t="s">
        <v>102</v>
      </c>
      <c r="B556" s="359"/>
      <c r="C556" s="359"/>
      <c r="D556" s="359"/>
      <c r="E556" s="359"/>
      <c r="F556" s="359"/>
      <c r="G556" s="359"/>
    </row>
    <row r="557" spans="1:9" s="30" customFormat="1" ht="18" customHeight="1" x14ac:dyDescent="0.5">
      <c r="A557" s="57" t="s">
        <v>2</v>
      </c>
      <c r="B557" s="58" t="s">
        <v>3</v>
      </c>
      <c r="C557" s="2" t="s">
        <v>4</v>
      </c>
      <c r="D557" s="59" t="s">
        <v>5</v>
      </c>
      <c r="E557" s="58" t="s">
        <v>6</v>
      </c>
      <c r="F557" s="58" t="s">
        <v>7</v>
      </c>
      <c r="G557" s="58" t="s">
        <v>8</v>
      </c>
    </row>
    <row r="558" spans="1:9" s="26" customFormat="1" ht="18" customHeight="1" x14ac:dyDescent="0.45">
      <c r="A558" s="16" t="s">
        <v>597</v>
      </c>
      <c r="B558" s="5" t="s">
        <v>639</v>
      </c>
      <c r="C558" s="37">
        <v>1028.95</v>
      </c>
      <c r="D558" s="51">
        <v>49</v>
      </c>
      <c r="E558" s="60">
        <f t="shared" ref="E558:E562" si="96">+C558*D558</f>
        <v>50418.55</v>
      </c>
      <c r="F558" s="60">
        <f t="shared" ref="F558:F562" si="97">+E558*7%</f>
        <v>3529.2985000000003</v>
      </c>
      <c r="G558" s="60">
        <f t="shared" ref="G558:G562" si="98">+E558+F558</f>
        <v>53947.8485</v>
      </c>
      <c r="I558" s="26">
        <v>6903235</v>
      </c>
    </row>
    <row r="559" spans="1:9" s="26" customFormat="1" ht="18" customHeight="1" x14ac:dyDescent="0.45">
      <c r="A559" s="16" t="s">
        <v>603</v>
      </c>
      <c r="B559" s="5" t="s">
        <v>143</v>
      </c>
      <c r="C559" s="37">
        <v>1000</v>
      </c>
      <c r="D559" s="51">
        <v>62</v>
      </c>
      <c r="E559" s="60">
        <f t="shared" si="96"/>
        <v>62000</v>
      </c>
      <c r="F559" s="60">
        <f t="shared" si="97"/>
        <v>4340</v>
      </c>
      <c r="G559" s="60">
        <f t="shared" si="98"/>
        <v>66340</v>
      </c>
      <c r="I559" s="26">
        <v>6903382</v>
      </c>
    </row>
    <row r="560" spans="1:9" s="26" customFormat="1" ht="18" customHeight="1" x14ac:dyDescent="0.45">
      <c r="A560" s="16" t="s">
        <v>600</v>
      </c>
      <c r="B560" s="5" t="s">
        <v>640</v>
      </c>
      <c r="C560" s="37">
        <v>501.15</v>
      </c>
      <c r="D560" s="51">
        <v>49</v>
      </c>
      <c r="E560" s="60">
        <f t="shared" si="96"/>
        <v>24556.35</v>
      </c>
      <c r="F560" s="60">
        <f t="shared" si="97"/>
        <v>1718.9445000000001</v>
      </c>
      <c r="G560" s="60">
        <f t="shared" si="98"/>
        <v>26275.2945</v>
      </c>
      <c r="I560" s="26">
        <v>6903274</v>
      </c>
    </row>
    <row r="561" spans="1:9" s="26" customFormat="1" ht="18" customHeight="1" x14ac:dyDescent="0.45">
      <c r="A561" s="16" t="s">
        <v>597</v>
      </c>
      <c r="B561" s="5" t="s">
        <v>641</v>
      </c>
      <c r="C561" s="37">
        <v>505.05</v>
      </c>
      <c r="D561" s="51">
        <v>49</v>
      </c>
      <c r="E561" s="60">
        <f t="shared" si="96"/>
        <v>24747.45</v>
      </c>
      <c r="F561" s="60">
        <f t="shared" si="97"/>
        <v>1732.3215000000002</v>
      </c>
      <c r="G561" s="60">
        <f t="shared" si="98"/>
        <v>26479.771500000003</v>
      </c>
      <c r="I561" s="26">
        <v>6903235</v>
      </c>
    </row>
    <row r="562" spans="1:9" s="26" customFormat="1" ht="18" customHeight="1" x14ac:dyDescent="0.45">
      <c r="A562" s="16" t="s">
        <v>597</v>
      </c>
      <c r="B562" s="5" t="s">
        <v>642</v>
      </c>
      <c r="C562" s="37">
        <v>452.9</v>
      </c>
      <c r="D562" s="51">
        <v>49</v>
      </c>
      <c r="E562" s="60">
        <f t="shared" si="96"/>
        <v>22192.1</v>
      </c>
      <c r="F562" s="60">
        <f t="shared" si="97"/>
        <v>1553.4470000000001</v>
      </c>
      <c r="G562" s="60">
        <f t="shared" si="98"/>
        <v>23745.546999999999</v>
      </c>
      <c r="I562" s="26">
        <v>6903235</v>
      </c>
    </row>
    <row r="563" spans="1:9" s="30" customFormat="1" ht="18" customHeight="1" thickBot="1" x14ac:dyDescent="0.55000000000000004">
      <c r="A563" s="84"/>
      <c r="B563" s="17" t="s">
        <v>15</v>
      </c>
      <c r="C563" s="18">
        <f>SUM(C558:C562)</f>
        <v>3488.05</v>
      </c>
      <c r="D563" s="19"/>
      <c r="E563" s="18">
        <f>SUM(E558:E562)</f>
        <v>183914.45</v>
      </c>
      <c r="F563" s="18">
        <f t="shared" ref="F563:G563" si="99">SUM(F558:F562)</f>
        <v>12874.011500000001</v>
      </c>
      <c r="G563" s="18">
        <f t="shared" si="99"/>
        <v>196788.46149999998</v>
      </c>
    </row>
    <row r="564" spans="1:9" s="30" customFormat="1" ht="18" customHeight="1" thickTop="1" x14ac:dyDescent="0.5">
      <c r="A564" s="85"/>
      <c r="B564" s="68"/>
      <c r="C564" s="69"/>
      <c r="D564" s="70"/>
      <c r="E564" s="69"/>
      <c r="F564" s="69"/>
      <c r="G564" s="69"/>
    </row>
    <row r="565" spans="1:9" s="30" customFormat="1" ht="28.5" customHeight="1" x14ac:dyDescent="0.5">
      <c r="A565" s="85"/>
      <c r="B565" s="68"/>
      <c r="C565" s="69"/>
      <c r="D565" s="70"/>
      <c r="E565" s="69"/>
      <c r="F565" s="69"/>
      <c r="G565" s="69"/>
    </row>
    <row r="566" spans="1:9" ht="23.25" x14ac:dyDescent="0.3">
      <c r="A566" s="359" t="s">
        <v>115</v>
      </c>
      <c r="B566" s="359"/>
      <c r="C566" s="359"/>
      <c r="D566" s="359"/>
      <c r="E566" s="359"/>
      <c r="F566" s="359"/>
      <c r="G566" s="359"/>
    </row>
    <row r="567" spans="1:9" ht="18" customHeight="1" x14ac:dyDescent="0.3">
      <c r="A567" s="1" t="s">
        <v>2</v>
      </c>
      <c r="B567" s="2" t="s">
        <v>3</v>
      </c>
      <c r="C567" s="2" t="s">
        <v>4</v>
      </c>
      <c r="D567" s="3" t="s">
        <v>5</v>
      </c>
      <c r="E567" s="2" t="s">
        <v>6</v>
      </c>
      <c r="F567" s="2" t="s">
        <v>7</v>
      </c>
      <c r="G567" s="2" t="s">
        <v>8</v>
      </c>
    </row>
    <row r="568" spans="1:9" ht="18" customHeight="1" x14ac:dyDescent="0.4">
      <c r="A568" s="81" t="s">
        <v>591</v>
      </c>
      <c r="B568" s="171" t="s">
        <v>116</v>
      </c>
      <c r="C568" s="169">
        <v>600.9</v>
      </c>
      <c r="D568" s="142">
        <v>76</v>
      </c>
      <c r="E568" s="60">
        <f t="shared" ref="E568:E591" si="100">+C568*D568</f>
        <v>45668.4</v>
      </c>
      <c r="F568" s="60">
        <f t="shared" ref="F568:F591" si="101">+E568*7%</f>
        <v>3196.7880000000005</v>
      </c>
      <c r="G568" s="60">
        <f t="shared" ref="G568:G591" si="102">+E568+F568</f>
        <v>48865.188000000002</v>
      </c>
      <c r="I568">
        <v>6903120</v>
      </c>
    </row>
    <row r="569" spans="1:9" ht="18" customHeight="1" x14ac:dyDescent="0.4">
      <c r="A569" s="81" t="s">
        <v>591</v>
      </c>
      <c r="B569" s="171" t="s">
        <v>116</v>
      </c>
      <c r="C569" s="169">
        <v>607.54999999999995</v>
      </c>
      <c r="D569" s="142">
        <v>76</v>
      </c>
      <c r="E569" s="60">
        <f t="shared" si="100"/>
        <v>46173.799999999996</v>
      </c>
      <c r="F569" s="60">
        <f t="shared" si="101"/>
        <v>3232.1660000000002</v>
      </c>
      <c r="G569" s="60">
        <f t="shared" si="102"/>
        <v>49405.965999999993</v>
      </c>
      <c r="I569">
        <v>6903120</v>
      </c>
    </row>
    <row r="570" spans="1:9" ht="18" customHeight="1" x14ac:dyDescent="0.4">
      <c r="A570" s="81" t="s">
        <v>591</v>
      </c>
      <c r="B570" s="171" t="s">
        <v>116</v>
      </c>
      <c r="C570" s="169">
        <v>605.29999999999995</v>
      </c>
      <c r="D570" s="142">
        <v>76</v>
      </c>
      <c r="E570" s="60">
        <f t="shared" si="100"/>
        <v>46002.799999999996</v>
      </c>
      <c r="F570" s="60">
        <f>+E570*7%</f>
        <v>3220.1959999999999</v>
      </c>
      <c r="G570" s="60">
        <f t="shared" si="102"/>
        <v>49222.995999999999</v>
      </c>
      <c r="I570">
        <v>6903119</v>
      </c>
    </row>
    <row r="571" spans="1:9" ht="18" customHeight="1" x14ac:dyDescent="0.4">
      <c r="A571" s="81" t="s">
        <v>591</v>
      </c>
      <c r="B571" s="171" t="s">
        <v>116</v>
      </c>
      <c r="C571" s="169">
        <v>598.6</v>
      </c>
      <c r="D571" s="142">
        <v>76</v>
      </c>
      <c r="E571" s="60">
        <f t="shared" si="100"/>
        <v>45493.599999999999</v>
      </c>
      <c r="F571" s="60">
        <f t="shared" si="101"/>
        <v>3184.5520000000001</v>
      </c>
      <c r="G571" s="60">
        <f t="shared" si="102"/>
        <v>48678.152000000002</v>
      </c>
      <c r="I571">
        <v>6903119</v>
      </c>
    </row>
    <row r="572" spans="1:9" ht="18" customHeight="1" x14ac:dyDescent="0.4">
      <c r="A572" s="81" t="s">
        <v>591</v>
      </c>
      <c r="B572" s="171" t="s">
        <v>116</v>
      </c>
      <c r="C572" s="169">
        <v>610</v>
      </c>
      <c r="D572" s="142">
        <v>76</v>
      </c>
      <c r="E572" s="60">
        <f t="shared" si="100"/>
        <v>46360</v>
      </c>
      <c r="F572" s="60">
        <f t="shared" si="101"/>
        <v>3245.2000000000003</v>
      </c>
      <c r="G572" s="60">
        <f t="shared" si="102"/>
        <v>49605.2</v>
      </c>
      <c r="I572">
        <v>6903118</v>
      </c>
    </row>
    <row r="573" spans="1:9" ht="18" customHeight="1" x14ac:dyDescent="0.4">
      <c r="A573" s="81" t="s">
        <v>591</v>
      </c>
      <c r="B573" s="171" t="s">
        <v>116</v>
      </c>
      <c r="C573" s="169">
        <v>604.45000000000005</v>
      </c>
      <c r="D573" s="142">
        <v>76</v>
      </c>
      <c r="E573" s="60">
        <f t="shared" si="100"/>
        <v>45938.200000000004</v>
      </c>
      <c r="F573" s="60">
        <f t="shared" si="101"/>
        <v>3215.6740000000004</v>
      </c>
      <c r="G573" s="60">
        <f t="shared" si="102"/>
        <v>49153.874000000003</v>
      </c>
      <c r="I573">
        <v>6903118</v>
      </c>
    </row>
    <row r="574" spans="1:9" ht="18" customHeight="1" x14ac:dyDescent="0.4">
      <c r="A574" s="81" t="s">
        <v>591</v>
      </c>
      <c r="B574" s="171" t="s">
        <v>116</v>
      </c>
      <c r="C574" s="169">
        <v>588.79999999999995</v>
      </c>
      <c r="D574" s="142">
        <v>76</v>
      </c>
      <c r="E574" s="60">
        <f t="shared" si="100"/>
        <v>44748.799999999996</v>
      </c>
      <c r="F574" s="60">
        <f t="shared" si="101"/>
        <v>3132.4160000000002</v>
      </c>
      <c r="G574" s="60">
        <f t="shared" si="102"/>
        <v>47881.215999999993</v>
      </c>
      <c r="I574">
        <v>6903117</v>
      </c>
    </row>
    <row r="575" spans="1:9" ht="18" customHeight="1" x14ac:dyDescent="0.4">
      <c r="A575" s="81" t="s">
        <v>591</v>
      </c>
      <c r="B575" s="171" t="s">
        <v>116</v>
      </c>
      <c r="C575" s="169">
        <v>593.25</v>
      </c>
      <c r="D575" s="142">
        <v>76</v>
      </c>
      <c r="E575" s="60">
        <f t="shared" si="100"/>
        <v>45087</v>
      </c>
      <c r="F575" s="60">
        <f t="shared" si="101"/>
        <v>3156.09</v>
      </c>
      <c r="G575" s="60">
        <f t="shared" si="102"/>
        <v>48243.09</v>
      </c>
      <c r="I575">
        <v>6903117</v>
      </c>
    </row>
    <row r="576" spans="1:9" ht="18" customHeight="1" x14ac:dyDescent="0.4">
      <c r="A576" s="81" t="s">
        <v>609</v>
      </c>
      <c r="B576" s="171" t="s">
        <v>167</v>
      </c>
      <c r="C576" s="169">
        <v>596.4</v>
      </c>
      <c r="D576" s="142">
        <v>76</v>
      </c>
      <c r="E576" s="60">
        <f t="shared" si="100"/>
        <v>45326.400000000001</v>
      </c>
      <c r="F576" s="60">
        <f t="shared" si="101"/>
        <v>3172.8480000000004</v>
      </c>
      <c r="G576" s="60">
        <f t="shared" si="102"/>
        <v>48499.248</v>
      </c>
      <c r="I576">
        <v>6903159</v>
      </c>
    </row>
    <row r="577" spans="1:9" ht="18" customHeight="1" x14ac:dyDescent="0.4">
      <c r="A577" s="81" t="s">
        <v>609</v>
      </c>
      <c r="B577" s="171" t="s">
        <v>167</v>
      </c>
      <c r="C577" s="169">
        <v>604.25</v>
      </c>
      <c r="D577" s="142">
        <v>76</v>
      </c>
      <c r="E577" s="60">
        <f t="shared" si="100"/>
        <v>45923</v>
      </c>
      <c r="F577" s="60">
        <f t="shared" si="101"/>
        <v>3214.61</v>
      </c>
      <c r="G577" s="60">
        <f t="shared" si="102"/>
        <v>49137.61</v>
      </c>
      <c r="I577">
        <v>6903158</v>
      </c>
    </row>
    <row r="578" spans="1:9" ht="18" customHeight="1" x14ac:dyDescent="0.4">
      <c r="A578" s="81" t="s">
        <v>609</v>
      </c>
      <c r="B578" s="171" t="s">
        <v>167</v>
      </c>
      <c r="C578" s="169">
        <v>597.45000000000005</v>
      </c>
      <c r="D578" s="142">
        <v>76</v>
      </c>
      <c r="E578" s="60">
        <f t="shared" si="100"/>
        <v>45406.200000000004</v>
      </c>
      <c r="F578" s="60">
        <f t="shared" si="101"/>
        <v>3178.4340000000007</v>
      </c>
      <c r="G578" s="60">
        <f t="shared" si="102"/>
        <v>48584.634000000005</v>
      </c>
      <c r="I578">
        <v>6903158</v>
      </c>
    </row>
    <row r="579" spans="1:9" ht="18" customHeight="1" x14ac:dyDescent="0.4">
      <c r="A579" s="81" t="s">
        <v>609</v>
      </c>
      <c r="B579" s="171" t="s">
        <v>186</v>
      </c>
      <c r="C579" s="169">
        <v>583.79999999999995</v>
      </c>
      <c r="D579" s="142">
        <v>76</v>
      </c>
      <c r="E579" s="60">
        <f t="shared" si="100"/>
        <v>44368.799999999996</v>
      </c>
      <c r="F579" s="60">
        <f t="shared" si="101"/>
        <v>3105.8159999999998</v>
      </c>
      <c r="G579" s="60">
        <f t="shared" si="102"/>
        <v>47474.615999999995</v>
      </c>
      <c r="I579">
        <v>6903157</v>
      </c>
    </row>
    <row r="580" spans="1:9" ht="18" customHeight="1" x14ac:dyDescent="0.4">
      <c r="A580" s="81" t="s">
        <v>594</v>
      </c>
      <c r="B580" s="171" t="s">
        <v>117</v>
      </c>
      <c r="C580" s="169">
        <v>586.21</v>
      </c>
      <c r="D580" s="142">
        <v>76</v>
      </c>
      <c r="E580" s="60">
        <f t="shared" si="100"/>
        <v>44551.960000000006</v>
      </c>
      <c r="F580" s="60">
        <f t="shared" si="101"/>
        <v>3118.6372000000006</v>
      </c>
      <c r="G580" s="60">
        <f t="shared" si="102"/>
        <v>47670.597200000004</v>
      </c>
      <c r="I580">
        <v>6903195</v>
      </c>
    </row>
    <row r="581" spans="1:9" ht="18" customHeight="1" x14ac:dyDescent="0.4">
      <c r="A581" s="81" t="s">
        <v>594</v>
      </c>
      <c r="B581" s="171" t="s">
        <v>117</v>
      </c>
      <c r="C581" s="169">
        <v>592.95000000000005</v>
      </c>
      <c r="D581" s="142">
        <v>76</v>
      </c>
      <c r="E581" s="60">
        <f t="shared" si="100"/>
        <v>45064.200000000004</v>
      </c>
      <c r="F581" s="60">
        <f t="shared" si="101"/>
        <v>3154.4940000000006</v>
      </c>
      <c r="G581" s="60">
        <f t="shared" si="102"/>
        <v>48218.694000000003</v>
      </c>
      <c r="I581">
        <v>6903194</v>
      </c>
    </row>
    <row r="582" spans="1:9" ht="18" customHeight="1" x14ac:dyDescent="0.4">
      <c r="A582" s="81" t="s">
        <v>594</v>
      </c>
      <c r="B582" s="171" t="s">
        <v>117</v>
      </c>
      <c r="C582" s="169">
        <v>606.15</v>
      </c>
      <c r="D582" s="142">
        <v>76</v>
      </c>
      <c r="E582" s="60">
        <f t="shared" si="100"/>
        <v>46067.4</v>
      </c>
      <c r="F582" s="60">
        <f t="shared" si="101"/>
        <v>3224.7180000000003</v>
      </c>
      <c r="G582" s="60">
        <f t="shared" si="102"/>
        <v>49292.118000000002</v>
      </c>
      <c r="I582">
        <v>6903194</v>
      </c>
    </row>
    <row r="583" spans="1:9" ht="18" customHeight="1" x14ac:dyDescent="0.4">
      <c r="A583" s="81" t="s">
        <v>594</v>
      </c>
      <c r="B583" s="171" t="s">
        <v>196</v>
      </c>
      <c r="C583" s="169">
        <v>585.11</v>
      </c>
      <c r="D583" s="142">
        <v>76</v>
      </c>
      <c r="E583" s="60">
        <f t="shared" si="100"/>
        <v>44468.36</v>
      </c>
      <c r="F583" s="60">
        <f t="shared" si="101"/>
        <v>3112.7852000000003</v>
      </c>
      <c r="G583" s="60">
        <f t="shared" si="102"/>
        <v>47581.145199999999</v>
      </c>
      <c r="I583">
        <v>6903193</v>
      </c>
    </row>
    <row r="584" spans="1:9" ht="18" customHeight="1" x14ac:dyDescent="0.4">
      <c r="A584" s="81" t="s">
        <v>594</v>
      </c>
      <c r="B584" s="171" t="s">
        <v>196</v>
      </c>
      <c r="C584" s="169">
        <v>586.55999999999995</v>
      </c>
      <c r="D584" s="142">
        <v>76</v>
      </c>
      <c r="E584" s="60">
        <f t="shared" si="100"/>
        <v>44578.559999999998</v>
      </c>
      <c r="F584" s="60">
        <f t="shared" si="101"/>
        <v>3120.4992000000002</v>
      </c>
      <c r="G584" s="60">
        <f t="shared" si="102"/>
        <v>47699.059199999996</v>
      </c>
      <c r="I584">
        <v>6903193</v>
      </c>
    </row>
    <row r="585" spans="1:9" ht="18" customHeight="1" x14ac:dyDescent="0.4">
      <c r="A585" s="81" t="s">
        <v>613</v>
      </c>
      <c r="B585" s="171" t="s">
        <v>133</v>
      </c>
      <c r="C585" s="169">
        <v>626.70000000000005</v>
      </c>
      <c r="D585" s="142">
        <v>76</v>
      </c>
      <c r="E585" s="60">
        <f t="shared" si="100"/>
        <v>47629.200000000004</v>
      </c>
      <c r="F585" s="60">
        <f t="shared" si="101"/>
        <v>3334.0440000000008</v>
      </c>
      <c r="G585" s="60">
        <f t="shared" si="102"/>
        <v>50963.244000000006</v>
      </c>
      <c r="I585">
        <v>6903014</v>
      </c>
    </row>
    <row r="586" spans="1:9" ht="18" customHeight="1" x14ac:dyDescent="0.4">
      <c r="A586" s="81" t="s">
        <v>613</v>
      </c>
      <c r="B586" s="171" t="s">
        <v>118</v>
      </c>
      <c r="C586" s="169">
        <v>594.11</v>
      </c>
      <c r="D586" s="142">
        <v>76</v>
      </c>
      <c r="E586" s="60">
        <f t="shared" si="100"/>
        <v>45152.36</v>
      </c>
      <c r="F586" s="60">
        <f t="shared" si="101"/>
        <v>3160.6652000000004</v>
      </c>
      <c r="G586" s="60">
        <f t="shared" si="102"/>
        <v>48313.025200000004</v>
      </c>
      <c r="I586">
        <v>6903017</v>
      </c>
    </row>
    <row r="587" spans="1:9" ht="18" customHeight="1" x14ac:dyDescent="0.4">
      <c r="A587" s="81" t="s">
        <v>613</v>
      </c>
      <c r="B587" s="171" t="s">
        <v>118</v>
      </c>
      <c r="C587" s="169">
        <v>592.86</v>
      </c>
      <c r="D587" s="142">
        <v>76</v>
      </c>
      <c r="E587" s="60">
        <f t="shared" si="100"/>
        <v>45057.36</v>
      </c>
      <c r="F587" s="60">
        <f t="shared" si="101"/>
        <v>3154.0152000000003</v>
      </c>
      <c r="G587" s="60">
        <f t="shared" si="102"/>
        <v>48211.375200000002</v>
      </c>
      <c r="I587">
        <v>6903017</v>
      </c>
    </row>
    <row r="588" spans="1:9" ht="18" customHeight="1" x14ac:dyDescent="0.4">
      <c r="A588" s="81" t="s">
        <v>613</v>
      </c>
      <c r="B588" s="171" t="s">
        <v>118</v>
      </c>
      <c r="C588" s="169">
        <v>589.46</v>
      </c>
      <c r="D588" s="142">
        <v>76</v>
      </c>
      <c r="E588" s="60">
        <f t="shared" si="100"/>
        <v>44798.960000000006</v>
      </c>
      <c r="F588" s="60">
        <f t="shared" si="101"/>
        <v>3135.9272000000005</v>
      </c>
      <c r="G588" s="60">
        <f t="shared" si="102"/>
        <v>47934.887200000005</v>
      </c>
      <c r="I588">
        <v>6903016</v>
      </c>
    </row>
    <row r="589" spans="1:9" ht="18" customHeight="1" x14ac:dyDescent="0.4">
      <c r="A589" s="81" t="s">
        <v>613</v>
      </c>
      <c r="B589" s="171" t="s">
        <v>118</v>
      </c>
      <c r="C589" s="169">
        <v>613.35</v>
      </c>
      <c r="D589" s="142">
        <v>76</v>
      </c>
      <c r="E589" s="60">
        <f t="shared" si="100"/>
        <v>46614.6</v>
      </c>
      <c r="F589" s="60">
        <f t="shared" si="101"/>
        <v>3263.0220000000004</v>
      </c>
      <c r="G589" s="60">
        <f t="shared" si="102"/>
        <v>49877.621999999996</v>
      </c>
      <c r="I589">
        <v>6903016</v>
      </c>
    </row>
    <row r="590" spans="1:9" ht="18" customHeight="1" x14ac:dyDescent="0.4">
      <c r="A590" s="81" t="s">
        <v>613</v>
      </c>
      <c r="B590" s="171" t="s">
        <v>118</v>
      </c>
      <c r="C590" s="169">
        <v>606.95000000000005</v>
      </c>
      <c r="D590" s="142">
        <v>76</v>
      </c>
      <c r="E590" s="60">
        <f t="shared" si="100"/>
        <v>46128.200000000004</v>
      </c>
      <c r="F590" s="60">
        <f t="shared" si="101"/>
        <v>3228.9740000000006</v>
      </c>
      <c r="G590" s="60">
        <f t="shared" si="102"/>
        <v>49357.174000000006</v>
      </c>
      <c r="I590">
        <v>6903015</v>
      </c>
    </row>
    <row r="591" spans="1:9" ht="18" customHeight="1" x14ac:dyDescent="0.4">
      <c r="A591" s="81" t="s">
        <v>613</v>
      </c>
      <c r="B591" s="171" t="s">
        <v>118</v>
      </c>
      <c r="C591" s="169">
        <v>617.75</v>
      </c>
      <c r="D591" s="142">
        <v>76</v>
      </c>
      <c r="E591" s="60">
        <f t="shared" si="100"/>
        <v>46949</v>
      </c>
      <c r="F591" s="60">
        <f t="shared" si="101"/>
        <v>3286.4300000000003</v>
      </c>
      <c r="G591" s="60">
        <f t="shared" si="102"/>
        <v>50235.43</v>
      </c>
      <c r="I591">
        <v>6903015</v>
      </c>
    </row>
    <row r="592" spans="1:9" ht="18" customHeight="1" thickBot="1" x14ac:dyDescent="0.35">
      <c r="A592" s="84"/>
      <c r="B592" s="17" t="s">
        <v>15</v>
      </c>
      <c r="C592" s="18">
        <f>SUM(C568:C591)</f>
        <v>14388.910000000002</v>
      </c>
      <c r="D592" s="19"/>
      <c r="E592" s="62">
        <f>SUM(E568:E591)</f>
        <v>1093557.1599999997</v>
      </c>
      <c r="F592" s="62">
        <f t="shared" ref="F592:G592" si="103">SUM(F568:F591)</f>
        <v>76549.001199999999</v>
      </c>
      <c r="G592" s="62">
        <f t="shared" si="103"/>
        <v>1170106.1612000002</v>
      </c>
    </row>
    <row r="593" spans="1:11" ht="18" customHeight="1" thickTop="1" x14ac:dyDescent="0.3">
      <c r="A593" s="85"/>
      <c r="B593" s="68"/>
      <c r="C593" s="69"/>
      <c r="D593" s="70"/>
      <c r="E593" s="71"/>
      <c r="F593" s="71"/>
      <c r="G593" s="71"/>
    </row>
    <row r="594" spans="1:11" s="30" customFormat="1" ht="23.25" x14ac:dyDescent="0.5">
      <c r="A594" s="359" t="s">
        <v>246</v>
      </c>
      <c r="B594" s="359"/>
      <c r="C594" s="359"/>
      <c r="D594" s="359"/>
      <c r="E594" s="359"/>
      <c r="F594" s="359"/>
      <c r="G594" s="359"/>
    </row>
    <row r="595" spans="1:11" s="30" customFormat="1" ht="18" customHeight="1" x14ac:dyDescent="0.5">
      <c r="A595" s="57" t="s">
        <v>2</v>
      </c>
      <c r="B595" s="58" t="s">
        <v>3</v>
      </c>
      <c r="C595" s="2" t="s">
        <v>86</v>
      </c>
      <c r="D595" s="59" t="s">
        <v>5</v>
      </c>
      <c r="E595" s="58" t="s">
        <v>6</v>
      </c>
      <c r="F595" s="58" t="s">
        <v>7</v>
      </c>
      <c r="G595" s="58" t="s">
        <v>8</v>
      </c>
    </row>
    <row r="596" spans="1:11" s="26" customFormat="1" ht="18" customHeight="1" x14ac:dyDescent="0.45">
      <c r="A596" s="16" t="s">
        <v>601</v>
      </c>
      <c r="B596" s="5" t="s">
        <v>127</v>
      </c>
      <c r="C596" s="37">
        <v>560</v>
      </c>
      <c r="D596" s="51">
        <v>15.25</v>
      </c>
      <c r="E596" s="60">
        <f>+C596*D596</f>
        <v>8540</v>
      </c>
      <c r="F596" s="60">
        <f>+E596*7%</f>
        <v>597.80000000000007</v>
      </c>
      <c r="G596" s="60">
        <f>+E596+F596</f>
        <v>9137.7999999999993</v>
      </c>
      <c r="I596" s="26">
        <v>6903297</v>
      </c>
    </row>
    <row r="597" spans="1:11" s="30" customFormat="1" ht="18" customHeight="1" thickBot="1" x14ac:dyDescent="0.55000000000000004">
      <c r="A597" s="84"/>
      <c r="B597" s="17" t="s">
        <v>15</v>
      </c>
      <c r="C597" s="18">
        <f>SUM(C596)</f>
        <v>560</v>
      </c>
      <c r="D597" s="19"/>
      <c r="E597" s="18">
        <f>SUM(E596)</f>
        <v>8540</v>
      </c>
      <c r="F597" s="18">
        <f t="shared" ref="F597:G597" si="104">SUM(F596)</f>
        <v>597.80000000000007</v>
      </c>
      <c r="G597" s="18">
        <f t="shared" si="104"/>
        <v>9137.7999999999993</v>
      </c>
    </row>
    <row r="598" spans="1:11" s="30" customFormat="1" ht="18" customHeight="1" thickTop="1" x14ac:dyDescent="0.5">
      <c r="A598" s="85"/>
      <c r="B598" s="68"/>
      <c r="C598" s="69"/>
      <c r="D598" s="70"/>
      <c r="E598" s="69"/>
      <c r="F598" s="69"/>
      <c r="G598" s="69"/>
    </row>
    <row r="599" spans="1:11" ht="18" customHeight="1" x14ac:dyDescent="0.45">
      <c r="A599" s="22"/>
      <c r="B599" s="22" t="s">
        <v>293</v>
      </c>
      <c r="C599" s="189">
        <f>C597</f>
        <v>560</v>
      </c>
      <c r="D599" s="190">
        <v>0.36480000000000001</v>
      </c>
      <c r="E599" s="189">
        <f>+C599*D599</f>
        <v>204.28800000000001</v>
      </c>
      <c r="F599" s="22"/>
      <c r="G599" s="22"/>
      <c r="K599" s="191"/>
    </row>
    <row r="600" spans="1:11" ht="18" customHeight="1" thickBot="1" x14ac:dyDescent="0.5">
      <c r="A600" s="22"/>
      <c r="B600" s="22" t="s">
        <v>294</v>
      </c>
      <c r="C600" s="189">
        <v>0</v>
      </c>
      <c r="D600" s="190">
        <v>0.32979999999999998</v>
      </c>
      <c r="E600" s="189">
        <f t="shared" ref="E600:E604" si="105">+C600*D600</f>
        <v>0</v>
      </c>
      <c r="F600" s="192">
        <f>SUM(E599:E604)</f>
        <v>204.28800000000001</v>
      </c>
      <c r="G600" s="22"/>
      <c r="K600" s="191"/>
    </row>
    <row r="601" spans="1:11" ht="18" customHeight="1" thickTop="1" x14ac:dyDescent="0.45">
      <c r="A601" s="22"/>
      <c r="B601" s="22" t="s">
        <v>295</v>
      </c>
      <c r="C601" s="189">
        <v>0</v>
      </c>
      <c r="D601" s="193">
        <v>0.26569999999999999</v>
      </c>
      <c r="E601" s="189">
        <f t="shared" si="105"/>
        <v>0</v>
      </c>
      <c r="F601" s="54"/>
      <c r="G601" s="22"/>
      <c r="K601" s="191"/>
    </row>
    <row r="602" spans="1:11" ht="18" customHeight="1" x14ac:dyDescent="0.45">
      <c r="A602" s="22"/>
      <c r="B602" s="22" t="s">
        <v>296</v>
      </c>
      <c r="C602" s="189">
        <v>0</v>
      </c>
      <c r="D602" s="193">
        <v>0.1832</v>
      </c>
      <c r="E602" s="189">
        <f t="shared" si="105"/>
        <v>0</v>
      </c>
      <c r="F602" s="54"/>
      <c r="G602" s="22"/>
      <c r="K602" s="191"/>
    </row>
    <row r="603" spans="1:11" ht="18" customHeight="1" x14ac:dyDescent="0.45">
      <c r="A603" s="22"/>
      <c r="B603" s="22" t="s">
        <v>297</v>
      </c>
      <c r="C603" s="189">
        <v>0</v>
      </c>
      <c r="D603" s="193">
        <v>0.2268</v>
      </c>
      <c r="E603" s="189">
        <f t="shared" si="105"/>
        <v>0</v>
      </c>
      <c r="F603" s="54"/>
      <c r="G603" s="22"/>
      <c r="K603" s="191"/>
    </row>
    <row r="604" spans="1:11" ht="18" customHeight="1" x14ac:dyDescent="0.45">
      <c r="A604" s="22"/>
      <c r="B604" s="22" t="s">
        <v>298</v>
      </c>
      <c r="C604" s="189">
        <v>0</v>
      </c>
      <c r="D604" s="193">
        <v>0.23469999999999999</v>
      </c>
      <c r="E604" s="189">
        <f t="shared" si="105"/>
        <v>0</v>
      </c>
      <c r="F604" s="54"/>
      <c r="G604" s="22"/>
      <c r="K604" s="191"/>
    </row>
    <row r="605" spans="1:11" s="30" customFormat="1" ht="18" customHeight="1" x14ac:dyDescent="0.5">
      <c r="A605" s="85"/>
      <c r="B605" s="68"/>
      <c r="C605" s="69"/>
      <c r="D605" s="70"/>
      <c r="E605" s="69"/>
      <c r="F605" s="69"/>
      <c r="G605" s="69"/>
    </row>
    <row r="606" spans="1:11" s="30" customFormat="1" ht="23.25" x14ac:dyDescent="0.5">
      <c r="A606" s="359" t="s">
        <v>103</v>
      </c>
      <c r="B606" s="359"/>
      <c r="C606" s="359"/>
      <c r="D606" s="359"/>
      <c r="E606" s="359"/>
      <c r="F606" s="359"/>
      <c r="G606" s="359"/>
    </row>
    <row r="607" spans="1:11" s="30" customFormat="1" ht="18" customHeight="1" x14ac:dyDescent="0.5">
      <c r="A607" s="57" t="s">
        <v>2</v>
      </c>
      <c r="B607" s="58" t="s">
        <v>3</v>
      </c>
      <c r="C607" s="2" t="s">
        <v>4</v>
      </c>
      <c r="D607" s="59" t="s">
        <v>5</v>
      </c>
      <c r="E607" s="58" t="s">
        <v>6</v>
      </c>
      <c r="F607" s="58" t="s">
        <v>7</v>
      </c>
      <c r="G607" s="58" t="s">
        <v>8</v>
      </c>
    </row>
    <row r="608" spans="1:11" ht="18" customHeight="1" x14ac:dyDescent="0.4">
      <c r="A608" s="81" t="s">
        <v>606</v>
      </c>
      <c r="B608" s="5" t="s">
        <v>104</v>
      </c>
      <c r="C608" s="168">
        <v>510.55</v>
      </c>
      <c r="D608" s="87">
        <v>47</v>
      </c>
      <c r="E608" s="6">
        <f>+C608*D608</f>
        <v>23995.850000000002</v>
      </c>
      <c r="F608" s="6">
        <f>+E608*7%</f>
        <v>1679.7095000000004</v>
      </c>
      <c r="G608" s="6">
        <f>+E608+F608</f>
        <v>25675.559500000003</v>
      </c>
      <c r="I608">
        <v>6903093</v>
      </c>
    </row>
    <row r="609" spans="1:10" ht="18" customHeight="1" x14ac:dyDescent="0.4">
      <c r="A609" s="81" t="s">
        <v>595</v>
      </c>
      <c r="B609" s="5" t="s">
        <v>104</v>
      </c>
      <c r="C609" s="168">
        <v>508.8</v>
      </c>
      <c r="D609" s="87">
        <v>47</v>
      </c>
      <c r="E609" s="6">
        <f t="shared" ref="E609:E611" si="106">+C609*D609</f>
        <v>23913.600000000002</v>
      </c>
      <c r="F609" s="6">
        <f t="shared" ref="F609:F611" si="107">+E609*7%</f>
        <v>1673.9520000000002</v>
      </c>
      <c r="G609" s="6">
        <f t="shared" ref="G609:G611" si="108">+E609+F609</f>
        <v>25587.552000000003</v>
      </c>
      <c r="I609">
        <v>6903187</v>
      </c>
    </row>
    <row r="610" spans="1:10" ht="18" customHeight="1" x14ac:dyDescent="0.4">
      <c r="A610" s="81" t="s">
        <v>598</v>
      </c>
      <c r="B610" s="5" t="s">
        <v>104</v>
      </c>
      <c r="C610" s="168">
        <v>448.75</v>
      </c>
      <c r="D610" s="87">
        <v>47</v>
      </c>
      <c r="E610" s="6">
        <f t="shared" si="106"/>
        <v>21091.25</v>
      </c>
      <c r="F610" s="6">
        <f t="shared" si="107"/>
        <v>1476.3875</v>
      </c>
      <c r="G610" s="6">
        <f t="shared" si="108"/>
        <v>22567.637500000001</v>
      </c>
      <c r="I610">
        <v>6903258</v>
      </c>
    </row>
    <row r="611" spans="1:10" ht="18" customHeight="1" x14ac:dyDescent="0.4">
      <c r="A611" s="81" t="s">
        <v>602</v>
      </c>
      <c r="B611" s="5" t="s">
        <v>104</v>
      </c>
      <c r="C611" s="168">
        <v>503.25</v>
      </c>
      <c r="D611" s="87">
        <v>47</v>
      </c>
      <c r="E611" s="6">
        <f t="shared" si="106"/>
        <v>23652.75</v>
      </c>
      <c r="F611" s="6">
        <f t="shared" si="107"/>
        <v>1655.6925000000001</v>
      </c>
      <c r="G611" s="6">
        <f t="shared" si="108"/>
        <v>25308.442500000001</v>
      </c>
      <c r="I611">
        <v>6903313</v>
      </c>
    </row>
    <row r="612" spans="1:10" ht="18" customHeight="1" thickBot="1" x14ac:dyDescent="0.35">
      <c r="A612" s="84"/>
      <c r="B612" s="17" t="s">
        <v>15</v>
      </c>
      <c r="C612" s="18">
        <f>SUM(C608:C611)</f>
        <v>1971.35</v>
      </c>
      <c r="D612" s="19"/>
      <c r="E612" s="18">
        <f>SUM(E608:E611)</f>
        <v>92653.450000000012</v>
      </c>
      <c r="F612" s="18">
        <f t="shared" ref="F612:G612" si="109">SUM(F608:F611)</f>
        <v>6485.741500000001</v>
      </c>
      <c r="G612" s="18">
        <f t="shared" si="109"/>
        <v>99139.191500000015</v>
      </c>
    </row>
    <row r="613" spans="1:10" ht="18" customHeight="1" thickTop="1" x14ac:dyDescent="0.3">
      <c r="A613" s="85"/>
      <c r="B613" s="68"/>
      <c r="C613" s="69"/>
      <c r="D613" s="70"/>
      <c r="E613" s="69"/>
      <c r="F613" s="69"/>
      <c r="G613" s="69"/>
    </row>
    <row r="614" spans="1:10" ht="30" customHeight="1" x14ac:dyDescent="0.3">
      <c r="A614" s="359" t="s">
        <v>107</v>
      </c>
      <c r="B614" s="359"/>
      <c r="C614" s="359"/>
      <c r="D614" s="359"/>
      <c r="E614" s="359"/>
      <c r="F614" s="359"/>
      <c r="G614" s="359"/>
    </row>
    <row r="615" spans="1:10" ht="18" customHeight="1" x14ac:dyDescent="0.3">
      <c r="A615" s="1" t="s">
        <v>2</v>
      </c>
      <c r="B615" s="2" t="s">
        <v>3</v>
      </c>
      <c r="C615" s="2" t="s">
        <v>108</v>
      </c>
      <c r="D615" s="3" t="s">
        <v>5</v>
      </c>
      <c r="E615" s="2" t="s">
        <v>6</v>
      </c>
      <c r="F615" s="2" t="s">
        <v>7</v>
      </c>
      <c r="G615" s="2" t="s">
        <v>8</v>
      </c>
    </row>
    <row r="616" spans="1:10" ht="18" customHeight="1" x14ac:dyDescent="0.4">
      <c r="A616" s="16" t="s">
        <v>606</v>
      </c>
      <c r="B616" s="5" t="s">
        <v>109</v>
      </c>
      <c r="C616" s="50">
        <v>306.3</v>
      </c>
      <c r="D616" s="142">
        <v>50</v>
      </c>
      <c r="E616" s="6">
        <f>+C616*D616</f>
        <v>15315</v>
      </c>
      <c r="F616" s="60">
        <f>+E616*7%</f>
        <v>1072.0500000000002</v>
      </c>
      <c r="G616" s="60">
        <f>+E616+F616</f>
        <v>16387.05</v>
      </c>
      <c r="I616">
        <v>6903092</v>
      </c>
    </row>
    <row r="617" spans="1:10" ht="18" customHeight="1" x14ac:dyDescent="0.4">
      <c r="A617" s="16" t="s">
        <v>606</v>
      </c>
      <c r="B617" s="5" t="s">
        <v>109</v>
      </c>
      <c r="C617" s="50">
        <v>1132.3499999999999</v>
      </c>
      <c r="D617" s="142">
        <v>50</v>
      </c>
      <c r="E617" s="6">
        <f>+C617*D617</f>
        <v>56617.499999999993</v>
      </c>
      <c r="F617" s="60">
        <f>+E617*7%</f>
        <v>3963.2249999999999</v>
      </c>
      <c r="G617" s="60">
        <f>+E617+F617</f>
        <v>60580.724999999991</v>
      </c>
      <c r="I617">
        <v>6903092</v>
      </c>
    </row>
    <row r="618" spans="1:10" ht="18" customHeight="1" thickBot="1" x14ac:dyDescent="0.35">
      <c r="A618" s="139"/>
      <c r="B618" s="17" t="s">
        <v>15</v>
      </c>
      <c r="C618" s="18">
        <f>SUM(C616:C617)</f>
        <v>1438.6499999999999</v>
      </c>
      <c r="D618" s="133"/>
      <c r="E618" s="18">
        <f>SUM(E616:E617)</f>
        <v>71932.5</v>
      </c>
      <c r="F618" s="18">
        <f t="shared" ref="F618:G618" si="110">SUM(F616:F617)</f>
        <v>5035.2749999999996</v>
      </c>
      <c r="G618" s="18">
        <f t="shared" si="110"/>
        <v>76967.774999999994</v>
      </c>
    </row>
    <row r="619" spans="1:10" ht="17.25" thickTop="1" x14ac:dyDescent="0.3"/>
    <row r="620" spans="1:10" ht="23.25" x14ac:dyDescent="0.3">
      <c r="A620" s="359" t="s">
        <v>112</v>
      </c>
      <c r="B620" s="359"/>
      <c r="C620" s="359"/>
      <c r="D620" s="359"/>
      <c r="E620" s="359"/>
      <c r="F620" s="359"/>
      <c r="G620" s="359"/>
    </row>
    <row r="621" spans="1:10" ht="18" customHeight="1" x14ac:dyDescent="0.3">
      <c r="A621" s="1" t="s">
        <v>2</v>
      </c>
      <c r="B621" s="2" t="s">
        <v>3</v>
      </c>
      <c r="C621" s="2" t="s">
        <v>108</v>
      </c>
      <c r="D621" s="3" t="s">
        <v>5</v>
      </c>
      <c r="E621" s="2" t="s">
        <v>6</v>
      </c>
      <c r="F621" s="2" t="s">
        <v>7</v>
      </c>
      <c r="G621" s="2" t="s">
        <v>8</v>
      </c>
    </row>
    <row r="622" spans="1:10" ht="18" customHeight="1" x14ac:dyDescent="0.4">
      <c r="A622" s="81" t="s">
        <v>601</v>
      </c>
      <c r="B622" s="171" t="s">
        <v>260</v>
      </c>
      <c r="C622" s="169">
        <v>4962.37</v>
      </c>
      <c r="D622" s="142">
        <v>74</v>
      </c>
      <c r="E622" s="60">
        <f t="shared" ref="E622" si="111">+C622*D622</f>
        <v>367215.38</v>
      </c>
      <c r="F622" s="60">
        <f t="shared" ref="F622" si="112">+E622*7%</f>
        <v>25705.076600000004</v>
      </c>
      <c r="G622" s="60">
        <f t="shared" ref="G622" si="113">+E622+F622</f>
        <v>392920.45660000003</v>
      </c>
      <c r="H622" s="273" t="s">
        <v>392</v>
      </c>
      <c r="I622">
        <v>6903288</v>
      </c>
      <c r="J622" t="s">
        <v>643</v>
      </c>
    </row>
    <row r="623" spans="1:10" ht="18" customHeight="1" thickBot="1" x14ac:dyDescent="0.35">
      <c r="A623" s="84"/>
      <c r="B623" s="17" t="s">
        <v>15</v>
      </c>
      <c r="C623" s="18">
        <f>SUM(C622:C622)</f>
        <v>4962.37</v>
      </c>
      <c r="D623" s="19"/>
      <c r="E623" s="62">
        <f>SUM(E622:E622)</f>
        <v>367215.38</v>
      </c>
      <c r="F623" s="62">
        <f t="shared" ref="F623:G623" si="114">SUM(F622:F622)</f>
        <v>25705.076600000004</v>
      </c>
      <c r="G623" s="62">
        <f t="shared" si="114"/>
        <v>392920.45660000003</v>
      </c>
    </row>
    <row r="624" spans="1:10" ht="18" customHeight="1" thickTop="1" x14ac:dyDescent="0.3">
      <c r="A624" s="85"/>
      <c r="B624" s="68"/>
      <c r="C624" s="69"/>
      <c r="D624" s="70"/>
      <c r="E624" s="71"/>
      <c r="F624" s="71"/>
      <c r="G624" s="71"/>
    </row>
    <row r="625" spans="1:9" ht="23.25" x14ac:dyDescent="0.3">
      <c r="A625" s="359" t="s">
        <v>113</v>
      </c>
      <c r="B625" s="359"/>
      <c r="C625" s="359"/>
      <c r="D625" s="359"/>
      <c r="E625" s="359"/>
      <c r="F625" s="359"/>
      <c r="G625" s="359"/>
    </row>
    <row r="626" spans="1:9" ht="18" customHeight="1" x14ac:dyDescent="0.3">
      <c r="A626" s="1" t="s">
        <v>2</v>
      </c>
      <c r="B626" s="2" t="s">
        <v>3</v>
      </c>
      <c r="C626" s="2" t="s">
        <v>4</v>
      </c>
      <c r="D626" s="3" t="s">
        <v>5</v>
      </c>
      <c r="E626" s="2" t="s">
        <v>6</v>
      </c>
      <c r="F626" s="2" t="s">
        <v>7</v>
      </c>
      <c r="G626" s="2" t="s">
        <v>8</v>
      </c>
    </row>
    <row r="627" spans="1:9" ht="18" customHeight="1" x14ac:dyDescent="0.4">
      <c r="A627" s="81" t="s">
        <v>599</v>
      </c>
      <c r="B627" s="171" t="s">
        <v>114</v>
      </c>
      <c r="C627" s="169">
        <v>506.65</v>
      </c>
      <c r="D627" s="142">
        <v>57.5</v>
      </c>
      <c r="E627" s="60">
        <f>+C627*D627</f>
        <v>29132.375</v>
      </c>
      <c r="F627" s="60">
        <f>+E627*7%</f>
        <v>2039.2662500000001</v>
      </c>
      <c r="G627" s="60">
        <f>+E627+F627</f>
        <v>31171.641250000001</v>
      </c>
      <c r="I627">
        <v>6903246</v>
      </c>
    </row>
    <row r="628" spans="1:9" ht="18" customHeight="1" thickBot="1" x14ac:dyDescent="0.35">
      <c r="A628" s="84"/>
      <c r="B628" s="17" t="s">
        <v>15</v>
      </c>
      <c r="C628" s="18">
        <f>SUM(C627)</f>
        <v>506.65</v>
      </c>
      <c r="D628" s="19"/>
      <c r="E628" s="62">
        <f>SUM(E627)</f>
        <v>29132.375</v>
      </c>
      <c r="F628" s="62">
        <f t="shared" ref="F628:G628" si="115">SUM(F627)</f>
        <v>2039.2662500000001</v>
      </c>
      <c r="G628" s="62">
        <f t="shared" si="115"/>
        <v>31171.641250000001</v>
      </c>
    </row>
    <row r="629" spans="1:9" ht="18" customHeight="1" thickTop="1" x14ac:dyDescent="0.3">
      <c r="A629" s="85"/>
      <c r="B629" s="68"/>
      <c r="C629" s="69"/>
      <c r="D629" s="70"/>
      <c r="E629" s="71"/>
      <c r="F629" s="71"/>
      <c r="G629" s="71"/>
    </row>
    <row r="630" spans="1:9" ht="23.25" x14ac:dyDescent="0.3">
      <c r="A630" s="359" t="s">
        <v>119</v>
      </c>
      <c r="B630" s="359"/>
      <c r="C630" s="359"/>
      <c r="D630" s="359"/>
      <c r="E630" s="359"/>
      <c r="F630" s="359"/>
      <c r="G630" s="359"/>
    </row>
    <row r="631" spans="1:9" ht="18" customHeight="1" x14ac:dyDescent="0.3">
      <c r="A631" s="1" t="s">
        <v>2</v>
      </c>
      <c r="B631" s="2" t="s">
        <v>3</v>
      </c>
      <c r="C631" s="2" t="s">
        <v>108</v>
      </c>
      <c r="D631" s="3" t="s">
        <v>5</v>
      </c>
      <c r="E631" s="2" t="s">
        <v>6</v>
      </c>
      <c r="F631" s="2" t="s">
        <v>7</v>
      </c>
      <c r="G631" s="2" t="s">
        <v>8</v>
      </c>
    </row>
    <row r="632" spans="1:9" ht="18" customHeight="1" x14ac:dyDescent="0.4">
      <c r="A632" s="81" t="s">
        <v>610</v>
      </c>
      <c r="B632" s="171" t="s">
        <v>135</v>
      </c>
      <c r="C632" s="169">
        <v>4701.8</v>
      </c>
      <c r="D632" s="142">
        <v>48</v>
      </c>
      <c r="E632" s="60">
        <f>+C632*D632</f>
        <v>225686.40000000002</v>
      </c>
      <c r="F632" s="60">
        <f>+E632*7%</f>
        <v>15798.048000000003</v>
      </c>
      <c r="G632" s="60">
        <f>+E632+F632</f>
        <v>241484.44800000003</v>
      </c>
      <c r="I632">
        <v>6903354</v>
      </c>
    </row>
    <row r="633" spans="1:9" ht="18" customHeight="1" thickBot="1" x14ac:dyDescent="0.35">
      <c r="A633" s="84"/>
      <c r="B633" s="17" t="s">
        <v>15</v>
      </c>
      <c r="C633" s="18">
        <f>SUM(C632:C632)</f>
        <v>4701.8</v>
      </c>
      <c r="D633" s="19"/>
      <c r="E633" s="62">
        <f>SUM(E632:E632)</f>
        <v>225686.40000000002</v>
      </c>
      <c r="F633" s="62">
        <f t="shared" ref="F633:G633" si="116">SUM(F632:F632)</f>
        <v>15798.048000000003</v>
      </c>
      <c r="G633" s="62">
        <f t="shared" si="116"/>
        <v>241484.44800000003</v>
      </c>
    </row>
    <row r="634" spans="1:9" ht="18" customHeight="1" thickTop="1" x14ac:dyDescent="0.3">
      <c r="A634" s="85"/>
      <c r="B634" s="68"/>
      <c r="C634" s="69"/>
      <c r="D634" s="70"/>
      <c r="E634" s="71"/>
      <c r="F634" s="71"/>
      <c r="G634" s="71"/>
    </row>
    <row r="635" spans="1:9" ht="23.25" x14ac:dyDescent="0.3">
      <c r="A635" s="359" t="s">
        <v>120</v>
      </c>
      <c r="B635" s="359"/>
      <c r="C635" s="359"/>
      <c r="D635" s="359"/>
      <c r="E635" s="359"/>
      <c r="F635" s="359"/>
      <c r="G635" s="359"/>
    </row>
    <row r="636" spans="1:9" ht="18" customHeight="1" x14ac:dyDescent="0.3">
      <c r="A636" s="1" t="s">
        <v>2</v>
      </c>
      <c r="B636" s="2" t="s">
        <v>3</v>
      </c>
      <c r="C636" s="2" t="s">
        <v>4</v>
      </c>
      <c r="D636" s="3" t="s">
        <v>5</v>
      </c>
      <c r="E636" s="2" t="s">
        <v>6</v>
      </c>
      <c r="F636" s="2" t="s">
        <v>7</v>
      </c>
      <c r="G636" s="2" t="s">
        <v>8</v>
      </c>
    </row>
    <row r="637" spans="1:9" ht="18" customHeight="1" x14ac:dyDescent="0.4">
      <c r="A637" s="81" t="s">
        <v>609</v>
      </c>
      <c r="B637" s="171" t="s">
        <v>683</v>
      </c>
      <c r="C637" s="169">
        <v>1025.6500000000001</v>
      </c>
      <c r="D637" s="142">
        <v>76</v>
      </c>
      <c r="E637" s="60">
        <f>+C637*D637</f>
        <v>77949.400000000009</v>
      </c>
      <c r="F637" s="60">
        <f>+E637*7%</f>
        <v>5456.4580000000014</v>
      </c>
      <c r="G637" s="60">
        <f>+E637+F637</f>
        <v>83405.858000000007</v>
      </c>
      <c r="H637" s="273" t="s">
        <v>392</v>
      </c>
      <c r="I637">
        <v>6903160</v>
      </c>
    </row>
    <row r="638" spans="1:9" ht="18" customHeight="1" thickBot="1" x14ac:dyDescent="0.35">
      <c r="A638" s="84"/>
      <c r="B638" s="17" t="s">
        <v>15</v>
      </c>
      <c r="C638" s="18">
        <f>SUM(C637:C637)</f>
        <v>1025.6500000000001</v>
      </c>
      <c r="D638" s="19"/>
      <c r="E638" s="62">
        <f>SUM(E637:E637)</f>
        <v>77949.400000000009</v>
      </c>
      <c r="F638" s="62">
        <f t="shared" ref="F638:G638" si="117">SUM(F637:F637)</f>
        <v>5456.4580000000014</v>
      </c>
      <c r="G638" s="62">
        <f t="shared" si="117"/>
        <v>83405.858000000007</v>
      </c>
    </row>
    <row r="639" spans="1:9" ht="18" customHeight="1" thickTop="1" x14ac:dyDescent="0.3">
      <c r="A639" s="85"/>
      <c r="B639" s="68"/>
      <c r="C639" s="69"/>
      <c r="D639" s="70"/>
      <c r="E639" s="71"/>
      <c r="F639" s="71"/>
      <c r="G639" s="71"/>
    </row>
    <row r="640" spans="1:9" ht="23.25" x14ac:dyDescent="0.3">
      <c r="A640" s="359" t="s">
        <v>524</v>
      </c>
      <c r="B640" s="359"/>
      <c r="C640" s="359"/>
      <c r="D640" s="359"/>
      <c r="E640" s="359"/>
      <c r="F640" s="359"/>
      <c r="G640" s="359"/>
    </row>
    <row r="641" spans="1:9" ht="18" customHeight="1" x14ac:dyDescent="0.3">
      <c r="A641" s="1" t="s">
        <v>2</v>
      </c>
      <c r="B641" s="2" t="s">
        <v>3</v>
      </c>
      <c r="C641" s="2" t="s">
        <v>4</v>
      </c>
      <c r="D641" s="3" t="s">
        <v>5</v>
      </c>
      <c r="E641" s="2" t="s">
        <v>6</v>
      </c>
      <c r="F641" s="2" t="s">
        <v>7</v>
      </c>
      <c r="G641" s="2" t="s">
        <v>8</v>
      </c>
    </row>
    <row r="642" spans="1:9" ht="18" customHeight="1" x14ac:dyDescent="0.4">
      <c r="A642" s="81" t="s">
        <v>602</v>
      </c>
      <c r="B642" s="171" t="s">
        <v>644</v>
      </c>
      <c r="C642" s="169">
        <v>712.6</v>
      </c>
      <c r="D642" s="142">
        <v>55</v>
      </c>
      <c r="E642" s="60">
        <f>+C642*D642</f>
        <v>39193</v>
      </c>
      <c r="F642" s="60">
        <f>+E642*7%</f>
        <v>2743.51</v>
      </c>
      <c r="G642" s="60">
        <f>+E642+F642</f>
        <v>41936.51</v>
      </c>
      <c r="I642">
        <v>6903315</v>
      </c>
    </row>
    <row r="643" spans="1:9" ht="18" customHeight="1" thickBot="1" x14ac:dyDescent="0.35">
      <c r="A643" s="84"/>
      <c r="B643" s="17" t="s">
        <v>15</v>
      </c>
      <c r="C643" s="18">
        <f>SUM(C642)</f>
        <v>712.6</v>
      </c>
      <c r="D643" s="19"/>
      <c r="E643" s="62">
        <f>SUM(E642)</f>
        <v>39193</v>
      </c>
      <c r="F643" s="62">
        <f t="shared" ref="F643:G643" si="118">SUM(F642)</f>
        <v>2743.51</v>
      </c>
      <c r="G643" s="62">
        <f t="shared" si="118"/>
        <v>41936.51</v>
      </c>
    </row>
    <row r="644" spans="1:9" ht="18" customHeight="1" thickTop="1" x14ac:dyDescent="0.3">
      <c r="A644" s="85"/>
      <c r="B644" s="68"/>
      <c r="C644" s="69"/>
      <c r="D644" s="70"/>
      <c r="E644" s="71"/>
      <c r="F644" s="71"/>
      <c r="G644" s="71"/>
    </row>
    <row r="645" spans="1:9" ht="23.25" x14ac:dyDescent="0.3">
      <c r="A645" s="359" t="s">
        <v>528</v>
      </c>
      <c r="B645" s="359"/>
      <c r="C645" s="359"/>
      <c r="D645" s="359"/>
      <c r="E645" s="359"/>
      <c r="F645" s="359"/>
      <c r="G645" s="359"/>
    </row>
    <row r="646" spans="1:9" ht="18" customHeight="1" x14ac:dyDescent="0.3">
      <c r="A646" s="1" t="s">
        <v>2</v>
      </c>
      <c r="B646" s="2" t="s">
        <v>3</v>
      </c>
      <c r="C646" s="2" t="s">
        <v>76</v>
      </c>
      <c r="D646" s="3" t="s">
        <v>5</v>
      </c>
      <c r="E646" s="2" t="s">
        <v>6</v>
      </c>
      <c r="F646" s="2" t="s">
        <v>7</v>
      </c>
      <c r="G646" s="2" t="s">
        <v>8</v>
      </c>
    </row>
    <row r="647" spans="1:9" ht="18" customHeight="1" x14ac:dyDescent="0.4">
      <c r="A647" s="81" t="s">
        <v>602</v>
      </c>
      <c r="B647" s="171" t="s">
        <v>529</v>
      </c>
      <c r="C647" s="169">
        <v>80</v>
      </c>
      <c r="D647" s="142">
        <v>242</v>
      </c>
      <c r="E647" s="60">
        <f>+C647*D647</f>
        <v>19360</v>
      </c>
      <c r="F647" s="60">
        <f>+E647*7%</f>
        <v>1355.2</v>
      </c>
      <c r="G647" s="60">
        <f>+E647+F647</f>
        <v>20715.2</v>
      </c>
      <c r="I647">
        <v>6903318</v>
      </c>
    </row>
    <row r="648" spans="1:9" ht="18" customHeight="1" thickBot="1" x14ac:dyDescent="0.35">
      <c r="A648" s="84"/>
      <c r="B648" s="17" t="s">
        <v>15</v>
      </c>
      <c r="C648" s="18">
        <f>SUM(C647:C647)</f>
        <v>80</v>
      </c>
      <c r="D648" s="19"/>
      <c r="E648" s="62">
        <f>SUM(E647:E647)</f>
        <v>19360</v>
      </c>
      <c r="F648" s="62">
        <f t="shared" ref="F648:G648" si="119">SUM(F647:F647)</f>
        <v>1355.2</v>
      </c>
      <c r="G648" s="62">
        <f t="shared" si="119"/>
        <v>20715.2</v>
      </c>
    </row>
    <row r="649" spans="1:9" ht="18" customHeight="1" thickTop="1" x14ac:dyDescent="0.3">
      <c r="A649" s="85"/>
      <c r="B649" s="68"/>
      <c r="C649" s="69"/>
      <c r="D649" s="70"/>
      <c r="E649" s="71"/>
      <c r="F649" s="71"/>
      <c r="G649" s="71"/>
    </row>
    <row r="650" spans="1:9" s="30" customFormat="1" ht="12" customHeight="1" thickBot="1" x14ac:dyDescent="0.55000000000000004">
      <c r="A650" s="21"/>
      <c r="B650" s="147" t="s">
        <v>562</v>
      </c>
      <c r="C650" s="148">
        <f>+C648</f>
        <v>80</v>
      </c>
      <c r="D650" s="149">
        <v>3.94</v>
      </c>
      <c r="E650" s="188">
        <f>+C650*D650</f>
        <v>315.2</v>
      </c>
      <c r="F650" s="23"/>
      <c r="G650" s="23"/>
    </row>
    <row r="651" spans="1:9" s="30" customFormat="1" ht="18.75" customHeight="1" thickTop="1" x14ac:dyDescent="0.5">
      <c r="A651" s="85"/>
      <c r="B651" s="68"/>
      <c r="C651" s="69"/>
      <c r="D651" s="70"/>
      <c r="E651" s="71"/>
      <c r="F651" s="71"/>
      <c r="G651" s="71"/>
    </row>
    <row r="652" spans="1:9" ht="23.25" x14ac:dyDescent="0.3">
      <c r="A652" s="359" t="s">
        <v>532</v>
      </c>
      <c r="B652" s="359"/>
      <c r="C652" s="359"/>
      <c r="D652" s="359"/>
      <c r="E652" s="359"/>
      <c r="F652" s="359"/>
      <c r="G652" s="359"/>
    </row>
    <row r="653" spans="1:9" ht="18" customHeight="1" x14ac:dyDescent="0.3">
      <c r="A653" s="1" t="s">
        <v>2</v>
      </c>
      <c r="B653" s="2" t="s">
        <v>3</v>
      </c>
      <c r="C653" s="2" t="s">
        <v>4</v>
      </c>
      <c r="D653" s="3" t="s">
        <v>5</v>
      </c>
      <c r="E653" s="2" t="s">
        <v>6</v>
      </c>
      <c r="F653" s="2" t="s">
        <v>7</v>
      </c>
      <c r="G653" s="2" t="s">
        <v>8</v>
      </c>
    </row>
    <row r="654" spans="1:9" ht="18" customHeight="1" x14ac:dyDescent="0.4">
      <c r="A654" s="81" t="s">
        <v>593</v>
      </c>
      <c r="B654" s="171" t="s">
        <v>533</v>
      </c>
      <c r="C654" s="169">
        <v>2022.1</v>
      </c>
      <c r="D654" s="142">
        <v>57</v>
      </c>
      <c r="E654" s="60">
        <f>+C654*D654</f>
        <v>115259.7</v>
      </c>
      <c r="F654" s="60">
        <f>+E654*7%</f>
        <v>8068.179000000001</v>
      </c>
      <c r="G654" s="60">
        <f>+E654+F654</f>
        <v>123327.879</v>
      </c>
      <c r="I654">
        <v>6903178</v>
      </c>
    </row>
    <row r="655" spans="1:9" ht="18" customHeight="1" x14ac:dyDescent="0.4">
      <c r="A655" s="81" t="s">
        <v>610</v>
      </c>
      <c r="B655" s="171" t="s">
        <v>533</v>
      </c>
      <c r="C655" s="169">
        <v>1009.8</v>
      </c>
      <c r="D655" s="142">
        <v>57</v>
      </c>
      <c r="E655" s="60">
        <f>+C655*D655</f>
        <v>57558.6</v>
      </c>
      <c r="F655" s="60">
        <f>+E655*7%</f>
        <v>4029.1020000000003</v>
      </c>
      <c r="G655" s="60">
        <f>+E655+F655</f>
        <v>61587.701999999997</v>
      </c>
      <c r="I655">
        <v>6903351</v>
      </c>
    </row>
    <row r="656" spans="1:9" ht="18" customHeight="1" x14ac:dyDescent="0.4">
      <c r="A656" s="81" t="s">
        <v>610</v>
      </c>
      <c r="B656" s="171" t="s">
        <v>534</v>
      </c>
      <c r="C656" s="169">
        <v>495.75</v>
      </c>
      <c r="D656" s="142">
        <v>57</v>
      </c>
      <c r="E656" s="60">
        <f t="shared" ref="E656:E657" si="120">+C656*D656</f>
        <v>28257.75</v>
      </c>
      <c r="F656" s="60">
        <f t="shared" ref="F656:F657" si="121">+E656*7%</f>
        <v>1978.0425000000002</v>
      </c>
      <c r="G656" s="60">
        <f t="shared" ref="G656:G657" si="122">+E656+F656</f>
        <v>30235.7925</v>
      </c>
      <c r="I656">
        <v>6903351</v>
      </c>
    </row>
    <row r="657" spans="1:9" ht="18" customHeight="1" x14ac:dyDescent="0.4">
      <c r="A657" s="81" t="s">
        <v>593</v>
      </c>
      <c r="B657" s="171" t="s">
        <v>535</v>
      </c>
      <c r="C657" s="169">
        <v>460.3</v>
      </c>
      <c r="D657" s="142">
        <v>57</v>
      </c>
      <c r="E657" s="60">
        <f t="shared" si="120"/>
        <v>26237.100000000002</v>
      </c>
      <c r="F657" s="60">
        <f t="shared" si="121"/>
        <v>1836.5970000000004</v>
      </c>
      <c r="G657" s="60">
        <f t="shared" si="122"/>
        <v>28073.697000000004</v>
      </c>
      <c r="I657">
        <v>6903178</v>
      </c>
    </row>
    <row r="658" spans="1:9" ht="18" customHeight="1" thickBot="1" x14ac:dyDescent="0.35">
      <c r="A658" s="84"/>
      <c r="B658" s="17" t="s">
        <v>15</v>
      </c>
      <c r="C658" s="18">
        <f>SUM(C654:C657)</f>
        <v>3987.95</v>
      </c>
      <c r="D658" s="19"/>
      <c r="E658" s="62">
        <f>SUM(E654:E657)</f>
        <v>227313.15</v>
      </c>
      <c r="F658" s="62">
        <f t="shared" ref="F658:G658" si="123">SUM(F654:F657)</f>
        <v>15911.9205</v>
      </c>
      <c r="G658" s="62">
        <f t="shared" si="123"/>
        <v>243225.07050000003</v>
      </c>
    </row>
    <row r="659" spans="1:9" ht="18" customHeight="1" thickTop="1" x14ac:dyDescent="0.3">
      <c r="A659" s="85"/>
      <c r="B659" s="68"/>
      <c r="C659" s="69"/>
      <c r="D659" s="70"/>
      <c r="E659" s="71"/>
      <c r="F659" s="71"/>
      <c r="G659" s="71"/>
    </row>
    <row r="660" spans="1:9" ht="23.25" x14ac:dyDescent="0.3">
      <c r="A660" s="359" t="s">
        <v>131</v>
      </c>
      <c r="B660" s="359"/>
      <c r="C660" s="359"/>
      <c r="D660" s="359"/>
      <c r="E660" s="359"/>
      <c r="F660" s="359"/>
      <c r="G660" s="359"/>
    </row>
    <row r="661" spans="1:9" ht="18" customHeight="1" x14ac:dyDescent="0.3">
      <c r="A661" s="1" t="s">
        <v>2</v>
      </c>
      <c r="B661" s="2" t="s">
        <v>3</v>
      </c>
      <c r="C661" s="2" t="s">
        <v>4</v>
      </c>
      <c r="D661" s="3" t="s">
        <v>5</v>
      </c>
      <c r="E661" s="2" t="s">
        <v>6</v>
      </c>
      <c r="F661" s="2" t="s">
        <v>7</v>
      </c>
      <c r="G661" s="2" t="s">
        <v>8</v>
      </c>
    </row>
    <row r="662" spans="1:9" ht="18" customHeight="1" x14ac:dyDescent="0.4">
      <c r="A662" s="81" t="s">
        <v>602</v>
      </c>
      <c r="B662" s="171" t="s">
        <v>536</v>
      </c>
      <c r="C662" s="169">
        <v>1046.5999999999999</v>
      </c>
      <c r="D662" s="142">
        <v>52</v>
      </c>
      <c r="E662" s="60">
        <f>+C662*D662</f>
        <v>54423.199999999997</v>
      </c>
      <c r="F662" s="60">
        <f>+E662*7%</f>
        <v>3809.6240000000003</v>
      </c>
      <c r="G662" s="60">
        <f>+E662+F662</f>
        <v>58232.824000000001</v>
      </c>
      <c r="I662">
        <v>6903305</v>
      </c>
    </row>
    <row r="663" spans="1:9" ht="18" customHeight="1" x14ac:dyDescent="0.4">
      <c r="A663" s="81" t="s">
        <v>602</v>
      </c>
      <c r="B663" s="171" t="s">
        <v>132</v>
      </c>
      <c r="C663" s="168">
        <v>3071.9</v>
      </c>
      <c r="D663" s="83">
        <v>52</v>
      </c>
      <c r="E663" s="60">
        <f>+C663*D663</f>
        <v>159738.80000000002</v>
      </c>
      <c r="F663" s="60">
        <f>+E663*7%</f>
        <v>11181.716000000002</v>
      </c>
      <c r="G663" s="60">
        <f>+E663+F663</f>
        <v>170920.51600000003</v>
      </c>
      <c r="I663">
        <v>6903305</v>
      </c>
    </row>
    <row r="664" spans="1:9" ht="18" customHeight="1" thickBot="1" x14ac:dyDescent="0.35">
      <c r="A664" s="84"/>
      <c r="B664" s="17" t="s">
        <v>15</v>
      </c>
      <c r="C664" s="18">
        <f>SUM(C662:C663)</f>
        <v>4118.5</v>
      </c>
      <c r="D664" s="19"/>
      <c r="E664" s="62">
        <f>SUM(E662:E663)</f>
        <v>214162</v>
      </c>
      <c r="F664" s="62">
        <f t="shared" ref="F664:G664" si="124">SUM(F662:F663)</f>
        <v>14991.340000000002</v>
      </c>
      <c r="G664" s="62">
        <f t="shared" si="124"/>
        <v>229153.34000000003</v>
      </c>
    </row>
    <row r="665" spans="1:9" ht="18" customHeight="1" thickTop="1" x14ac:dyDescent="0.3">
      <c r="A665" s="85"/>
      <c r="B665" s="68"/>
      <c r="C665" s="69"/>
      <c r="D665" s="70"/>
      <c r="E665" s="71"/>
      <c r="F665" s="71"/>
      <c r="G665" s="71"/>
    </row>
    <row r="666" spans="1:9" ht="23.25" x14ac:dyDescent="0.3">
      <c r="A666" s="359" t="s">
        <v>540</v>
      </c>
      <c r="B666" s="359"/>
      <c r="C666" s="359"/>
      <c r="D666" s="359"/>
      <c r="E666" s="359"/>
      <c r="F666" s="359"/>
      <c r="G666" s="359"/>
    </row>
    <row r="667" spans="1:9" ht="18" customHeight="1" x14ac:dyDescent="0.3">
      <c r="A667" s="1" t="s">
        <v>2</v>
      </c>
      <c r="B667" s="2" t="s">
        <v>3</v>
      </c>
      <c r="C667" s="2" t="s">
        <v>76</v>
      </c>
      <c r="D667" s="3" t="s">
        <v>5</v>
      </c>
      <c r="E667" s="2" t="s">
        <v>6</v>
      </c>
      <c r="F667" s="2" t="s">
        <v>7</v>
      </c>
      <c r="G667" s="2" t="s">
        <v>8</v>
      </c>
    </row>
    <row r="668" spans="1:9" ht="18" customHeight="1" x14ac:dyDescent="0.4">
      <c r="A668" s="81" t="s">
        <v>602</v>
      </c>
      <c r="B668" s="171" t="s">
        <v>134</v>
      </c>
      <c r="C668" s="169">
        <v>120</v>
      </c>
      <c r="D668" s="142">
        <v>124</v>
      </c>
      <c r="E668" s="60">
        <f>+C668*D668</f>
        <v>14880</v>
      </c>
      <c r="F668" s="60">
        <f>+E668*7%</f>
        <v>1041.6000000000001</v>
      </c>
      <c r="G668" s="60">
        <f>+E668+F668</f>
        <v>15921.6</v>
      </c>
      <c r="I668">
        <v>6903320</v>
      </c>
    </row>
    <row r="669" spans="1:9" ht="18" customHeight="1" thickBot="1" x14ac:dyDescent="0.35">
      <c r="A669" s="84"/>
      <c r="B669" s="17" t="s">
        <v>15</v>
      </c>
      <c r="C669" s="18">
        <f>SUM(C668)</f>
        <v>120</v>
      </c>
      <c r="D669" s="19"/>
      <c r="E669" s="62">
        <f>SUM(E668)</f>
        <v>14880</v>
      </c>
      <c r="F669" s="62">
        <f t="shared" ref="F669:G669" si="125">SUM(F668)</f>
        <v>1041.6000000000001</v>
      </c>
      <c r="G669" s="62">
        <f t="shared" si="125"/>
        <v>15921.6</v>
      </c>
    </row>
    <row r="670" spans="1:9" ht="18" customHeight="1" thickTop="1" x14ac:dyDescent="0.3">
      <c r="A670" s="85"/>
      <c r="B670" s="68"/>
      <c r="C670" s="69"/>
      <c r="D670" s="70"/>
      <c r="E670" s="71"/>
      <c r="F670" s="71"/>
      <c r="G670" s="71"/>
    </row>
    <row r="671" spans="1:9" s="30" customFormat="1" ht="12" customHeight="1" thickBot="1" x14ac:dyDescent="0.55000000000000004">
      <c r="A671" s="21"/>
      <c r="B671" s="147" t="s">
        <v>89</v>
      </c>
      <c r="C671" s="148">
        <f>+C669</f>
        <v>120</v>
      </c>
      <c r="D671" s="149">
        <v>2.0699999999999998</v>
      </c>
      <c r="E671" s="188">
        <f>+C671*D671</f>
        <v>248.39999999999998</v>
      </c>
      <c r="F671" s="23"/>
      <c r="G671" s="23"/>
    </row>
    <row r="672" spans="1:9" s="30" customFormat="1" ht="18.75" customHeight="1" thickTop="1" x14ac:dyDescent="0.5">
      <c r="A672" s="85"/>
      <c r="B672" s="68"/>
      <c r="C672" s="69"/>
      <c r="D672" s="70"/>
      <c r="E672" s="71"/>
      <c r="F672" s="71"/>
      <c r="G672" s="71"/>
    </row>
    <row r="673" spans="1:9" ht="26.25" x14ac:dyDescent="0.3">
      <c r="A673" s="357" t="s">
        <v>310</v>
      </c>
      <c r="B673" s="357"/>
      <c r="C673" s="357"/>
      <c r="D673" s="357"/>
      <c r="E673" s="357"/>
      <c r="F673" s="357"/>
      <c r="G673" s="357"/>
    </row>
    <row r="674" spans="1:9" ht="18" customHeight="1" x14ac:dyDescent="0.3">
      <c r="A674" s="1" t="s">
        <v>2</v>
      </c>
      <c r="B674" s="2" t="s">
        <v>3</v>
      </c>
      <c r="C674" s="2" t="s">
        <v>4</v>
      </c>
      <c r="D674" s="3" t="s">
        <v>5</v>
      </c>
      <c r="E674" s="2" t="s">
        <v>6</v>
      </c>
      <c r="F674" s="2" t="s">
        <v>7</v>
      </c>
      <c r="G674" s="2" t="s">
        <v>8</v>
      </c>
    </row>
    <row r="675" spans="1:9" ht="18" customHeight="1" x14ac:dyDescent="0.4">
      <c r="A675" s="81" t="s">
        <v>610</v>
      </c>
      <c r="B675" s="171" t="s">
        <v>645</v>
      </c>
      <c r="C675" s="169">
        <v>455</v>
      </c>
      <c r="D675" s="142">
        <v>77</v>
      </c>
      <c r="E675" s="60">
        <f>+C675*D675</f>
        <v>35035</v>
      </c>
      <c r="F675" s="60">
        <f>+E675*7%</f>
        <v>2452.4500000000003</v>
      </c>
      <c r="G675" s="60">
        <f>+E675+F675</f>
        <v>37487.449999999997</v>
      </c>
      <c r="H675" s="273" t="s">
        <v>392</v>
      </c>
      <c r="I675">
        <v>6903352</v>
      </c>
    </row>
    <row r="676" spans="1:9" ht="18" customHeight="1" thickBot="1" x14ac:dyDescent="0.35">
      <c r="A676" s="84"/>
      <c r="B676" s="17" t="s">
        <v>15</v>
      </c>
      <c r="C676" s="18">
        <f>SUM(C675)</f>
        <v>455</v>
      </c>
      <c r="D676" s="19"/>
      <c r="E676" s="62">
        <f>SUM(E675)</f>
        <v>35035</v>
      </c>
      <c r="F676" s="62">
        <f t="shared" ref="F676:G676" si="126">SUM(F675)</f>
        <v>2452.4500000000003</v>
      </c>
      <c r="G676" s="62">
        <f t="shared" si="126"/>
        <v>37487.449999999997</v>
      </c>
    </row>
    <row r="677" spans="1:9" ht="18" customHeight="1" thickTop="1" x14ac:dyDescent="0.3">
      <c r="A677" s="85"/>
      <c r="B677" s="68"/>
      <c r="C677" s="69"/>
      <c r="D677" s="70"/>
      <c r="E677" s="71"/>
      <c r="F677" s="71"/>
      <c r="G677" s="71"/>
    </row>
    <row r="678" spans="1:9" ht="26.25" x14ac:dyDescent="0.3">
      <c r="A678" s="357" t="s">
        <v>145</v>
      </c>
      <c r="B678" s="357"/>
      <c r="C678" s="357"/>
      <c r="D678" s="357"/>
      <c r="E678" s="357"/>
      <c r="F678" s="357"/>
      <c r="G678" s="357"/>
    </row>
    <row r="679" spans="1:9" ht="18" customHeight="1" x14ac:dyDescent="0.3">
      <c r="A679" s="1" t="s">
        <v>2</v>
      </c>
      <c r="B679" s="2" t="s">
        <v>3</v>
      </c>
      <c r="C679" s="2" t="s">
        <v>4</v>
      </c>
      <c r="D679" s="3" t="s">
        <v>5</v>
      </c>
      <c r="E679" s="2" t="s">
        <v>6</v>
      </c>
      <c r="F679" s="2" t="s">
        <v>7</v>
      </c>
      <c r="G679" s="2" t="s">
        <v>8</v>
      </c>
    </row>
    <row r="680" spans="1:9" ht="18" customHeight="1" x14ac:dyDescent="0.4">
      <c r="A680" s="81" t="s">
        <v>610</v>
      </c>
      <c r="B680" s="171" t="s">
        <v>144</v>
      </c>
      <c r="C680" s="169">
        <v>297.39999999999998</v>
      </c>
      <c r="D680" s="142">
        <v>68</v>
      </c>
      <c r="E680" s="60">
        <f>+C680*D680</f>
        <v>20223.199999999997</v>
      </c>
      <c r="F680" s="60">
        <f>+E680*7%</f>
        <v>1415.624</v>
      </c>
      <c r="G680" s="60">
        <f>+E680+F680</f>
        <v>21638.823999999997</v>
      </c>
      <c r="I680">
        <v>6903347</v>
      </c>
    </row>
    <row r="681" spans="1:9" ht="18" customHeight="1" thickBot="1" x14ac:dyDescent="0.35">
      <c r="A681" s="84"/>
      <c r="B681" s="17" t="s">
        <v>15</v>
      </c>
      <c r="C681" s="18">
        <f>SUM(C680:C680)</f>
        <v>297.39999999999998</v>
      </c>
      <c r="D681" s="19"/>
      <c r="E681" s="62">
        <f>SUM(E680:E680)</f>
        <v>20223.199999999997</v>
      </c>
      <c r="F681" s="62">
        <f t="shared" ref="F681:G681" si="127">SUM(F680:F680)</f>
        <v>1415.624</v>
      </c>
      <c r="G681" s="62">
        <f t="shared" si="127"/>
        <v>21638.823999999997</v>
      </c>
    </row>
    <row r="682" spans="1:9" ht="45" customHeight="1" thickTop="1" x14ac:dyDescent="0.3">
      <c r="A682" s="85"/>
      <c r="B682" s="68"/>
      <c r="C682" s="69"/>
      <c r="D682" s="70"/>
      <c r="E682" s="71"/>
      <c r="F682" s="71"/>
      <c r="G682" s="71"/>
    </row>
    <row r="683" spans="1:9" ht="26.25" x14ac:dyDescent="0.3">
      <c r="A683" s="357" t="s">
        <v>150</v>
      </c>
      <c r="B683" s="357"/>
      <c r="C683" s="357"/>
      <c r="D683" s="357"/>
      <c r="E683" s="357"/>
      <c r="F683" s="357"/>
      <c r="G683" s="357"/>
    </row>
    <row r="684" spans="1:9" ht="18" customHeight="1" x14ac:dyDescent="0.3">
      <c r="A684" s="1" t="s">
        <v>2</v>
      </c>
      <c r="B684" s="2" t="s">
        <v>3</v>
      </c>
      <c r="C684" s="2" t="s">
        <v>4</v>
      </c>
      <c r="D684" s="3" t="s">
        <v>5</v>
      </c>
      <c r="E684" s="2" t="s">
        <v>6</v>
      </c>
      <c r="F684" s="2" t="s">
        <v>7</v>
      </c>
      <c r="G684" s="2" t="s">
        <v>8</v>
      </c>
    </row>
    <row r="685" spans="1:9" ht="18" customHeight="1" x14ac:dyDescent="0.4">
      <c r="A685" s="81" t="s">
        <v>591</v>
      </c>
      <c r="B685" s="171" t="s">
        <v>151</v>
      </c>
      <c r="C685" s="169">
        <v>987</v>
      </c>
      <c r="D685" s="142">
        <v>75</v>
      </c>
      <c r="E685" s="60">
        <f>+C685*D685</f>
        <v>74025</v>
      </c>
      <c r="F685" s="60">
        <f>+E685*7%</f>
        <v>5181.7500000000009</v>
      </c>
      <c r="G685" s="60">
        <f>+E685+F685</f>
        <v>79206.75</v>
      </c>
      <c r="I685">
        <v>6903124</v>
      </c>
    </row>
    <row r="686" spans="1:9" ht="18" customHeight="1" x14ac:dyDescent="0.4">
      <c r="A686" s="81" t="s">
        <v>602</v>
      </c>
      <c r="B686" s="171" t="s">
        <v>151</v>
      </c>
      <c r="C686" s="169">
        <v>996.75</v>
      </c>
      <c r="D686" s="142">
        <v>75</v>
      </c>
      <c r="E686" s="60">
        <f>+C686*D686</f>
        <v>74756.25</v>
      </c>
      <c r="F686" s="60">
        <f>+E686*7%</f>
        <v>5232.9375000000009</v>
      </c>
      <c r="G686" s="60">
        <f>+E686+F686</f>
        <v>79989.1875</v>
      </c>
      <c r="I686">
        <v>6903317</v>
      </c>
    </row>
    <row r="687" spans="1:9" ht="18" customHeight="1" thickBot="1" x14ac:dyDescent="0.35">
      <c r="A687" s="84"/>
      <c r="B687" s="17" t="s">
        <v>15</v>
      </c>
      <c r="C687" s="18">
        <f>SUM(C685:C686)</f>
        <v>1983.75</v>
      </c>
      <c r="D687" s="19"/>
      <c r="E687" s="62">
        <f>SUM(E685:E686)</f>
        <v>148781.25</v>
      </c>
      <c r="F687" s="62">
        <f t="shared" ref="F687:G687" si="128">SUM(F685:F686)</f>
        <v>10414.687500000002</v>
      </c>
      <c r="G687" s="62">
        <f t="shared" si="128"/>
        <v>159195.9375</v>
      </c>
    </row>
    <row r="688" spans="1:9" ht="18" customHeight="1" thickTop="1" x14ac:dyDescent="0.3">
      <c r="A688" s="85"/>
      <c r="B688" s="68"/>
      <c r="C688" s="69"/>
      <c r="D688" s="70"/>
      <c r="E688" s="71"/>
      <c r="F688" s="71"/>
      <c r="G688" s="71"/>
    </row>
    <row r="689" spans="1:9" ht="26.25" x14ac:dyDescent="0.3">
      <c r="A689" s="357" t="s">
        <v>548</v>
      </c>
      <c r="B689" s="357"/>
      <c r="C689" s="357"/>
      <c r="D689" s="357"/>
      <c r="E689" s="357"/>
      <c r="F689" s="357"/>
      <c r="G689" s="357"/>
    </row>
    <row r="690" spans="1:9" ht="18" customHeight="1" x14ac:dyDescent="0.3">
      <c r="A690" s="1" t="s">
        <v>2</v>
      </c>
      <c r="B690" s="2" t="s">
        <v>3</v>
      </c>
      <c r="C690" s="2" t="s">
        <v>4</v>
      </c>
      <c r="D690" s="3" t="s">
        <v>5</v>
      </c>
      <c r="E690" s="2" t="s">
        <v>6</v>
      </c>
      <c r="F690" s="2" t="s">
        <v>7</v>
      </c>
      <c r="G690" s="2" t="s">
        <v>8</v>
      </c>
    </row>
    <row r="691" spans="1:9" ht="18" customHeight="1" x14ac:dyDescent="0.4">
      <c r="A691" s="81" t="s">
        <v>590</v>
      </c>
      <c r="B691" s="171" t="s">
        <v>549</v>
      </c>
      <c r="C691" s="169">
        <v>812.6</v>
      </c>
      <c r="D691" s="142">
        <v>48.5</v>
      </c>
      <c r="E691" s="60">
        <f>+C691*D691</f>
        <v>39411.1</v>
      </c>
      <c r="F691" s="60">
        <f>+E691*7%</f>
        <v>2758.777</v>
      </c>
      <c r="G691" s="60">
        <f>+E691+F691</f>
        <v>42169.877</v>
      </c>
      <c r="I691">
        <v>6903083</v>
      </c>
    </row>
    <row r="692" spans="1:9" ht="18" customHeight="1" thickBot="1" x14ac:dyDescent="0.35">
      <c r="A692" s="84"/>
      <c r="B692" s="17" t="s">
        <v>15</v>
      </c>
      <c r="C692" s="18">
        <f>SUM(C691:C691)</f>
        <v>812.6</v>
      </c>
      <c r="D692" s="19"/>
      <c r="E692" s="62">
        <f>SUM(E691:E691)</f>
        <v>39411.1</v>
      </c>
      <c r="F692" s="62">
        <f t="shared" ref="F692:G692" si="129">SUM(F691:F691)</f>
        <v>2758.777</v>
      </c>
      <c r="G692" s="62">
        <f t="shared" si="129"/>
        <v>42169.877</v>
      </c>
    </row>
    <row r="693" spans="1:9" ht="18" customHeight="1" thickTop="1" x14ac:dyDescent="0.3">
      <c r="A693" s="85"/>
      <c r="B693" s="68"/>
      <c r="C693" s="69"/>
      <c r="D693" s="70"/>
      <c r="E693" s="71"/>
      <c r="F693" s="71"/>
      <c r="G693" s="71"/>
    </row>
    <row r="694" spans="1:9" ht="26.25" x14ac:dyDescent="0.3">
      <c r="A694" s="357" t="s">
        <v>160</v>
      </c>
      <c r="B694" s="357"/>
      <c r="C694" s="357"/>
      <c r="D694" s="357"/>
      <c r="E694" s="357"/>
      <c r="F694" s="357"/>
      <c r="G694" s="357"/>
    </row>
    <row r="695" spans="1:9" ht="18" customHeight="1" x14ac:dyDescent="0.3">
      <c r="A695" s="1" t="s">
        <v>2</v>
      </c>
      <c r="B695" s="2" t="s">
        <v>3</v>
      </c>
      <c r="C695" s="2" t="s">
        <v>86</v>
      </c>
      <c r="D695" s="3" t="s">
        <v>5</v>
      </c>
      <c r="E695" s="2" t="s">
        <v>6</v>
      </c>
      <c r="F695" s="2" t="s">
        <v>7</v>
      </c>
      <c r="G695" s="2" t="s">
        <v>8</v>
      </c>
    </row>
    <row r="696" spans="1:9" ht="18" customHeight="1" x14ac:dyDescent="0.4">
      <c r="A696" s="81" t="s">
        <v>616</v>
      </c>
      <c r="B696" s="171" t="s">
        <v>161</v>
      </c>
      <c r="C696" s="169">
        <v>500</v>
      </c>
      <c r="D696" s="142">
        <v>39</v>
      </c>
      <c r="E696" s="60">
        <f>+C696*D696</f>
        <v>19500</v>
      </c>
      <c r="F696" s="60">
        <f>+E696*7%</f>
        <v>1365.0000000000002</v>
      </c>
      <c r="G696" s="60">
        <f>+E696+F696</f>
        <v>20865</v>
      </c>
      <c r="I696">
        <v>6903100</v>
      </c>
    </row>
    <row r="697" spans="1:9" ht="18" customHeight="1" thickBot="1" x14ac:dyDescent="0.35">
      <c r="A697" s="84"/>
      <c r="B697" s="17" t="s">
        <v>15</v>
      </c>
      <c r="C697" s="18">
        <f>SUM(C696)</f>
        <v>500</v>
      </c>
      <c r="D697" s="19"/>
      <c r="E697" s="62">
        <f>SUM(E696)</f>
        <v>19500</v>
      </c>
      <c r="F697" s="62">
        <f t="shared" ref="F697:G697" si="130">SUM(F696)</f>
        <v>1365.0000000000002</v>
      </c>
      <c r="G697" s="62">
        <f t="shared" si="130"/>
        <v>20865</v>
      </c>
    </row>
    <row r="698" spans="1:9" ht="18" customHeight="1" thickTop="1" x14ac:dyDescent="0.3">
      <c r="A698" s="85"/>
      <c r="B698" s="68"/>
      <c r="C698" s="69"/>
      <c r="D698" s="70"/>
      <c r="E698" s="71"/>
      <c r="F698" s="71"/>
      <c r="G698" s="71"/>
    </row>
    <row r="699" spans="1:9" s="202" customFormat="1" ht="18" customHeight="1" thickBot="1" x14ac:dyDescent="0.45">
      <c r="A699" s="196"/>
      <c r="B699" s="22" t="s">
        <v>313</v>
      </c>
      <c r="C699" s="197">
        <v>0</v>
      </c>
      <c r="D699" s="198">
        <v>0.76</v>
      </c>
      <c r="E699" s="199">
        <f>C699*D699</f>
        <v>0</v>
      </c>
      <c r="F699" s="200">
        <f>SUM(E699:E700)</f>
        <v>251.14999999999998</v>
      </c>
      <c r="G699" s="201"/>
    </row>
    <row r="700" spans="1:9" s="202" customFormat="1" ht="18" customHeight="1" thickTop="1" x14ac:dyDescent="0.4">
      <c r="A700" s="196"/>
      <c r="B700" s="22" t="s">
        <v>314</v>
      </c>
      <c r="C700" s="197">
        <f>C697</f>
        <v>500</v>
      </c>
      <c r="D700" s="198">
        <v>0.50229999999999997</v>
      </c>
      <c r="E700" s="199">
        <f>C700*D700</f>
        <v>251.14999999999998</v>
      </c>
      <c r="F700" s="201"/>
      <c r="G700" s="201"/>
    </row>
    <row r="701" spans="1:9" s="30" customFormat="1" ht="12.75" customHeight="1" x14ac:dyDescent="0.5">
      <c r="A701" s="78"/>
      <c r="B701" s="22"/>
      <c r="C701" s="22"/>
      <c r="D701" s="198"/>
      <c r="E701" s="74"/>
      <c r="F701" s="22"/>
      <c r="G701" s="22"/>
    </row>
    <row r="702" spans="1:9" ht="26.25" x14ac:dyDescent="0.3">
      <c r="A702" s="357" t="s">
        <v>646</v>
      </c>
      <c r="B702" s="357"/>
      <c r="C702" s="357"/>
      <c r="D702" s="357"/>
      <c r="E702" s="357"/>
      <c r="F702" s="357"/>
      <c r="G702" s="357"/>
    </row>
    <row r="703" spans="1:9" ht="18" customHeight="1" x14ac:dyDescent="0.3">
      <c r="A703" s="1" t="s">
        <v>2</v>
      </c>
      <c r="B703" s="2" t="s">
        <v>3</v>
      </c>
      <c r="C703" s="2" t="s">
        <v>4</v>
      </c>
      <c r="D703" s="3" t="s">
        <v>5</v>
      </c>
      <c r="E703" s="2" t="s">
        <v>6</v>
      </c>
      <c r="F703" s="2" t="s">
        <v>7</v>
      </c>
      <c r="G703" s="2" t="s">
        <v>8</v>
      </c>
    </row>
    <row r="704" spans="1:9" ht="18" customHeight="1" x14ac:dyDescent="0.4">
      <c r="A704" s="81" t="s">
        <v>594</v>
      </c>
      <c r="B704" s="171" t="s">
        <v>647</v>
      </c>
      <c r="C704" s="169">
        <v>165.1</v>
      </c>
      <c r="D704" s="142">
        <v>60</v>
      </c>
      <c r="E704" s="60">
        <f>+C704*D704</f>
        <v>9906</v>
      </c>
      <c r="F704" s="60">
        <f>+E704*7%</f>
        <v>693.42000000000007</v>
      </c>
      <c r="G704" s="60">
        <f>+E704+F704</f>
        <v>10599.42</v>
      </c>
      <c r="I704">
        <v>6903196</v>
      </c>
    </row>
    <row r="705" spans="1:9" ht="18" customHeight="1" thickBot="1" x14ac:dyDescent="0.35">
      <c r="A705" s="84"/>
      <c r="B705" s="17" t="s">
        <v>15</v>
      </c>
      <c r="C705" s="18">
        <f>SUM(C704)</f>
        <v>165.1</v>
      </c>
      <c r="D705" s="19"/>
      <c r="E705" s="62">
        <f>SUM(E704:E704)</f>
        <v>9906</v>
      </c>
      <c r="F705" s="62">
        <f>SUM(F704:F704)</f>
        <v>693.42000000000007</v>
      </c>
      <c r="G705" s="62">
        <f>SUM(G704:G704)</f>
        <v>10599.42</v>
      </c>
    </row>
    <row r="706" spans="1:9" ht="18" customHeight="1" thickTop="1" x14ac:dyDescent="0.3">
      <c r="A706" s="85"/>
      <c r="B706" s="68"/>
      <c r="C706" s="69"/>
      <c r="D706" s="70"/>
      <c r="E706" s="71"/>
      <c r="F706" s="71"/>
      <c r="G706" s="71"/>
    </row>
    <row r="707" spans="1:9" ht="26.25" x14ac:dyDescent="0.3">
      <c r="A707" s="357" t="s">
        <v>648</v>
      </c>
      <c r="B707" s="357"/>
      <c r="C707" s="357"/>
      <c r="D707" s="357"/>
      <c r="E707" s="357"/>
      <c r="F707" s="357"/>
      <c r="G707" s="357"/>
    </row>
    <row r="708" spans="1:9" ht="18" customHeight="1" x14ac:dyDescent="0.3">
      <c r="A708" s="1" t="s">
        <v>2</v>
      </c>
      <c r="B708" s="2" t="s">
        <v>3</v>
      </c>
      <c r="C708" s="2" t="s">
        <v>4</v>
      </c>
      <c r="D708" s="3" t="s">
        <v>5</v>
      </c>
      <c r="E708" s="2" t="s">
        <v>6</v>
      </c>
      <c r="F708" s="2" t="s">
        <v>7</v>
      </c>
      <c r="G708" s="2" t="s">
        <v>8</v>
      </c>
    </row>
    <row r="709" spans="1:9" ht="18" customHeight="1" x14ac:dyDescent="0.4">
      <c r="A709" s="81" t="s">
        <v>597</v>
      </c>
      <c r="B709" s="171" t="s">
        <v>89</v>
      </c>
      <c r="C709" s="169">
        <v>60</v>
      </c>
      <c r="D709" s="142">
        <v>120</v>
      </c>
      <c r="E709" s="60">
        <f>+C709*D709</f>
        <v>7200</v>
      </c>
      <c r="F709" s="60">
        <f>+E709*7%</f>
        <v>504.00000000000006</v>
      </c>
      <c r="G709" s="60">
        <f>+E709+F709</f>
        <v>7704</v>
      </c>
      <c r="I709">
        <v>6903220</v>
      </c>
    </row>
    <row r="710" spans="1:9" ht="18" customHeight="1" thickBot="1" x14ac:dyDescent="0.35">
      <c r="A710" s="84"/>
      <c r="B710" s="17" t="s">
        <v>15</v>
      </c>
      <c r="C710" s="18">
        <f>SUM(C709:C709)</f>
        <v>60</v>
      </c>
      <c r="D710" s="19"/>
      <c r="E710" s="62">
        <f>SUM(E709:E709)</f>
        <v>7200</v>
      </c>
      <c r="F710" s="62">
        <f>SUM(F709:F709)</f>
        <v>504.00000000000006</v>
      </c>
      <c r="G710" s="62">
        <f>SUM(G709:G709)</f>
        <v>7704</v>
      </c>
    </row>
    <row r="711" spans="1:9" ht="18" customHeight="1" thickTop="1" x14ac:dyDescent="0.3">
      <c r="A711" s="85"/>
      <c r="B711" s="68"/>
      <c r="C711" s="69"/>
      <c r="D711" s="70"/>
      <c r="E711" s="71"/>
      <c r="F711" s="71"/>
      <c r="G711" s="71"/>
    </row>
    <row r="712" spans="1:9" s="30" customFormat="1" ht="12" customHeight="1" thickBot="1" x14ac:dyDescent="0.55000000000000004">
      <c r="A712" s="21"/>
      <c r="B712" s="147" t="s">
        <v>89</v>
      </c>
      <c r="C712" s="148">
        <f>+C710</f>
        <v>60</v>
      </c>
      <c r="D712" s="149">
        <v>2.0699999999999998</v>
      </c>
      <c r="E712" s="188">
        <f>+C712*D712</f>
        <v>124.19999999999999</v>
      </c>
      <c r="F712" s="23"/>
      <c r="G712" s="23"/>
    </row>
    <row r="713" spans="1:9" s="30" customFormat="1" ht="18.75" customHeight="1" thickTop="1" x14ac:dyDescent="0.5">
      <c r="A713" s="85"/>
      <c r="B713" s="68"/>
      <c r="C713" s="69"/>
      <c r="D713" s="70"/>
      <c r="E713" s="71"/>
      <c r="F713" s="71"/>
      <c r="G713" s="71"/>
    </row>
    <row r="714" spans="1:9" ht="26.25" x14ac:dyDescent="0.3">
      <c r="A714" s="357" t="s">
        <v>177</v>
      </c>
      <c r="B714" s="357"/>
      <c r="C714" s="357"/>
      <c r="D714" s="357"/>
      <c r="E714" s="357"/>
      <c r="F714" s="357"/>
      <c r="G714" s="357"/>
    </row>
    <row r="715" spans="1:9" ht="18" customHeight="1" x14ac:dyDescent="0.3">
      <c r="A715" s="1" t="s">
        <v>2</v>
      </c>
      <c r="B715" s="2" t="s">
        <v>3</v>
      </c>
      <c r="C715" s="2" t="s">
        <v>4</v>
      </c>
      <c r="D715" s="3" t="s">
        <v>5</v>
      </c>
      <c r="E715" s="2" t="s">
        <v>6</v>
      </c>
      <c r="F715" s="2" t="s">
        <v>7</v>
      </c>
      <c r="G715" s="2" t="s">
        <v>8</v>
      </c>
    </row>
    <row r="716" spans="1:9" ht="18" customHeight="1" x14ac:dyDescent="0.4">
      <c r="A716" s="81" t="s">
        <v>608</v>
      </c>
      <c r="B716" s="171" t="s">
        <v>178</v>
      </c>
      <c r="C716" s="169">
        <v>1051.0999999999999</v>
      </c>
      <c r="D716" s="142">
        <v>63</v>
      </c>
      <c r="E716" s="60">
        <f t="shared" ref="E716" si="131">+C716*D716</f>
        <v>66219.299999999988</v>
      </c>
      <c r="F716" s="60">
        <f t="shared" ref="F716" si="132">+E716*7%</f>
        <v>4635.3509999999997</v>
      </c>
      <c r="G716" s="60">
        <f t="shared" ref="G716" si="133">+E716+F716</f>
        <v>70854.650999999983</v>
      </c>
      <c r="H716" s="273" t="s">
        <v>392</v>
      </c>
      <c r="I716">
        <v>6903037</v>
      </c>
    </row>
    <row r="717" spans="1:9" ht="18" customHeight="1" x14ac:dyDescent="0.4">
      <c r="A717" s="81" t="s">
        <v>608</v>
      </c>
      <c r="B717" s="171" t="s">
        <v>551</v>
      </c>
      <c r="C717" s="169">
        <v>1053.1500000000001</v>
      </c>
      <c r="D717" s="142">
        <v>63</v>
      </c>
      <c r="E717" s="60">
        <f>+C717*D717</f>
        <v>66348.450000000012</v>
      </c>
      <c r="F717" s="60">
        <f>+E717*7%</f>
        <v>4644.3915000000015</v>
      </c>
      <c r="G717" s="60">
        <f>+E717+F717</f>
        <v>70992.84150000001</v>
      </c>
      <c r="H717" s="273" t="s">
        <v>392</v>
      </c>
      <c r="I717">
        <v>903037</v>
      </c>
    </row>
    <row r="718" spans="1:9" ht="18" customHeight="1" thickBot="1" x14ac:dyDescent="0.35">
      <c r="A718" s="84"/>
      <c r="B718" s="17" t="s">
        <v>15</v>
      </c>
      <c r="C718" s="18">
        <f>SUM(C716:C717)</f>
        <v>2104.25</v>
      </c>
      <c r="D718" s="19"/>
      <c r="E718" s="62">
        <f>SUM(E716:E717)</f>
        <v>132567.75</v>
      </c>
      <c r="F718" s="62">
        <f t="shared" ref="F718:G718" si="134">SUM(F716:F717)</f>
        <v>9279.7425000000003</v>
      </c>
      <c r="G718" s="62">
        <f t="shared" si="134"/>
        <v>141847.49249999999</v>
      </c>
    </row>
    <row r="719" spans="1:9" ht="49.5" customHeight="1" thickTop="1" x14ac:dyDescent="0.3">
      <c r="A719" s="85"/>
      <c r="B719" s="68"/>
      <c r="C719" s="69"/>
      <c r="D719" s="70"/>
      <c r="E719" s="71"/>
      <c r="F719" s="71"/>
      <c r="G719" s="71"/>
    </row>
    <row r="720" spans="1:9" ht="26.25" x14ac:dyDescent="0.3">
      <c r="A720" s="357" t="s">
        <v>552</v>
      </c>
      <c r="B720" s="357"/>
      <c r="C720" s="357"/>
      <c r="D720" s="357"/>
      <c r="E720" s="357"/>
      <c r="F720" s="357"/>
      <c r="G720" s="357"/>
    </row>
    <row r="721" spans="1:9" ht="18" customHeight="1" x14ac:dyDescent="0.3">
      <c r="A721" s="1" t="s">
        <v>2</v>
      </c>
      <c r="B721" s="2" t="s">
        <v>3</v>
      </c>
      <c r="C721" s="2" t="s">
        <v>4</v>
      </c>
      <c r="D721" s="3" t="s">
        <v>5</v>
      </c>
      <c r="E721" s="2" t="s">
        <v>6</v>
      </c>
      <c r="F721" s="2" t="s">
        <v>7</v>
      </c>
      <c r="G721" s="2" t="s">
        <v>8</v>
      </c>
    </row>
    <row r="722" spans="1:9" ht="18" customHeight="1" x14ac:dyDescent="0.4">
      <c r="A722" s="81" t="s">
        <v>591</v>
      </c>
      <c r="B722" s="171" t="s">
        <v>148</v>
      </c>
      <c r="C722" s="169">
        <v>240.2</v>
      </c>
      <c r="D722" s="142">
        <v>52</v>
      </c>
      <c r="E722" s="60">
        <f>+C722*D722</f>
        <v>12490.4</v>
      </c>
      <c r="F722" s="60">
        <f>+E722*7%</f>
        <v>874.32800000000009</v>
      </c>
      <c r="G722" s="60">
        <f>+E722+F722</f>
        <v>13364.727999999999</v>
      </c>
      <c r="I722">
        <v>6903126</v>
      </c>
    </row>
    <row r="723" spans="1:9" ht="18" customHeight="1" x14ac:dyDescent="0.4">
      <c r="A723" s="81" t="s">
        <v>588</v>
      </c>
      <c r="B723" s="171" t="s">
        <v>148</v>
      </c>
      <c r="C723" s="169">
        <v>407.05</v>
      </c>
      <c r="D723" s="142">
        <v>52</v>
      </c>
      <c r="E723" s="60">
        <f>+C723*D723</f>
        <v>21166.600000000002</v>
      </c>
      <c r="F723" s="60">
        <f>+E723*7%</f>
        <v>1481.6620000000003</v>
      </c>
      <c r="G723" s="60">
        <f>+E723+F723</f>
        <v>22648.262000000002</v>
      </c>
      <c r="I723">
        <v>6903268</v>
      </c>
    </row>
    <row r="724" spans="1:9" ht="18" customHeight="1" thickBot="1" x14ac:dyDescent="0.35">
      <c r="A724" s="84"/>
      <c r="B724" s="17" t="s">
        <v>15</v>
      </c>
      <c r="C724" s="18">
        <f>SUM(C722:C723)</f>
        <v>647.25</v>
      </c>
      <c r="D724" s="19"/>
      <c r="E724" s="62">
        <f>SUM(E722:E723)</f>
        <v>33657</v>
      </c>
      <c r="F724" s="62">
        <f t="shared" ref="F724:G724" si="135">SUM(F722:F723)</f>
        <v>2355.9900000000002</v>
      </c>
      <c r="G724" s="62">
        <f t="shared" si="135"/>
        <v>36012.990000000005</v>
      </c>
    </row>
    <row r="725" spans="1:9" ht="18" customHeight="1" thickTop="1" x14ac:dyDescent="0.3">
      <c r="A725" s="85"/>
      <c r="B725" s="68"/>
      <c r="C725" s="69"/>
      <c r="D725" s="70"/>
      <c r="E725" s="71"/>
      <c r="F725" s="71"/>
      <c r="G725" s="71"/>
    </row>
    <row r="726" spans="1:9" ht="26.25" x14ac:dyDescent="0.3">
      <c r="A726" s="357" t="s">
        <v>649</v>
      </c>
      <c r="B726" s="357"/>
      <c r="C726" s="357"/>
      <c r="D726" s="357"/>
      <c r="E726" s="357"/>
      <c r="F726" s="357"/>
      <c r="G726" s="357"/>
    </row>
    <row r="727" spans="1:9" ht="18" customHeight="1" x14ac:dyDescent="0.3">
      <c r="A727" s="1" t="s">
        <v>2</v>
      </c>
      <c r="B727" s="2" t="s">
        <v>3</v>
      </c>
      <c r="C727" s="2" t="s">
        <v>86</v>
      </c>
      <c r="D727" s="3" t="s">
        <v>5</v>
      </c>
      <c r="E727" s="2" t="s">
        <v>6</v>
      </c>
      <c r="F727" s="2" t="s">
        <v>7</v>
      </c>
      <c r="G727" s="2" t="s">
        <v>8</v>
      </c>
    </row>
    <row r="728" spans="1:9" ht="18" customHeight="1" x14ac:dyDescent="0.4">
      <c r="A728" s="81" t="s">
        <v>604</v>
      </c>
      <c r="B728" s="171" t="s">
        <v>652</v>
      </c>
      <c r="C728" s="169">
        <v>500</v>
      </c>
      <c r="D728" s="142">
        <v>43</v>
      </c>
      <c r="E728" s="60">
        <v>10750</v>
      </c>
      <c r="F728" s="60">
        <f>+E728*7%</f>
        <v>752.50000000000011</v>
      </c>
      <c r="G728" s="60">
        <f>+E728+F728</f>
        <v>11502.5</v>
      </c>
      <c r="I728">
        <v>6903376</v>
      </c>
    </row>
    <row r="729" spans="1:9" ht="18" customHeight="1" thickBot="1" x14ac:dyDescent="0.35">
      <c r="A729" s="84"/>
      <c r="B729" s="17" t="s">
        <v>15</v>
      </c>
      <c r="C729" s="18">
        <f>SUM(C728:C728)</f>
        <v>500</v>
      </c>
      <c r="D729" s="19"/>
      <c r="E729" s="62">
        <f>SUM(E728:E728)</f>
        <v>10750</v>
      </c>
      <c r="F729" s="62">
        <f>SUM(F728:F728)</f>
        <v>752.50000000000011</v>
      </c>
      <c r="G729" s="62">
        <f>SUM(G728:G728)</f>
        <v>11502.5</v>
      </c>
    </row>
    <row r="730" spans="1:9" ht="18" customHeight="1" thickTop="1" x14ac:dyDescent="0.3">
      <c r="A730" s="85"/>
      <c r="B730" s="68"/>
      <c r="C730" s="69"/>
      <c r="D730" s="70"/>
      <c r="E730" s="71"/>
      <c r="F730" s="71"/>
      <c r="G730" s="71"/>
    </row>
    <row r="731" spans="1:9" s="30" customFormat="1" ht="12" customHeight="1" thickBot="1" x14ac:dyDescent="0.55000000000000004">
      <c r="A731" s="21"/>
      <c r="B731" s="147" t="s">
        <v>652</v>
      </c>
      <c r="C731" s="148">
        <f>+C729</f>
        <v>500</v>
      </c>
      <c r="D731" s="149">
        <v>0.34100000000000003</v>
      </c>
      <c r="E731" s="188">
        <f>+C731*D731</f>
        <v>170.5</v>
      </c>
      <c r="F731" s="23"/>
      <c r="G731" s="23"/>
    </row>
    <row r="732" spans="1:9" s="30" customFormat="1" ht="18.75" customHeight="1" thickTop="1" x14ac:dyDescent="0.5">
      <c r="A732" s="85"/>
      <c r="B732" s="68"/>
      <c r="C732" s="69"/>
      <c r="D732" s="70"/>
      <c r="E732" s="71"/>
      <c r="F732" s="71"/>
      <c r="G732" s="71"/>
    </row>
    <row r="733" spans="1:9" ht="26.25" x14ac:dyDescent="0.3">
      <c r="A733" s="357" t="s">
        <v>653</v>
      </c>
      <c r="B733" s="357"/>
      <c r="C733" s="357"/>
      <c r="D733" s="357"/>
      <c r="E733" s="357"/>
      <c r="F733" s="357"/>
      <c r="G733" s="357"/>
    </row>
    <row r="734" spans="1:9" ht="18" customHeight="1" x14ac:dyDescent="0.3">
      <c r="A734" s="1" t="s">
        <v>2</v>
      </c>
      <c r="B734" s="2" t="s">
        <v>3</v>
      </c>
      <c r="C734" s="2" t="s">
        <v>4</v>
      </c>
      <c r="D734" s="3" t="s">
        <v>5</v>
      </c>
      <c r="E734" s="2" t="s">
        <v>6</v>
      </c>
      <c r="F734" s="2" t="s">
        <v>7</v>
      </c>
      <c r="G734" s="2" t="s">
        <v>8</v>
      </c>
    </row>
    <row r="735" spans="1:9" ht="18" customHeight="1" x14ac:dyDescent="0.4">
      <c r="A735" s="81" t="s">
        <v>598</v>
      </c>
      <c r="B735" s="171" t="s">
        <v>654</v>
      </c>
      <c r="C735" s="169">
        <v>203.75</v>
      </c>
      <c r="D735" s="142">
        <v>70</v>
      </c>
      <c r="E735" s="60">
        <f>+C735*D735</f>
        <v>14262.5</v>
      </c>
      <c r="F735" s="60">
        <f>+E735*7%</f>
        <v>998.37500000000011</v>
      </c>
      <c r="G735" s="60">
        <f>+E735+F735</f>
        <v>15260.875</v>
      </c>
      <c r="I735">
        <v>6903264</v>
      </c>
    </row>
    <row r="736" spans="1:9" ht="18" customHeight="1" thickBot="1" x14ac:dyDescent="0.35">
      <c r="A736" s="324"/>
      <c r="B736" s="325" t="s">
        <v>15</v>
      </c>
      <c r="C736" s="18">
        <f>SUM(C735:C735)</f>
        <v>203.75</v>
      </c>
      <c r="D736" s="19"/>
      <c r="E736" s="62">
        <f>SUM(E735:E735)</f>
        <v>14262.5</v>
      </c>
      <c r="F736" s="62">
        <f>SUM(F735:F735)</f>
        <v>998.37500000000011</v>
      </c>
      <c r="G736" s="62">
        <f>SUM(G735:G735)</f>
        <v>15260.875</v>
      </c>
    </row>
    <row r="737" spans="1:9" ht="18" customHeight="1" thickTop="1" x14ac:dyDescent="0.3">
      <c r="A737" s="326"/>
      <c r="B737" s="327"/>
      <c r="C737" s="69"/>
      <c r="D737" s="70"/>
      <c r="E737" s="71"/>
      <c r="F737" s="71"/>
      <c r="G737" s="71"/>
    </row>
    <row r="738" spans="1:9" ht="26.25" x14ac:dyDescent="0.3">
      <c r="A738" s="357" t="s">
        <v>655</v>
      </c>
      <c r="B738" s="357"/>
      <c r="C738" s="357"/>
      <c r="D738" s="357"/>
      <c r="E738" s="357"/>
      <c r="F738" s="357"/>
      <c r="G738" s="357"/>
    </row>
    <row r="739" spans="1:9" ht="18" customHeight="1" x14ac:dyDescent="0.3">
      <c r="A739" s="1" t="s">
        <v>2</v>
      </c>
      <c r="B739" s="2" t="s">
        <v>3</v>
      </c>
      <c r="C739" s="2" t="s">
        <v>76</v>
      </c>
      <c r="D739" s="3" t="s">
        <v>5</v>
      </c>
      <c r="E739" s="2" t="s">
        <v>6</v>
      </c>
      <c r="F739" s="2" t="s">
        <v>7</v>
      </c>
      <c r="G739" s="2" t="s">
        <v>8</v>
      </c>
    </row>
    <row r="740" spans="1:9" ht="18" customHeight="1" x14ac:dyDescent="0.4">
      <c r="A740" s="81" t="s">
        <v>599</v>
      </c>
      <c r="B740" s="171" t="s">
        <v>89</v>
      </c>
      <c r="C740" s="169">
        <v>300</v>
      </c>
      <c r="D740" s="142">
        <v>124</v>
      </c>
      <c r="E740" s="60">
        <f>+C740*D740</f>
        <v>37200</v>
      </c>
      <c r="F740" s="60">
        <f>+E740*7%</f>
        <v>2604.0000000000005</v>
      </c>
      <c r="G740" s="60">
        <f>+E740+F740</f>
        <v>39804</v>
      </c>
      <c r="I740">
        <v>6903245</v>
      </c>
    </row>
    <row r="741" spans="1:9" ht="18" customHeight="1" thickBot="1" x14ac:dyDescent="0.35">
      <c r="A741" s="84"/>
      <c r="B741" s="17" t="s">
        <v>15</v>
      </c>
      <c r="C741" s="18">
        <f>SUM(C740:C740)</f>
        <v>300</v>
      </c>
      <c r="D741" s="19"/>
      <c r="E741" s="62">
        <f>SUM(E740:E740)</f>
        <v>37200</v>
      </c>
      <c r="F741" s="62">
        <f>SUM(F740:F740)</f>
        <v>2604.0000000000005</v>
      </c>
      <c r="G741" s="62">
        <f>SUM(G740:G740)</f>
        <v>39804</v>
      </c>
    </row>
    <row r="742" spans="1:9" ht="18" customHeight="1" thickTop="1" x14ac:dyDescent="0.3">
      <c r="A742" s="85"/>
      <c r="B742" s="68"/>
      <c r="C742" s="69"/>
      <c r="D742" s="70"/>
      <c r="E742" s="71"/>
      <c r="F742" s="71"/>
      <c r="G742" s="71"/>
    </row>
    <row r="743" spans="1:9" s="30" customFormat="1" ht="12" customHeight="1" thickBot="1" x14ac:dyDescent="0.55000000000000004">
      <c r="A743" s="21"/>
      <c r="B743" s="147" t="s">
        <v>89</v>
      </c>
      <c r="C743" s="148">
        <f>+C741</f>
        <v>300</v>
      </c>
      <c r="D743" s="149">
        <v>2.0699999999999998</v>
      </c>
      <c r="E743" s="188">
        <f>+C743*D743</f>
        <v>621</v>
      </c>
      <c r="F743" s="23"/>
      <c r="G743" s="23"/>
    </row>
    <row r="744" spans="1:9" s="30" customFormat="1" ht="12" customHeight="1" thickTop="1" x14ac:dyDescent="0.5">
      <c r="A744" s="85"/>
      <c r="B744" s="68"/>
      <c r="C744" s="69"/>
      <c r="D744" s="70"/>
      <c r="E744" s="71"/>
      <c r="F744" s="71"/>
      <c r="G744" s="71"/>
    </row>
    <row r="745" spans="1:9" ht="26.25" x14ac:dyDescent="0.3">
      <c r="A745" s="357" t="s">
        <v>656</v>
      </c>
      <c r="B745" s="357"/>
      <c r="C745" s="357"/>
      <c r="D745" s="357"/>
      <c r="E745" s="357"/>
      <c r="F745" s="357"/>
      <c r="G745" s="357"/>
    </row>
    <row r="746" spans="1:9" ht="18" customHeight="1" x14ac:dyDescent="0.3">
      <c r="A746" s="1" t="s">
        <v>2</v>
      </c>
      <c r="B746" s="2" t="s">
        <v>3</v>
      </c>
      <c r="C746" s="2" t="s">
        <v>4</v>
      </c>
      <c r="D746" s="3" t="s">
        <v>5</v>
      </c>
      <c r="E746" s="2" t="s">
        <v>6</v>
      </c>
      <c r="F746" s="2" t="s">
        <v>7</v>
      </c>
      <c r="G746" s="2" t="s">
        <v>8</v>
      </c>
    </row>
    <row r="747" spans="1:9" ht="18" customHeight="1" x14ac:dyDescent="0.4">
      <c r="A747" s="81" t="s">
        <v>612</v>
      </c>
      <c r="B747" s="171" t="s">
        <v>657</v>
      </c>
      <c r="C747" s="169">
        <v>173.3</v>
      </c>
      <c r="D747" s="142">
        <v>68</v>
      </c>
      <c r="E747" s="60">
        <f>+C747*D747</f>
        <v>11784.400000000001</v>
      </c>
      <c r="F747" s="60">
        <f>+E747*7%</f>
        <v>824.90800000000013</v>
      </c>
      <c r="G747" s="60">
        <f>+E747+F747</f>
        <v>12609.308000000001</v>
      </c>
      <c r="I747">
        <v>6903334</v>
      </c>
    </row>
    <row r="748" spans="1:9" ht="18" customHeight="1" thickBot="1" x14ac:dyDescent="0.35">
      <c r="A748" s="84"/>
      <c r="B748" s="17" t="s">
        <v>15</v>
      </c>
      <c r="C748" s="18">
        <f>SUM(C747:C747)</f>
        <v>173.3</v>
      </c>
      <c r="D748" s="19"/>
      <c r="E748" s="62">
        <f>SUM(E747:E747)</f>
        <v>11784.400000000001</v>
      </c>
      <c r="F748" s="62">
        <f t="shared" ref="F748:G748" si="136">SUM(F747:F747)</f>
        <v>824.90800000000013</v>
      </c>
      <c r="G748" s="62">
        <f t="shared" si="136"/>
        <v>12609.308000000001</v>
      </c>
    </row>
    <row r="749" spans="1:9" ht="12" customHeight="1" thickTop="1" x14ac:dyDescent="0.3">
      <c r="A749" s="85"/>
      <c r="B749" s="68"/>
      <c r="C749" s="69"/>
      <c r="D749" s="70"/>
      <c r="E749" s="71"/>
      <c r="F749" s="71"/>
      <c r="G749" s="71"/>
    </row>
    <row r="750" spans="1:9" ht="26.25" x14ac:dyDescent="0.3">
      <c r="A750" s="357" t="s">
        <v>658</v>
      </c>
      <c r="B750" s="357"/>
      <c r="C750" s="357"/>
      <c r="D750" s="357"/>
      <c r="E750" s="357"/>
      <c r="F750" s="357"/>
      <c r="G750" s="357"/>
    </row>
    <row r="751" spans="1:9" ht="18" customHeight="1" x14ac:dyDescent="0.3">
      <c r="A751" s="1" t="s">
        <v>2</v>
      </c>
      <c r="B751" s="2" t="s">
        <v>3</v>
      </c>
      <c r="C751" s="2" t="s">
        <v>4</v>
      </c>
      <c r="D751" s="3" t="s">
        <v>5</v>
      </c>
      <c r="E751" s="2" t="s">
        <v>6</v>
      </c>
      <c r="F751" s="2" t="s">
        <v>7</v>
      </c>
      <c r="G751" s="2" t="s">
        <v>8</v>
      </c>
    </row>
    <row r="752" spans="1:9" ht="18" customHeight="1" x14ac:dyDescent="0.4">
      <c r="A752" s="81" t="s">
        <v>612</v>
      </c>
      <c r="B752" s="171" t="s">
        <v>654</v>
      </c>
      <c r="C752" s="169">
        <v>206</v>
      </c>
      <c r="D752" s="142">
        <v>70</v>
      </c>
      <c r="E752" s="60">
        <f>+C752*D752</f>
        <v>14420</v>
      </c>
      <c r="F752" s="60">
        <f>+E752*7%</f>
        <v>1009.4000000000001</v>
      </c>
      <c r="G752" s="60">
        <f>+E752+F752</f>
        <v>15429.4</v>
      </c>
      <c r="I752">
        <v>6903329</v>
      </c>
    </row>
    <row r="753" spans="1:9" ht="18" customHeight="1" thickBot="1" x14ac:dyDescent="0.35">
      <c r="A753" s="84"/>
      <c r="B753" s="17" t="s">
        <v>15</v>
      </c>
      <c r="C753" s="18">
        <f>SUM(C752:C752)</f>
        <v>206</v>
      </c>
      <c r="D753" s="19"/>
      <c r="E753" s="62">
        <f>SUM(E752:E752)</f>
        <v>14420</v>
      </c>
      <c r="F753" s="62">
        <f>SUM(F752:F752)</f>
        <v>1009.4000000000001</v>
      </c>
      <c r="G753" s="62">
        <f>SUM(G752:G752)</f>
        <v>15429.4</v>
      </c>
    </row>
    <row r="754" spans="1:9" ht="12" customHeight="1" thickTop="1" x14ac:dyDescent="0.3">
      <c r="A754" s="85"/>
      <c r="B754" s="68"/>
      <c r="C754" s="69"/>
      <c r="D754" s="70"/>
      <c r="E754" s="71"/>
      <c r="F754" s="71"/>
      <c r="G754" s="71"/>
    </row>
    <row r="755" spans="1:9" ht="26.25" x14ac:dyDescent="0.3">
      <c r="A755" s="357" t="s">
        <v>659</v>
      </c>
      <c r="B755" s="357"/>
      <c r="C755" s="357"/>
      <c r="D755" s="357"/>
      <c r="E755" s="357"/>
      <c r="F755" s="357"/>
      <c r="G755" s="357"/>
    </row>
    <row r="756" spans="1:9" ht="18" customHeight="1" x14ac:dyDescent="0.3">
      <c r="A756" s="1" t="s">
        <v>2</v>
      </c>
      <c r="B756" s="2" t="s">
        <v>3</v>
      </c>
      <c r="C756" s="2" t="s">
        <v>4</v>
      </c>
      <c r="D756" s="3" t="s">
        <v>5</v>
      </c>
      <c r="E756" s="2" t="s">
        <v>6</v>
      </c>
      <c r="F756" s="2" t="s">
        <v>7</v>
      </c>
      <c r="G756" s="2" t="s">
        <v>8</v>
      </c>
    </row>
    <row r="757" spans="1:9" ht="18" customHeight="1" x14ac:dyDescent="0.4">
      <c r="A757" s="81" t="s">
        <v>604</v>
      </c>
      <c r="B757" s="171" t="s">
        <v>660</v>
      </c>
      <c r="C757" s="169">
        <v>983.7</v>
      </c>
      <c r="D757" s="142">
        <v>72</v>
      </c>
      <c r="E757" s="60">
        <f>+C757*D757</f>
        <v>70826.400000000009</v>
      </c>
      <c r="F757" s="60">
        <f>+E757*7%</f>
        <v>4957.8480000000009</v>
      </c>
      <c r="G757" s="60">
        <f>+E757+F757</f>
        <v>75784.248000000007</v>
      </c>
      <c r="I757">
        <v>6903377</v>
      </c>
    </row>
    <row r="758" spans="1:9" ht="18" customHeight="1" x14ac:dyDescent="0.4">
      <c r="A758" s="81" t="s">
        <v>604</v>
      </c>
      <c r="B758" s="171" t="s">
        <v>661</v>
      </c>
      <c r="C758" s="169">
        <v>932.05</v>
      </c>
      <c r="D758" s="142">
        <v>72</v>
      </c>
      <c r="E758" s="60">
        <f>+C758*D758</f>
        <v>67107.599999999991</v>
      </c>
      <c r="F758" s="60">
        <f>+E758*7%</f>
        <v>4697.5320000000002</v>
      </c>
      <c r="G758" s="60">
        <f>+E758+F758</f>
        <v>71805.131999999998</v>
      </c>
      <c r="I758">
        <v>6903377</v>
      </c>
    </row>
    <row r="759" spans="1:9" ht="18" customHeight="1" thickBot="1" x14ac:dyDescent="0.35">
      <c r="A759" s="84"/>
      <c r="B759" s="17" t="s">
        <v>15</v>
      </c>
      <c r="C759" s="18">
        <f>SUM(C757:C758)</f>
        <v>1915.75</v>
      </c>
      <c r="D759" s="19"/>
      <c r="E759" s="62">
        <f>SUM(E757:E758)</f>
        <v>137934</v>
      </c>
      <c r="F759" s="62">
        <f t="shared" ref="F759:G759" si="137">SUM(F757:F758)</f>
        <v>9655.380000000001</v>
      </c>
      <c r="G759" s="62">
        <f t="shared" si="137"/>
        <v>147589.38</v>
      </c>
    </row>
    <row r="760" spans="1:9" ht="18" customHeight="1" thickTop="1" x14ac:dyDescent="0.3">
      <c r="A760" s="85"/>
      <c r="B760" s="68"/>
      <c r="C760" s="69"/>
      <c r="D760" s="70"/>
      <c r="E760" s="71"/>
      <c r="F760" s="71"/>
      <c r="G760" s="71"/>
    </row>
    <row r="761" spans="1:9" ht="26.25" x14ac:dyDescent="0.3">
      <c r="A761" s="357" t="s">
        <v>662</v>
      </c>
      <c r="B761" s="357"/>
      <c r="C761" s="357"/>
      <c r="D761" s="357"/>
      <c r="E761" s="357"/>
      <c r="F761" s="357"/>
      <c r="G761" s="357"/>
    </row>
    <row r="762" spans="1:9" ht="18" customHeight="1" x14ac:dyDescent="0.3">
      <c r="A762" s="1" t="s">
        <v>2</v>
      </c>
      <c r="B762" s="2" t="s">
        <v>3</v>
      </c>
      <c r="C762" s="2" t="s">
        <v>76</v>
      </c>
      <c r="D762" s="3" t="s">
        <v>5</v>
      </c>
      <c r="E762" s="2" t="s">
        <v>6</v>
      </c>
      <c r="F762" s="2" t="s">
        <v>7</v>
      </c>
      <c r="G762" s="2" t="s">
        <v>8</v>
      </c>
    </row>
    <row r="763" spans="1:9" ht="18" customHeight="1" x14ac:dyDescent="0.4">
      <c r="A763" s="81" t="s">
        <v>603</v>
      </c>
      <c r="B763" s="171" t="s">
        <v>89</v>
      </c>
      <c r="C763" s="169">
        <v>12</v>
      </c>
      <c r="D763" s="142">
        <v>147</v>
      </c>
      <c r="E763" s="60">
        <f>+C763*D763</f>
        <v>1764</v>
      </c>
      <c r="F763" s="60">
        <f>+E763*7%</f>
        <v>123.48000000000002</v>
      </c>
      <c r="G763" s="60">
        <f>+E763+F763</f>
        <v>1887.48</v>
      </c>
      <c r="I763">
        <v>6903384</v>
      </c>
    </row>
    <row r="764" spans="1:9" ht="18" customHeight="1" thickBot="1" x14ac:dyDescent="0.35">
      <c r="A764" s="84"/>
      <c r="B764" s="17" t="s">
        <v>15</v>
      </c>
      <c r="C764" s="18">
        <f>SUM(C763:C763)</f>
        <v>12</v>
      </c>
      <c r="D764" s="19"/>
      <c r="E764" s="62">
        <f>SUM(E763:E763)</f>
        <v>1764</v>
      </c>
      <c r="F764" s="62">
        <f>SUM(F763:F763)</f>
        <v>123.48000000000002</v>
      </c>
      <c r="G764" s="62">
        <f>SUM(G763:G763)</f>
        <v>1887.48</v>
      </c>
    </row>
    <row r="765" spans="1:9" ht="18" customHeight="1" thickTop="1" x14ac:dyDescent="0.3">
      <c r="A765" s="85"/>
      <c r="B765" s="68"/>
      <c r="C765" s="69"/>
      <c r="D765" s="70"/>
      <c r="E765" s="71"/>
      <c r="F765" s="71"/>
      <c r="G765" s="71"/>
    </row>
    <row r="766" spans="1:9" s="30" customFormat="1" ht="12" customHeight="1" thickBot="1" x14ac:dyDescent="0.55000000000000004">
      <c r="A766" s="21"/>
      <c r="B766" s="147" t="s">
        <v>89</v>
      </c>
      <c r="C766" s="148">
        <f>+C764</f>
        <v>12</v>
      </c>
      <c r="D766" s="149">
        <v>2.0699999999999998</v>
      </c>
      <c r="E766" s="188">
        <f>+C766*D766</f>
        <v>24.839999999999996</v>
      </c>
      <c r="F766" s="23"/>
      <c r="G766" s="23"/>
    </row>
    <row r="767" spans="1:9" s="30" customFormat="1" ht="18.75" customHeight="1" thickTop="1" x14ac:dyDescent="0.5">
      <c r="A767" s="85"/>
      <c r="B767" s="68"/>
      <c r="C767" s="69"/>
      <c r="D767" s="70"/>
      <c r="E767" s="71"/>
      <c r="F767" s="71"/>
      <c r="G767" s="71"/>
    </row>
    <row r="768" spans="1:9" s="181" customFormat="1" ht="18" customHeight="1" x14ac:dyDescent="0.4">
      <c r="A768" s="175"/>
      <c r="B768" s="176"/>
      <c r="C768" s="177" t="s">
        <v>122</v>
      </c>
      <c r="D768" s="178"/>
      <c r="E768" s="179" t="s">
        <v>123</v>
      </c>
      <c r="F768" s="180"/>
      <c r="G768"/>
    </row>
    <row r="769" spans="1:9" s="181" customFormat="1" ht="18" customHeight="1" x14ac:dyDescent="0.4">
      <c r="A769" s="175"/>
      <c r="B769" s="182"/>
      <c r="C769" s="183">
        <f>C67+C91+C111+C128+C201+C273+E282+C352+C289+C367+C374+C361+C379+E386+C393+C403+C432+C470+C475+C492+C499+C441+F510+E519+C534+F549+C524+C563+F600+C612+C618+C623+C628+C592+C633+C638+C643+E650+C658+C664+E671+C676+C681+C687+C692+F699+C705+E712+C718+C724+E731+C736+E743+C748+C753+C759+E766</f>
        <v>653338.81279999996</v>
      </c>
      <c r="D769" s="184"/>
      <c r="E769" s="185">
        <f>E67+E91+E111+E128+E201+E273+E280+E321+E289+E367+E374+E361+E379+E384+E393+E398+E418+E470+E475+E484+E499+E441+E507+E517+E534+E544+E524+E563+E597+E612+E618+E623+E628+E592+E633+E638+E643+E648+E658+E664+E669+E676+E681+E687+E692+E697+E705+E710+E718+E724+E774+E729+E736+E741+E748+E753+E759+E764</f>
        <v>38381392.795599997</v>
      </c>
      <c r="F769" s="180"/>
      <c r="G769"/>
    </row>
    <row r="770" spans="1:9" x14ac:dyDescent="0.3">
      <c r="E770" s="186"/>
    </row>
    <row r="771" spans="1:9" ht="26.25" x14ac:dyDescent="0.3">
      <c r="A771" s="357" t="s">
        <v>649</v>
      </c>
      <c r="B771" s="357"/>
      <c r="C771" s="357"/>
      <c r="D771" s="357"/>
      <c r="E771" s="357"/>
      <c r="F771" s="357"/>
      <c r="G771" s="357"/>
    </row>
    <row r="772" spans="1:9" ht="18" customHeight="1" x14ac:dyDescent="0.3">
      <c r="A772" s="1" t="s">
        <v>2</v>
      </c>
      <c r="B772" s="2" t="s">
        <v>3</v>
      </c>
      <c r="C772" s="2" t="s">
        <v>650</v>
      </c>
      <c r="D772" s="3" t="s">
        <v>5</v>
      </c>
      <c r="E772" s="2" t="s">
        <v>6</v>
      </c>
      <c r="F772" s="2" t="s">
        <v>7</v>
      </c>
      <c r="G772" s="2" t="s">
        <v>8</v>
      </c>
    </row>
    <row r="773" spans="1:9" ht="18" customHeight="1" x14ac:dyDescent="0.4">
      <c r="A773" s="81" t="s">
        <v>593</v>
      </c>
      <c r="B773" s="171" t="s">
        <v>651</v>
      </c>
      <c r="C773" s="169">
        <v>1</v>
      </c>
      <c r="D773" s="142">
        <v>10750</v>
      </c>
      <c r="E773" s="60">
        <f>+C773*D773</f>
        <v>10750</v>
      </c>
      <c r="F773" s="60">
        <f>+E773*7%</f>
        <v>752.50000000000011</v>
      </c>
      <c r="G773" s="60">
        <f>+E773+F773</f>
        <v>11502.5</v>
      </c>
      <c r="I773">
        <v>6903376</v>
      </c>
    </row>
    <row r="774" spans="1:9" ht="18" customHeight="1" thickBot="1" x14ac:dyDescent="0.35">
      <c r="A774" s="84"/>
      <c r="B774" s="17" t="s">
        <v>15</v>
      </c>
      <c r="C774" s="18">
        <f>SUM(C773:C773)</f>
        <v>1</v>
      </c>
      <c r="D774" s="19"/>
      <c r="E774" s="62">
        <f>SUM(E773:E773)</f>
        <v>10750</v>
      </c>
      <c r="F774" s="62">
        <f t="shared" ref="F774:G774" si="138">SUM(F773:F773)</f>
        <v>752.50000000000011</v>
      </c>
      <c r="G774" s="62">
        <f t="shared" si="138"/>
        <v>11502.5</v>
      </c>
    </row>
    <row r="775" spans="1:9" ht="18" customHeight="1" thickTop="1" x14ac:dyDescent="0.3">
      <c r="A775" s="85"/>
      <c r="B775" s="68"/>
      <c r="C775" s="69"/>
      <c r="D775" s="70"/>
      <c r="E775" s="71"/>
      <c r="F775" s="71"/>
      <c r="G775" s="71"/>
    </row>
    <row r="776" spans="1:9" ht="18" customHeight="1" x14ac:dyDescent="0.3">
      <c r="A776" s="85"/>
      <c r="B776" s="68"/>
      <c r="C776" s="69"/>
      <c r="D776" s="70"/>
      <c r="E776" s="71"/>
      <c r="F776" s="71"/>
      <c r="G776" s="71"/>
    </row>
    <row r="777" spans="1:9" ht="18" customHeight="1" x14ac:dyDescent="0.3">
      <c r="A777" s="85"/>
      <c r="B777" s="68"/>
      <c r="C777" s="69"/>
      <c r="D777" s="70"/>
      <c r="E777" s="71"/>
      <c r="F777" s="71"/>
      <c r="G777" s="71"/>
    </row>
  </sheetData>
  <mergeCells count="60">
    <mergeCell ref="A761:G761"/>
    <mergeCell ref="A720:G720"/>
    <mergeCell ref="A771:G771"/>
    <mergeCell ref="A726:G726"/>
    <mergeCell ref="A694:G694"/>
    <mergeCell ref="A702:G702"/>
    <mergeCell ref="A707:G707"/>
    <mergeCell ref="A714:G714"/>
    <mergeCell ref="A733:G733"/>
    <mergeCell ref="A738:G738"/>
    <mergeCell ref="A745:G745"/>
    <mergeCell ref="A750:G750"/>
    <mergeCell ref="A755:G755"/>
    <mergeCell ref="A683:G683"/>
    <mergeCell ref="A689:G689"/>
    <mergeCell ref="A673:G673"/>
    <mergeCell ref="A678:G678"/>
    <mergeCell ref="A666:G666"/>
    <mergeCell ref="A645:G645"/>
    <mergeCell ref="A652:G652"/>
    <mergeCell ref="A660:G660"/>
    <mergeCell ref="A640:G640"/>
    <mergeCell ref="A620:G620"/>
    <mergeCell ref="A625:G625"/>
    <mergeCell ref="A566:G566"/>
    <mergeCell ref="A630:G630"/>
    <mergeCell ref="A635:G635"/>
    <mergeCell ref="A594:G594"/>
    <mergeCell ref="A606:G606"/>
    <mergeCell ref="A614:G614"/>
    <mergeCell ref="A526:G526"/>
    <mergeCell ref="A536:G536"/>
    <mergeCell ref="A521:G521"/>
    <mergeCell ref="A556:G556"/>
    <mergeCell ref="A494:G494"/>
    <mergeCell ref="A434:G434"/>
    <mergeCell ref="A501:G501"/>
    <mergeCell ref="A514:G514"/>
    <mergeCell ref="A395:G395"/>
    <mergeCell ref="A400:G400"/>
    <mergeCell ref="A405:G405"/>
    <mergeCell ref="A443:G443"/>
    <mergeCell ref="A472:G472"/>
    <mergeCell ref="A477:G477"/>
    <mergeCell ref="A369:G369"/>
    <mergeCell ref="A354:G354"/>
    <mergeCell ref="A376:G376"/>
    <mergeCell ref="A381:G381"/>
    <mergeCell ref="A388:G388"/>
    <mergeCell ref="A291:G291"/>
    <mergeCell ref="A284:G284"/>
    <mergeCell ref="A363:G363"/>
    <mergeCell ref="A130:G130"/>
    <mergeCell ref="A203:G203"/>
    <mergeCell ref="A275:G275"/>
    <mergeCell ref="A1:G1"/>
    <mergeCell ref="A2:G2"/>
    <mergeCell ref="A69:G69"/>
    <mergeCell ref="A93:G93"/>
    <mergeCell ref="A113:G113"/>
  </mergeCells>
  <pageMargins left="0.31" right="0.21" top="0.54" bottom="0.59" header="0.3" footer="0.3"/>
  <pageSetup paperSize="9" orientation="portrait" horizontalDpi="0" verticalDpi="0" r:id="rId1"/>
  <headerFooter>
    <oddHeader>&amp;C&amp;"Angsana New,Regular"&amp;P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3F81-CF61-4DCB-861C-5BEE6BEAB220}">
  <sheetPr>
    <pageSetUpPr fitToPage="1"/>
  </sheetPr>
  <dimension ref="A1:AI94"/>
  <sheetViews>
    <sheetView topLeftCell="A8" zoomScale="80" zoomScaleNormal="80" workbookViewId="0">
      <selection activeCell="O53" sqref="O53"/>
    </sheetView>
  </sheetViews>
  <sheetFormatPr defaultColWidth="7.875" defaultRowHeight="23.25" x14ac:dyDescent="0.5"/>
  <cols>
    <col min="1" max="1" width="5.625" style="263" customWidth="1"/>
    <col min="2" max="2" width="23.25" style="225" customWidth="1"/>
    <col min="3" max="4" width="12.125" style="225" customWidth="1"/>
    <col min="5" max="5" width="10.75" style="225" customWidth="1"/>
    <col min="6" max="6" width="12" style="223" customWidth="1"/>
    <col min="7" max="7" width="9" style="264" customWidth="1"/>
    <col min="8" max="8" width="12.375" style="225" customWidth="1"/>
    <col min="9" max="9" width="14.25" style="225" customWidth="1"/>
    <col min="10" max="10" width="10.5" style="223" customWidth="1"/>
    <col min="11" max="11" width="10" style="224" customWidth="1"/>
    <col min="12" max="12" width="7.5" style="225" customWidth="1"/>
    <col min="13" max="13" width="24.5" style="225" customWidth="1"/>
    <col min="14" max="14" width="9.75" style="225" customWidth="1"/>
    <col min="15" max="19" width="11" style="225" customWidth="1"/>
    <col min="20" max="20" width="12.25" style="225" customWidth="1"/>
    <col min="21" max="21" width="7.875" style="225" customWidth="1"/>
    <col min="22" max="22" width="7.5" style="225" customWidth="1"/>
    <col min="23" max="23" width="24.5" style="225" customWidth="1"/>
    <col min="24" max="24" width="12.875" style="225" customWidth="1"/>
    <col min="25" max="25" width="11" style="225" customWidth="1"/>
    <col min="26" max="26" width="12.125" style="225" customWidth="1"/>
    <col min="27" max="27" width="7.375" style="225" customWidth="1"/>
    <col min="28" max="28" width="7.75" style="225" customWidth="1"/>
    <col min="29" max="29" width="22.75" style="225" customWidth="1"/>
    <col min="30" max="30" width="10.625" style="225" customWidth="1"/>
    <col min="31" max="31" width="11.125" style="252" customWidth="1"/>
    <col min="32" max="32" width="10.375" style="225" customWidth="1"/>
    <col min="33" max="33" width="10.875" style="225" customWidth="1"/>
    <col min="34" max="34" width="9.125" style="225" customWidth="1"/>
    <col min="35" max="35" width="8.875" style="225" customWidth="1"/>
    <col min="36" max="16384" width="7.875" style="225"/>
  </cols>
  <sheetData>
    <row r="1" spans="1:34" ht="42" customHeight="1" x14ac:dyDescent="0.6">
      <c r="A1" s="368" t="s">
        <v>677</v>
      </c>
      <c r="B1" s="368"/>
      <c r="C1" s="368"/>
      <c r="D1" s="368"/>
      <c r="E1" s="368"/>
      <c r="F1" s="368"/>
      <c r="G1" s="368"/>
      <c r="H1" s="368"/>
      <c r="I1" s="368"/>
      <c r="L1" s="369" t="s">
        <v>678</v>
      </c>
      <c r="M1" s="369"/>
      <c r="N1" s="369"/>
      <c r="O1" s="369"/>
      <c r="P1" s="369"/>
      <c r="Q1" s="369"/>
      <c r="R1" s="369"/>
      <c r="S1" s="369"/>
      <c r="T1" s="369"/>
      <c r="V1" s="369" t="s">
        <v>679</v>
      </c>
      <c r="W1" s="369"/>
      <c r="X1" s="369"/>
      <c r="Y1" s="369"/>
      <c r="Z1" s="369"/>
      <c r="AB1" s="370" t="s">
        <v>680</v>
      </c>
      <c r="AC1" s="370"/>
      <c r="AD1" s="370"/>
      <c r="AE1" s="370"/>
      <c r="AF1" s="370"/>
      <c r="AG1" s="370"/>
      <c r="AH1" s="226"/>
    </row>
    <row r="2" spans="1:34" s="233" customFormat="1" ht="46.5" x14ac:dyDescent="0.5">
      <c r="A2" s="227" t="s">
        <v>377</v>
      </c>
      <c r="B2" s="227" t="s">
        <v>378</v>
      </c>
      <c r="C2" s="228" t="s">
        <v>379</v>
      </c>
      <c r="D2" s="228" t="s">
        <v>380</v>
      </c>
      <c r="E2" s="228" t="s">
        <v>381</v>
      </c>
      <c r="F2" s="229" t="s">
        <v>382</v>
      </c>
      <c r="G2" s="230" t="s">
        <v>383</v>
      </c>
      <c r="H2" s="228" t="s">
        <v>384</v>
      </c>
      <c r="I2" s="227" t="s">
        <v>385</v>
      </c>
      <c r="J2" s="231"/>
      <c r="K2" s="232"/>
      <c r="L2" s="227" t="s">
        <v>377</v>
      </c>
      <c r="M2" s="227" t="s">
        <v>378</v>
      </c>
      <c r="N2" s="227" t="s">
        <v>386</v>
      </c>
      <c r="O2" s="227" t="s">
        <v>387</v>
      </c>
      <c r="P2" s="227" t="s">
        <v>388</v>
      </c>
      <c r="Q2" s="227" t="s">
        <v>389</v>
      </c>
      <c r="R2" s="227" t="s">
        <v>681</v>
      </c>
      <c r="S2" s="227" t="s">
        <v>390</v>
      </c>
      <c r="T2" s="227" t="s">
        <v>391</v>
      </c>
      <c r="V2" s="227" t="s">
        <v>377</v>
      </c>
      <c r="W2" s="227" t="s">
        <v>378</v>
      </c>
      <c r="X2" s="227" t="s">
        <v>392</v>
      </c>
      <c r="Y2" s="227" t="s">
        <v>393</v>
      </c>
      <c r="Z2" s="227" t="s">
        <v>391</v>
      </c>
      <c r="AA2" s="234"/>
      <c r="AB2" s="227" t="s">
        <v>377</v>
      </c>
      <c r="AC2" s="227" t="s">
        <v>378</v>
      </c>
      <c r="AD2" s="227" t="s">
        <v>394</v>
      </c>
      <c r="AE2" s="235" t="s">
        <v>395</v>
      </c>
      <c r="AF2" s="228" t="s">
        <v>396</v>
      </c>
      <c r="AG2" s="227" t="s">
        <v>391</v>
      </c>
      <c r="AH2" s="225"/>
    </row>
    <row r="3" spans="1:34" x14ac:dyDescent="0.5">
      <c r="A3" s="236">
        <v>1</v>
      </c>
      <c r="B3" s="219" t="s">
        <v>332</v>
      </c>
      <c r="C3" s="237">
        <v>169218.43</v>
      </c>
      <c r="D3" s="237">
        <v>0</v>
      </c>
      <c r="E3" s="237">
        <v>0</v>
      </c>
      <c r="F3" s="238">
        <v>0</v>
      </c>
      <c r="G3" s="239">
        <v>0</v>
      </c>
      <c r="H3" s="240">
        <f>+C3+D3+E3+F3+G3</f>
        <v>169218.43</v>
      </c>
      <c r="I3" s="220"/>
      <c r="J3" s="241">
        <f>+H3*100/H52</f>
        <v>25.900563034179275</v>
      </c>
      <c r="L3" s="236">
        <v>1</v>
      </c>
      <c r="M3" s="219" t="s">
        <v>333</v>
      </c>
      <c r="N3" s="242">
        <v>0</v>
      </c>
      <c r="O3" s="242">
        <v>38312.660000000003</v>
      </c>
      <c r="P3" s="242">
        <v>0</v>
      </c>
      <c r="Q3" s="242">
        <v>0</v>
      </c>
      <c r="R3" s="242">
        <v>4475.2</v>
      </c>
      <c r="S3" s="242">
        <v>0</v>
      </c>
      <c r="T3" s="242">
        <f>N3+O3+P3+Q3+R3+S3</f>
        <v>42787.86</v>
      </c>
      <c r="U3" s="241">
        <f>+T3*100/T12</f>
        <v>36.188600840997822</v>
      </c>
      <c r="V3" s="236">
        <v>1</v>
      </c>
      <c r="W3" s="219" t="s">
        <v>333</v>
      </c>
      <c r="X3" s="237">
        <v>42787.86</v>
      </c>
      <c r="Y3" s="242">
        <v>0</v>
      </c>
      <c r="Z3" s="242">
        <f>+X3+Y3</f>
        <v>42787.86</v>
      </c>
      <c r="AA3" s="243"/>
      <c r="AB3" s="236">
        <v>1</v>
      </c>
      <c r="AC3" s="219" t="s">
        <v>339</v>
      </c>
      <c r="AD3" s="237">
        <v>4909.7008000000005</v>
      </c>
      <c r="AE3" s="244">
        <v>23800</v>
      </c>
      <c r="AF3" s="245">
        <v>0</v>
      </c>
      <c r="AG3" s="242">
        <f>+AD3+AF3</f>
        <v>4909.7008000000005</v>
      </c>
    </row>
    <row r="4" spans="1:34" x14ac:dyDescent="0.5">
      <c r="A4" s="236">
        <v>2</v>
      </c>
      <c r="B4" s="219" t="s">
        <v>333</v>
      </c>
      <c r="C4" s="237">
        <v>90395.7</v>
      </c>
      <c r="D4" s="237">
        <v>42787.86</v>
      </c>
      <c r="E4" s="237">
        <v>0</v>
      </c>
      <c r="F4" s="238">
        <v>0</v>
      </c>
      <c r="G4" s="239">
        <v>0</v>
      </c>
      <c r="H4" s="240">
        <f t="shared" ref="H4:H51" si="0">+C4+D4+E4+F4+G4</f>
        <v>133183.56</v>
      </c>
      <c r="I4" s="337" t="s">
        <v>392</v>
      </c>
      <c r="J4" s="246">
        <f>+H4*100/H52</f>
        <v>20.385067932000062</v>
      </c>
      <c r="L4" s="236">
        <v>2</v>
      </c>
      <c r="M4" s="219" t="s">
        <v>336</v>
      </c>
      <c r="N4" s="242">
        <v>1436.5</v>
      </c>
      <c r="O4" s="242">
        <v>40115.65</v>
      </c>
      <c r="P4" s="242">
        <v>0</v>
      </c>
      <c r="Q4" s="242">
        <v>0</v>
      </c>
      <c r="R4" s="242">
        <v>0</v>
      </c>
      <c r="S4" s="242">
        <v>0</v>
      </c>
      <c r="T4" s="242">
        <f t="shared" ref="T4:T11" si="1">N4+O4+P4+Q4+R4+S4</f>
        <v>41552.15</v>
      </c>
      <c r="U4" s="241">
        <f>+T4*100/T12</f>
        <v>35.143476921614393</v>
      </c>
      <c r="V4" s="236">
        <v>2</v>
      </c>
      <c r="W4" s="219" t="s">
        <v>336</v>
      </c>
      <c r="X4" s="242">
        <v>35209.47</v>
      </c>
      <c r="Y4" s="242">
        <v>6342.68</v>
      </c>
      <c r="Z4" s="242">
        <f t="shared" ref="Z4:Z10" si="2">+X4+Y4</f>
        <v>41552.15</v>
      </c>
      <c r="AA4" s="243"/>
      <c r="AB4" s="236">
        <v>2</v>
      </c>
      <c r="AC4" s="219" t="s">
        <v>569</v>
      </c>
      <c r="AD4" s="237">
        <v>2829</v>
      </c>
      <c r="AE4" s="244">
        <v>15000</v>
      </c>
      <c r="AF4" s="245">
        <v>0</v>
      </c>
      <c r="AG4" s="242">
        <f>+AD4+AF4</f>
        <v>2829</v>
      </c>
    </row>
    <row r="5" spans="1:34" x14ac:dyDescent="0.5">
      <c r="A5" s="236">
        <v>3</v>
      </c>
      <c r="B5" s="219" t="s">
        <v>334</v>
      </c>
      <c r="C5" s="237">
        <v>131868.13999999998</v>
      </c>
      <c r="D5" s="237">
        <v>0</v>
      </c>
      <c r="E5" s="237">
        <v>0</v>
      </c>
      <c r="F5" s="238">
        <v>0</v>
      </c>
      <c r="G5" s="239">
        <v>0</v>
      </c>
      <c r="H5" s="240">
        <f t="shared" si="0"/>
        <v>131868.13999999998</v>
      </c>
      <c r="I5" s="220"/>
      <c r="J5" s="246">
        <f>+H5*100/H52</f>
        <v>20.183729823459398</v>
      </c>
      <c r="L5" s="236">
        <v>3</v>
      </c>
      <c r="M5" s="219" t="s">
        <v>340</v>
      </c>
      <c r="N5" s="242">
        <v>0</v>
      </c>
      <c r="O5" s="220">
        <v>14388.910000000002</v>
      </c>
      <c r="P5" s="242">
        <v>0</v>
      </c>
      <c r="Q5" s="242">
        <v>0</v>
      </c>
      <c r="R5" s="242">
        <v>0</v>
      </c>
      <c r="S5" s="242">
        <v>0</v>
      </c>
      <c r="T5" s="242">
        <f t="shared" si="1"/>
        <v>14388.910000000002</v>
      </c>
      <c r="U5" s="241">
        <f>+T5*100/T12</f>
        <v>12.169678982006626</v>
      </c>
      <c r="V5" s="236">
        <v>3</v>
      </c>
      <c r="W5" s="219" t="s">
        <v>340</v>
      </c>
      <c r="X5" s="220">
        <v>14388.910000000002</v>
      </c>
      <c r="Y5" s="242">
        <v>0</v>
      </c>
      <c r="Z5" s="242">
        <f t="shared" si="2"/>
        <v>14388.910000000002</v>
      </c>
      <c r="AA5" s="243"/>
      <c r="AB5" s="236">
        <v>3</v>
      </c>
      <c r="AC5" s="219" t="s">
        <v>349</v>
      </c>
      <c r="AD5" s="237">
        <v>2216</v>
      </c>
      <c r="AE5" s="244">
        <v>2000</v>
      </c>
      <c r="AF5" s="245">
        <v>0</v>
      </c>
      <c r="AG5" s="242">
        <f t="shared" ref="AG5:AG8" si="3">+AD5+AF5</f>
        <v>2216</v>
      </c>
    </row>
    <row r="6" spans="1:34" x14ac:dyDescent="0.5">
      <c r="A6" s="236">
        <v>4</v>
      </c>
      <c r="B6" s="219" t="s">
        <v>335</v>
      </c>
      <c r="C6" s="237">
        <v>55416.69999999999</v>
      </c>
      <c r="D6" s="237">
        <v>0</v>
      </c>
      <c r="E6" s="237">
        <v>0</v>
      </c>
      <c r="F6" s="238">
        <v>0</v>
      </c>
      <c r="G6" s="239">
        <v>0</v>
      </c>
      <c r="H6" s="240">
        <f t="shared" si="0"/>
        <v>55416.69999999999</v>
      </c>
      <c r="I6" s="220"/>
      <c r="J6" s="246">
        <f>+H6*100/H52</f>
        <v>8.4820768724553357</v>
      </c>
      <c r="L6" s="236">
        <v>4</v>
      </c>
      <c r="M6" s="219" t="s">
        <v>337</v>
      </c>
      <c r="N6" s="242">
        <v>0</v>
      </c>
      <c r="O6" s="242">
        <v>9588.75</v>
      </c>
      <c r="P6" s="242">
        <v>296.5</v>
      </c>
      <c r="Q6" s="242">
        <v>0</v>
      </c>
      <c r="R6" s="242">
        <v>0</v>
      </c>
      <c r="S6" s="242">
        <v>0</v>
      </c>
      <c r="T6" s="242">
        <f t="shared" si="1"/>
        <v>9885.25</v>
      </c>
      <c r="U6" s="241">
        <f>+T6*100/T12</f>
        <v>8.360627674846878</v>
      </c>
      <c r="V6" s="236">
        <v>4</v>
      </c>
      <c r="W6" s="219" t="s">
        <v>337</v>
      </c>
      <c r="X6" s="242">
        <v>9885.25</v>
      </c>
      <c r="Y6" s="242">
        <v>0</v>
      </c>
      <c r="Z6" s="242">
        <f t="shared" si="2"/>
        <v>9885.25</v>
      </c>
      <c r="AA6" s="243"/>
      <c r="AB6" s="236">
        <v>4</v>
      </c>
      <c r="AC6" s="219" t="s">
        <v>360</v>
      </c>
      <c r="AD6" s="237">
        <v>251.14999999999998</v>
      </c>
      <c r="AE6" s="244">
        <v>500</v>
      </c>
      <c r="AF6" s="245">
        <v>0</v>
      </c>
      <c r="AG6" s="242">
        <f t="shared" si="3"/>
        <v>251.14999999999998</v>
      </c>
    </row>
    <row r="7" spans="1:34" x14ac:dyDescent="0.5">
      <c r="A7" s="236">
        <v>5</v>
      </c>
      <c r="B7" s="219" t="s">
        <v>336</v>
      </c>
      <c r="C7" s="237">
        <v>4137.42</v>
      </c>
      <c r="D7" s="237">
        <v>41552.15</v>
      </c>
      <c r="E7" s="237">
        <v>0</v>
      </c>
      <c r="F7" s="238">
        <v>1989</v>
      </c>
      <c r="G7" s="239">
        <v>0</v>
      </c>
      <c r="H7" s="240">
        <f t="shared" si="0"/>
        <v>47678.57</v>
      </c>
      <c r="I7" s="337" t="s">
        <v>684</v>
      </c>
      <c r="J7" s="246">
        <f>+H7*100/H52</f>
        <v>7.2976791456139196</v>
      </c>
      <c r="L7" s="236">
        <v>5</v>
      </c>
      <c r="M7" s="219" t="s">
        <v>344</v>
      </c>
      <c r="N7" s="242">
        <v>0</v>
      </c>
      <c r="O7" s="237">
        <v>1074.3</v>
      </c>
      <c r="P7" s="242">
        <v>0</v>
      </c>
      <c r="Q7" s="242">
        <v>0</v>
      </c>
      <c r="R7" s="242">
        <v>0</v>
      </c>
      <c r="S7" s="242">
        <v>0</v>
      </c>
      <c r="T7" s="242">
        <f t="shared" si="1"/>
        <v>1074.3</v>
      </c>
      <c r="U7" s="241">
        <f>+T7*100/T12</f>
        <v>0.90860851380470908</v>
      </c>
      <c r="V7" s="236">
        <v>5</v>
      </c>
      <c r="W7" s="219" t="s">
        <v>344</v>
      </c>
      <c r="X7" s="237">
        <v>1074.3</v>
      </c>
      <c r="Y7" s="242">
        <v>0</v>
      </c>
      <c r="Z7" s="242">
        <f t="shared" si="2"/>
        <v>1074.3</v>
      </c>
      <c r="AA7" s="243"/>
      <c r="AB7" s="236">
        <v>5</v>
      </c>
      <c r="AC7" s="219" t="s">
        <v>363</v>
      </c>
      <c r="AD7" s="237">
        <v>204.28800000000001</v>
      </c>
      <c r="AE7" s="244">
        <v>560</v>
      </c>
      <c r="AF7" s="245">
        <v>0</v>
      </c>
      <c r="AG7" s="242">
        <f t="shared" si="3"/>
        <v>204.28800000000001</v>
      </c>
    </row>
    <row r="8" spans="1:34" x14ac:dyDescent="0.5">
      <c r="A8" s="236">
        <v>6</v>
      </c>
      <c r="B8" s="219" t="s">
        <v>340</v>
      </c>
      <c r="C8" s="220">
        <v>0</v>
      </c>
      <c r="D8" s="220">
        <v>14388.910000000002</v>
      </c>
      <c r="E8" s="237">
        <v>0</v>
      </c>
      <c r="F8" s="238">
        <v>0</v>
      </c>
      <c r="G8" s="239">
        <v>0</v>
      </c>
      <c r="H8" s="240">
        <f t="shared" si="0"/>
        <v>14388.910000000002</v>
      </c>
      <c r="I8" s="337" t="s">
        <v>392</v>
      </c>
      <c r="J8" s="246">
        <f>+H8*100/H52</f>
        <v>2.2023657260508358</v>
      </c>
      <c r="L8" s="236">
        <v>6</v>
      </c>
      <c r="M8" s="219" t="s">
        <v>345</v>
      </c>
      <c r="N8" s="242">
        <v>0</v>
      </c>
      <c r="O8" s="220">
        <v>4962.37</v>
      </c>
      <c r="P8" s="242">
        <v>0</v>
      </c>
      <c r="Q8" s="242">
        <v>0</v>
      </c>
      <c r="R8" s="242">
        <v>0</v>
      </c>
      <c r="S8" s="242">
        <v>0</v>
      </c>
      <c r="T8" s="242">
        <f t="shared" si="1"/>
        <v>4962.37</v>
      </c>
      <c r="U8" s="241">
        <f>+T8*100/T12</f>
        <v>4.1970135256902861</v>
      </c>
      <c r="V8" s="236">
        <v>6</v>
      </c>
      <c r="W8" s="219" t="s">
        <v>345</v>
      </c>
      <c r="X8" s="220">
        <v>4962.37</v>
      </c>
      <c r="Y8" s="242">
        <v>0</v>
      </c>
      <c r="Z8" s="242">
        <f t="shared" si="2"/>
        <v>4962.37</v>
      </c>
      <c r="AA8" s="243"/>
      <c r="AB8" s="236">
        <v>6</v>
      </c>
      <c r="AC8" s="219" t="s">
        <v>670</v>
      </c>
      <c r="AD8" s="237">
        <v>170.5</v>
      </c>
      <c r="AE8" s="244">
        <v>500</v>
      </c>
      <c r="AF8" s="245">
        <v>0</v>
      </c>
      <c r="AG8" s="242">
        <f t="shared" si="3"/>
        <v>170.5</v>
      </c>
    </row>
    <row r="9" spans="1:34" ht="24" thickBot="1" x14ac:dyDescent="0.55000000000000004">
      <c r="A9" s="236">
        <v>7</v>
      </c>
      <c r="B9" s="219" t="s">
        <v>337</v>
      </c>
      <c r="C9" s="237">
        <v>3422</v>
      </c>
      <c r="D9" s="237">
        <v>9885.25</v>
      </c>
      <c r="E9" s="237">
        <v>0</v>
      </c>
      <c r="F9" s="238">
        <v>0</v>
      </c>
      <c r="G9" s="239">
        <v>0</v>
      </c>
      <c r="H9" s="240">
        <f t="shared" si="0"/>
        <v>13307.25</v>
      </c>
      <c r="I9" s="337" t="s">
        <v>392</v>
      </c>
      <c r="J9" s="246">
        <f>+H9*100/H52</f>
        <v>2.0368069094872356</v>
      </c>
      <c r="L9" s="236">
        <v>7</v>
      </c>
      <c r="M9" s="219" t="s">
        <v>354</v>
      </c>
      <c r="N9" s="242">
        <v>0</v>
      </c>
      <c r="O9" s="220">
        <v>2104.25</v>
      </c>
      <c r="P9" s="242">
        <v>0</v>
      </c>
      <c r="Q9" s="242">
        <v>0</v>
      </c>
      <c r="R9" s="242">
        <v>0</v>
      </c>
      <c r="S9" s="242">
        <v>0</v>
      </c>
      <c r="T9" s="242">
        <f t="shared" si="1"/>
        <v>2104.25</v>
      </c>
      <c r="U9" s="241">
        <f>+T9*100/T12</f>
        <v>1.7797072188155627</v>
      </c>
      <c r="V9" s="236">
        <v>7</v>
      </c>
      <c r="W9" s="219" t="s">
        <v>354</v>
      </c>
      <c r="X9" s="220">
        <v>2104.25</v>
      </c>
      <c r="Y9" s="242">
        <v>0</v>
      </c>
      <c r="Z9" s="242">
        <f t="shared" si="2"/>
        <v>2104.25</v>
      </c>
      <c r="AA9" s="243"/>
      <c r="AB9" s="247"/>
      <c r="AC9" s="248" t="s">
        <v>397</v>
      </c>
      <c r="AD9" s="249">
        <f>SUM(AD3:AD8)</f>
        <v>10580.638800000001</v>
      </c>
      <c r="AE9" s="250">
        <f>SUM(AE3:AE8)</f>
        <v>42360</v>
      </c>
      <c r="AF9" s="251">
        <f>SUM(AF3:AF8)</f>
        <v>0</v>
      </c>
      <c r="AG9" s="251">
        <f>SUM(AG3:AG8)</f>
        <v>10580.638800000001</v>
      </c>
    </row>
    <row r="10" spans="1:34" ht="24" thickTop="1" x14ac:dyDescent="0.5">
      <c r="A10" s="236">
        <v>8</v>
      </c>
      <c r="B10" s="221" t="s">
        <v>338</v>
      </c>
      <c r="C10" s="220">
        <v>8923.4</v>
      </c>
      <c r="D10" s="237">
        <v>0</v>
      </c>
      <c r="E10" s="237">
        <v>0</v>
      </c>
      <c r="F10" s="238">
        <v>0</v>
      </c>
      <c r="G10" s="239">
        <v>0</v>
      </c>
      <c r="H10" s="240">
        <f t="shared" si="0"/>
        <v>8923.4</v>
      </c>
      <c r="I10" s="220"/>
      <c r="J10" s="246">
        <f>+H10*100/H52</f>
        <v>1.3658150839668901</v>
      </c>
      <c r="L10" s="236">
        <v>8</v>
      </c>
      <c r="M10" s="219" t="s">
        <v>667</v>
      </c>
      <c r="N10" s="242">
        <v>0</v>
      </c>
      <c r="O10" s="220">
        <v>1025.6500000000001</v>
      </c>
      <c r="P10" s="242">
        <v>0</v>
      </c>
      <c r="Q10" s="242">
        <v>0</v>
      </c>
      <c r="R10" s="242">
        <v>0</v>
      </c>
      <c r="S10" s="242">
        <v>0</v>
      </c>
      <c r="T10" s="242">
        <f t="shared" si="1"/>
        <v>1025.6500000000001</v>
      </c>
      <c r="U10" s="241">
        <f>+T10*100/T12</f>
        <v>0.86746190280536162</v>
      </c>
      <c r="V10" s="236">
        <v>8</v>
      </c>
      <c r="W10" s="219" t="s">
        <v>667</v>
      </c>
      <c r="X10" s="220">
        <v>1025.6500000000001</v>
      </c>
      <c r="Y10" s="242">
        <v>0</v>
      </c>
      <c r="Z10" s="242">
        <f t="shared" si="2"/>
        <v>1025.6500000000001</v>
      </c>
      <c r="AA10" s="243"/>
    </row>
    <row r="11" spans="1:34" x14ac:dyDescent="0.5">
      <c r="A11" s="236">
        <v>9</v>
      </c>
      <c r="B11" s="219" t="s">
        <v>347</v>
      </c>
      <c r="C11" s="220">
        <v>6181.45</v>
      </c>
      <c r="D11" s="237">
        <v>0</v>
      </c>
      <c r="E11" s="237">
        <v>0</v>
      </c>
      <c r="F11" s="238">
        <v>0</v>
      </c>
      <c r="G11" s="239">
        <v>0</v>
      </c>
      <c r="H11" s="240">
        <f t="shared" si="0"/>
        <v>6181.45</v>
      </c>
      <c r="I11" s="220"/>
      <c r="J11" s="246">
        <f>+H11*100/H52</f>
        <v>0.94613237676077877</v>
      </c>
      <c r="L11" s="236">
        <v>10</v>
      </c>
      <c r="M11" s="219" t="s">
        <v>367</v>
      </c>
      <c r="N11" s="242">
        <v>0</v>
      </c>
      <c r="O11" s="220">
        <v>455</v>
      </c>
      <c r="P11" s="242">
        <v>0</v>
      </c>
      <c r="Q11" s="242">
        <v>0</v>
      </c>
      <c r="R11" s="242">
        <v>0</v>
      </c>
      <c r="S11" s="242">
        <v>0</v>
      </c>
      <c r="T11" s="242">
        <f t="shared" si="1"/>
        <v>455</v>
      </c>
      <c r="U11" s="241">
        <f>+T11*100/T12</f>
        <v>0.3848244194183586</v>
      </c>
      <c r="V11" s="236">
        <v>10</v>
      </c>
      <c r="W11" s="219" t="s">
        <v>367</v>
      </c>
      <c r="X11" s="220">
        <v>455</v>
      </c>
      <c r="Y11" s="242">
        <v>0</v>
      </c>
      <c r="Z11" s="242">
        <f>+X11+Y11</f>
        <v>455</v>
      </c>
      <c r="AA11" s="253"/>
    </row>
    <row r="12" spans="1:34" ht="24" thickBot="1" x14ac:dyDescent="0.55000000000000004">
      <c r="A12" s="236">
        <v>10</v>
      </c>
      <c r="B12" s="219" t="s">
        <v>344</v>
      </c>
      <c r="C12" s="237">
        <v>4925.1000000000004</v>
      </c>
      <c r="D12" s="237">
        <v>1074.3</v>
      </c>
      <c r="E12" s="237">
        <v>0</v>
      </c>
      <c r="F12" s="238">
        <v>0</v>
      </c>
      <c r="G12" s="239">
        <v>0</v>
      </c>
      <c r="H12" s="240">
        <f t="shared" si="0"/>
        <v>5999.4000000000005</v>
      </c>
      <c r="I12" s="337" t="s">
        <v>392</v>
      </c>
      <c r="J12" s="246">
        <f>+H12*100/H52</f>
        <v>0.91826781437019078</v>
      </c>
      <c r="L12" s="254"/>
      <c r="M12" s="255" t="s">
        <v>397</v>
      </c>
      <c r="N12" s="256">
        <f t="shared" ref="N12:T12" si="4">SUM(N3:N11)</f>
        <v>1436.5</v>
      </c>
      <c r="O12" s="256">
        <f t="shared" si="4"/>
        <v>112027.54</v>
      </c>
      <c r="P12" s="256">
        <f t="shared" si="4"/>
        <v>296.5</v>
      </c>
      <c r="Q12" s="256">
        <f t="shared" si="4"/>
        <v>0</v>
      </c>
      <c r="R12" s="256">
        <f t="shared" si="4"/>
        <v>4475.2</v>
      </c>
      <c r="S12" s="256">
        <f t="shared" si="4"/>
        <v>0</v>
      </c>
      <c r="T12" s="256">
        <f t="shared" si="4"/>
        <v>118235.74</v>
      </c>
      <c r="U12" s="241"/>
      <c r="V12" s="254"/>
      <c r="W12" s="255" t="s">
        <v>397</v>
      </c>
      <c r="X12" s="256">
        <f>SUM(X3:X11)</f>
        <v>111893.06</v>
      </c>
      <c r="Y12" s="256">
        <f t="shared" ref="Y12" si="5">SUM(Y3:Y11)</f>
        <v>6342.68</v>
      </c>
      <c r="Z12" s="256">
        <f>SUM(Z3:Z11)</f>
        <v>118235.74</v>
      </c>
    </row>
    <row r="13" spans="1:34" ht="24" thickTop="1" x14ac:dyDescent="0.5">
      <c r="A13" s="236">
        <v>11</v>
      </c>
      <c r="B13" s="219" t="s">
        <v>341</v>
      </c>
      <c r="C13" s="220">
        <v>5907.5499999999993</v>
      </c>
      <c r="D13" s="237">
        <v>0</v>
      </c>
      <c r="E13" s="237">
        <v>0</v>
      </c>
      <c r="F13" s="238">
        <v>0</v>
      </c>
      <c r="G13" s="239">
        <v>0</v>
      </c>
      <c r="H13" s="240">
        <f t="shared" si="0"/>
        <v>5907.5499999999993</v>
      </c>
      <c r="I13" s="220"/>
      <c r="J13" s="257"/>
      <c r="U13" s="241"/>
    </row>
    <row r="14" spans="1:34" x14ac:dyDescent="0.5">
      <c r="A14" s="236">
        <v>12</v>
      </c>
      <c r="B14" s="219" t="s">
        <v>343</v>
      </c>
      <c r="C14" s="220">
        <v>5684.15</v>
      </c>
      <c r="D14" s="237">
        <v>0</v>
      </c>
      <c r="E14" s="237">
        <v>0</v>
      </c>
      <c r="F14" s="238">
        <v>0</v>
      </c>
      <c r="G14" s="239">
        <v>0</v>
      </c>
      <c r="H14" s="240">
        <f t="shared" si="0"/>
        <v>5684.15</v>
      </c>
      <c r="I14" s="220"/>
      <c r="J14" s="257"/>
      <c r="K14" s="258"/>
      <c r="N14" s="259">
        <f>+N12*100/T12</f>
        <v>1.2149456670208179</v>
      </c>
      <c r="O14" s="259">
        <f>+O12*100/T12</f>
        <v>94.74930338322406</v>
      </c>
      <c r="P14" s="259">
        <f>+P12*100/T12</f>
        <v>0.25077019858800731</v>
      </c>
      <c r="Q14" s="259">
        <f>+Q12*100/T12</f>
        <v>0</v>
      </c>
      <c r="R14" s="259">
        <f>+R12*100/T12</f>
        <v>3.7849807511671174</v>
      </c>
      <c r="S14" s="259">
        <f>+S12*100/T12</f>
        <v>0</v>
      </c>
      <c r="X14" s="259">
        <f>+X12*100/Z12</f>
        <v>94.635564508667173</v>
      </c>
      <c r="Y14" s="259">
        <f>+Y12*100/Z12</f>
        <v>5.3644354913328236</v>
      </c>
      <c r="Z14" s="259"/>
    </row>
    <row r="15" spans="1:34" ht="23.25" customHeight="1" x14ac:dyDescent="0.5">
      <c r="A15" s="236">
        <v>13</v>
      </c>
      <c r="B15" s="219" t="s">
        <v>345</v>
      </c>
      <c r="C15" s="237">
        <v>0</v>
      </c>
      <c r="D15" s="220">
        <v>4962.37</v>
      </c>
      <c r="E15" s="237">
        <v>0</v>
      </c>
      <c r="F15" s="238">
        <v>0</v>
      </c>
      <c r="G15" s="239">
        <v>0</v>
      </c>
      <c r="H15" s="240">
        <f t="shared" si="0"/>
        <v>4962.37</v>
      </c>
      <c r="I15" s="337" t="s">
        <v>392</v>
      </c>
      <c r="J15" s="257"/>
      <c r="K15" s="258"/>
    </row>
    <row r="16" spans="1:34" ht="23.25" customHeight="1" x14ac:dyDescent="0.6">
      <c r="A16" s="236">
        <v>14</v>
      </c>
      <c r="B16" s="219" t="s">
        <v>339</v>
      </c>
      <c r="C16" s="237">
        <v>0</v>
      </c>
      <c r="D16" s="237">
        <v>0</v>
      </c>
      <c r="E16" s="220">
        <v>4909.7008000000005</v>
      </c>
      <c r="F16" s="238">
        <v>0</v>
      </c>
      <c r="G16" s="239">
        <v>0</v>
      </c>
      <c r="H16" s="240">
        <f t="shared" si="0"/>
        <v>4909.7008000000005</v>
      </c>
      <c r="I16" s="220"/>
      <c r="J16" s="257"/>
      <c r="K16" s="258"/>
      <c r="AH16" s="226"/>
    </row>
    <row r="17" spans="1:11" ht="23.25" customHeight="1" x14ac:dyDescent="0.5">
      <c r="A17" s="236">
        <v>15</v>
      </c>
      <c r="B17" s="219" t="s">
        <v>342</v>
      </c>
      <c r="C17" s="237">
        <v>4701.8</v>
      </c>
      <c r="D17" s="237">
        <v>0</v>
      </c>
      <c r="E17" s="237">
        <v>0</v>
      </c>
      <c r="F17" s="238">
        <v>0</v>
      </c>
      <c r="G17" s="239">
        <v>0</v>
      </c>
      <c r="H17" s="240">
        <f t="shared" si="0"/>
        <v>4701.8</v>
      </c>
      <c r="I17" s="220"/>
      <c r="J17" s="257"/>
      <c r="K17" s="258"/>
    </row>
    <row r="18" spans="1:11" ht="23.25" customHeight="1" x14ac:dyDescent="0.5">
      <c r="A18" s="236">
        <v>16</v>
      </c>
      <c r="B18" s="219" t="s">
        <v>356</v>
      </c>
      <c r="C18" s="220">
        <v>4118.5</v>
      </c>
      <c r="D18" s="237">
        <v>0</v>
      </c>
      <c r="E18" s="237">
        <v>0</v>
      </c>
      <c r="F18" s="238">
        <v>0</v>
      </c>
      <c r="G18" s="239">
        <v>0</v>
      </c>
      <c r="H18" s="240">
        <f t="shared" si="0"/>
        <v>4118.5</v>
      </c>
      <c r="I18" s="220"/>
      <c r="J18" s="257"/>
      <c r="K18" s="258"/>
    </row>
    <row r="19" spans="1:11" ht="23.25" customHeight="1" x14ac:dyDescent="0.5">
      <c r="A19" s="236">
        <v>17</v>
      </c>
      <c r="B19" s="219" t="s">
        <v>575</v>
      </c>
      <c r="C19" s="220">
        <v>3987.95</v>
      </c>
      <c r="D19" s="237">
        <v>0</v>
      </c>
      <c r="E19" s="237">
        <v>0</v>
      </c>
      <c r="F19" s="238">
        <v>0</v>
      </c>
      <c r="G19" s="239">
        <v>0</v>
      </c>
      <c r="H19" s="240">
        <f t="shared" si="0"/>
        <v>3987.95</v>
      </c>
      <c r="I19" s="220"/>
      <c r="J19" s="257"/>
      <c r="K19" s="258"/>
    </row>
    <row r="20" spans="1:11" ht="23.25" customHeight="1" x14ac:dyDescent="0.5">
      <c r="A20" s="236">
        <v>18</v>
      </c>
      <c r="B20" s="219" t="s">
        <v>346</v>
      </c>
      <c r="C20" s="220">
        <v>3488.05</v>
      </c>
      <c r="D20" s="237">
        <v>0</v>
      </c>
      <c r="E20" s="237">
        <v>0</v>
      </c>
      <c r="F20" s="238">
        <v>0</v>
      </c>
      <c r="G20" s="239">
        <v>0</v>
      </c>
      <c r="H20" s="240">
        <f t="shared" si="0"/>
        <v>3488.05</v>
      </c>
      <c r="I20" s="220"/>
      <c r="J20" s="257"/>
      <c r="K20" s="258"/>
    </row>
    <row r="21" spans="1:11" x14ac:dyDescent="0.5">
      <c r="A21" s="236">
        <v>19</v>
      </c>
      <c r="B21" s="219" t="s">
        <v>350</v>
      </c>
      <c r="C21" s="220">
        <v>3034.6499999999996</v>
      </c>
      <c r="D21" s="237">
        <v>0</v>
      </c>
      <c r="E21" s="237">
        <v>0</v>
      </c>
      <c r="F21" s="238">
        <v>124.19999999999999</v>
      </c>
      <c r="G21" s="239">
        <v>0</v>
      </c>
      <c r="H21" s="240">
        <f t="shared" si="0"/>
        <v>3158.8499999999995</v>
      </c>
      <c r="I21" s="220"/>
      <c r="J21" s="257"/>
      <c r="K21" s="258"/>
    </row>
    <row r="22" spans="1:11" x14ac:dyDescent="0.5">
      <c r="A22" s="236">
        <v>20</v>
      </c>
      <c r="B22" s="219" t="s">
        <v>569</v>
      </c>
      <c r="C22" s="237">
        <v>0</v>
      </c>
      <c r="D22" s="237">
        <v>0</v>
      </c>
      <c r="E22" s="220">
        <v>2829</v>
      </c>
      <c r="F22" s="238">
        <v>0</v>
      </c>
      <c r="G22" s="239">
        <v>0</v>
      </c>
      <c r="H22" s="240">
        <f t="shared" si="0"/>
        <v>2829</v>
      </c>
      <c r="I22" s="220"/>
      <c r="J22" s="257"/>
      <c r="K22" s="258"/>
    </row>
    <row r="23" spans="1:11" x14ac:dyDescent="0.5">
      <c r="A23" s="236">
        <v>21</v>
      </c>
      <c r="B23" s="219" t="s">
        <v>349</v>
      </c>
      <c r="C23" s="237">
        <v>0</v>
      </c>
      <c r="D23" s="237">
        <v>0</v>
      </c>
      <c r="E23" s="220">
        <v>2216</v>
      </c>
      <c r="F23" s="238">
        <v>0</v>
      </c>
      <c r="G23" s="239">
        <v>0</v>
      </c>
      <c r="H23" s="240">
        <f t="shared" si="0"/>
        <v>2216</v>
      </c>
      <c r="I23" s="220"/>
      <c r="J23" s="257"/>
      <c r="K23" s="258"/>
    </row>
    <row r="24" spans="1:11" x14ac:dyDescent="0.5">
      <c r="A24" s="236">
        <v>22</v>
      </c>
      <c r="B24" s="219" t="s">
        <v>348</v>
      </c>
      <c r="C24" s="220">
        <v>2161.6</v>
      </c>
      <c r="D24" s="237">
        <v>0</v>
      </c>
      <c r="E24" s="237">
        <v>0</v>
      </c>
      <c r="F24" s="238">
        <v>0</v>
      </c>
      <c r="G24" s="239">
        <v>0</v>
      </c>
      <c r="H24" s="240">
        <f t="shared" si="0"/>
        <v>2161.6</v>
      </c>
      <c r="I24" s="220"/>
      <c r="J24" s="257"/>
      <c r="K24" s="258"/>
    </row>
    <row r="25" spans="1:11" x14ac:dyDescent="0.5">
      <c r="A25" s="236">
        <v>23</v>
      </c>
      <c r="B25" s="219" t="s">
        <v>354</v>
      </c>
      <c r="C25" s="237">
        <v>0</v>
      </c>
      <c r="D25" s="220">
        <v>2104.25</v>
      </c>
      <c r="E25" s="237">
        <v>0</v>
      </c>
      <c r="F25" s="238">
        <v>0</v>
      </c>
      <c r="G25" s="239">
        <v>0</v>
      </c>
      <c r="H25" s="240">
        <f t="shared" si="0"/>
        <v>2104.25</v>
      </c>
      <c r="I25" s="337" t="s">
        <v>392</v>
      </c>
      <c r="J25" s="257"/>
      <c r="K25" s="258"/>
    </row>
    <row r="26" spans="1:11" x14ac:dyDescent="0.5">
      <c r="A26" s="236">
        <v>24</v>
      </c>
      <c r="B26" s="219" t="s">
        <v>355</v>
      </c>
      <c r="C26" s="220">
        <v>1983.75</v>
      </c>
      <c r="D26" s="237">
        <v>0</v>
      </c>
      <c r="E26" s="237">
        <v>0</v>
      </c>
      <c r="F26" s="238">
        <v>0</v>
      </c>
      <c r="G26" s="239">
        <v>0</v>
      </c>
      <c r="H26" s="240">
        <f t="shared" si="0"/>
        <v>1983.75</v>
      </c>
      <c r="I26" s="220"/>
      <c r="J26" s="257"/>
      <c r="K26" s="258"/>
    </row>
    <row r="27" spans="1:11" x14ac:dyDescent="0.5">
      <c r="A27" s="236">
        <v>25</v>
      </c>
      <c r="B27" s="219" t="s">
        <v>352</v>
      </c>
      <c r="C27" s="220">
        <v>1971.35</v>
      </c>
      <c r="D27" s="237">
        <v>0</v>
      </c>
      <c r="E27" s="237">
        <v>0</v>
      </c>
      <c r="F27" s="238">
        <v>0</v>
      </c>
      <c r="G27" s="239">
        <v>0</v>
      </c>
      <c r="H27" s="240">
        <f t="shared" si="0"/>
        <v>1971.35</v>
      </c>
      <c r="I27" s="220"/>
      <c r="J27" s="257"/>
      <c r="K27" s="258"/>
    </row>
    <row r="28" spans="1:11" x14ac:dyDescent="0.5">
      <c r="A28" s="236">
        <v>26</v>
      </c>
      <c r="B28" s="219" t="s">
        <v>675</v>
      </c>
      <c r="C28" s="220">
        <v>1915.75</v>
      </c>
      <c r="D28" s="237">
        <v>0</v>
      </c>
      <c r="E28" s="237">
        <v>0</v>
      </c>
      <c r="F28" s="238">
        <v>0</v>
      </c>
      <c r="G28" s="239">
        <v>0</v>
      </c>
      <c r="H28" s="240">
        <f t="shared" si="0"/>
        <v>1915.75</v>
      </c>
      <c r="I28" s="220"/>
      <c r="J28" s="257"/>
      <c r="K28" s="258"/>
    </row>
    <row r="29" spans="1:11" x14ac:dyDescent="0.5">
      <c r="A29" s="236">
        <v>27</v>
      </c>
      <c r="B29" s="219" t="s">
        <v>359</v>
      </c>
      <c r="C29" s="220">
        <v>1438.6499999999999</v>
      </c>
      <c r="D29" s="237">
        <v>0</v>
      </c>
      <c r="E29" s="237">
        <v>0</v>
      </c>
      <c r="F29" s="238">
        <v>0</v>
      </c>
      <c r="G29" s="239">
        <v>0</v>
      </c>
      <c r="H29" s="240">
        <f t="shared" si="0"/>
        <v>1438.6499999999999</v>
      </c>
      <c r="I29" s="220"/>
      <c r="J29" s="257"/>
      <c r="K29" s="258"/>
    </row>
    <row r="30" spans="1:11" x14ac:dyDescent="0.5">
      <c r="A30" s="236">
        <v>28</v>
      </c>
      <c r="B30" s="219" t="s">
        <v>361</v>
      </c>
      <c r="C30" s="220">
        <v>1043.3499999999999</v>
      </c>
      <c r="D30" s="237">
        <v>0</v>
      </c>
      <c r="E30" s="237">
        <v>0</v>
      </c>
      <c r="F30" s="238">
        <v>0</v>
      </c>
      <c r="G30" s="239">
        <v>0</v>
      </c>
      <c r="H30" s="240">
        <f t="shared" si="0"/>
        <v>1043.3499999999999</v>
      </c>
      <c r="I30" s="220"/>
      <c r="J30" s="257"/>
      <c r="K30" s="258"/>
    </row>
    <row r="31" spans="1:11" x14ac:dyDescent="0.5">
      <c r="A31" s="236">
        <v>29</v>
      </c>
      <c r="B31" s="219" t="s">
        <v>667</v>
      </c>
      <c r="C31" s="237">
        <v>0</v>
      </c>
      <c r="D31" s="220">
        <v>1025.6500000000001</v>
      </c>
      <c r="E31" s="237">
        <v>0</v>
      </c>
      <c r="F31" s="238">
        <v>0</v>
      </c>
      <c r="G31" s="239">
        <v>0</v>
      </c>
      <c r="H31" s="240">
        <f t="shared" si="0"/>
        <v>1025.6500000000001</v>
      </c>
      <c r="I31" s="337" t="s">
        <v>392</v>
      </c>
      <c r="J31" s="257"/>
      <c r="K31" s="258"/>
    </row>
    <row r="32" spans="1:11" x14ac:dyDescent="0.5">
      <c r="A32" s="236">
        <v>30</v>
      </c>
      <c r="B32" s="219" t="s">
        <v>364</v>
      </c>
      <c r="C32" s="220">
        <v>972.7</v>
      </c>
      <c r="D32" s="237">
        <v>0</v>
      </c>
      <c r="E32" s="237">
        <v>0</v>
      </c>
      <c r="F32" s="238">
        <v>0</v>
      </c>
      <c r="G32" s="239">
        <v>0</v>
      </c>
      <c r="H32" s="240">
        <f t="shared" si="0"/>
        <v>972.7</v>
      </c>
      <c r="I32" s="220"/>
      <c r="J32" s="257"/>
      <c r="K32" s="258"/>
    </row>
    <row r="33" spans="1:11" x14ac:dyDescent="0.5">
      <c r="A33" s="236">
        <v>31</v>
      </c>
      <c r="B33" s="219" t="s">
        <v>580</v>
      </c>
      <c r="C33" s="220">
        <v>812.6</v>
      </c>
      <c r="D33" s="237">
        <v>0</v>
      </c>
      <c r="E33" s="237">
        <v>0</v>
      </c>
      <c r="F33" s="238">
        <v>0</v>
      </c>
      <c r="G33" s="239">
        <v>0</v>
      </c>
      <c r="H33" s="240">
        <f t="shared" si="0"/>
        <v>812.6</v>
      </c>
      <c r="I33" s="220"/>
      <c r="J33" s="257"/>
      <c r="K33" s="258"/>
    </row>
    <row r="34" spans="1:11" x14ac:dyDescent="0.5">
      <c r="A34" s="236">
        <v>32</v>
      </c>
      <c r="B34" s="219" t="s">
        <v>571</v>
      </c>
      <c r="C34" s="220">
        <v>712.6</v>
      </c>
      <c r="D34" s="237">
        <v>0</v>
      </c>
      <c r="E34" s="237">
        <v>0</v>
      </c>
      <c r="F34" s="238">
        <v>0</v>
      </c>
      <c r="G34" s="239">
        <v>0</v>
      </c>
      <c r="H34" s="240">
        <f t="shared" si="0"/>
        <v>712.6</v>
      </c>
      <c r="I34" s="220"/>
      <c r="J34" s="257"/>
      <c r="K34" s="258"/>
    </row>
    <row r="35" spans="1:11" x14ac:dyDescent="0.5">
      <c r="A35" s="236">
        <v>33</v>
      </c>
      <c r="B35" s="219" t="s">
        <v>581</v>
      </c>
      <c r="C35" s="220">
        <v>647.25</v>
      </c>
      <c r="D35" s="237">
        <v>0</v>
      </c>
      <c r="E35" s="237">
        <v>0</v>
      </c>
      <c r="F35" s="238">
        <v>0</v>
      </c>
      <c r="G35" s="239">
        <v>0</v>
      </c>
      <c r="H35" s="240">
        <f t="shared" si="0"/>
        <v>647.25</v>
      </c>
      <c r="I35" s="220"/>
      <c r="J35" s="257"/>
      <c r="K35" s="258"/>
    </row>
    <row r="36" spans="1:11" x14ac:dyDescent="0.5">
      <c r="A36" s="236">
        <v>34</v>
      </c>
      <c r="B36" s="219" t="s">
        <v>672</v>
      </c>
      <c r="C36" s="220">
        <v>0</v>
      </c>
      <c r="D36" s="237">
        <v>0</v>
      </c>
      <c r="E36" s="237">
        <v>0</v>
      </c>
      <c r="F36" s="238">
        <v>621</v>
      </c>
      <c r="G36" s="239">
        <v>0</v>
      </c>
      <c r="H36" s="240">
        <f t="shared" si="0"/>
        <v>621</v>
      </c>
      <c r="I36" s="220"/>
      <c r="J36" s="257"/>
      <c r="K36" s="258"/>
    </row>
    <row r="37" spans="1:11" x14ac:dyDescent="0.5">
      <c r="A37" s="236">
        <v>35</v>
      </c>
      <c r="B37" s="219" t="s">
        <v>362</v>
      </c>
      <c r="C37" s="220">
        <v>506.65</v>
      </c>
      <c r="D37" s="237">
        <v>0</v>
      </c>
      <c r="E37" s="237">
        <v>0</v>
      </c>
      <c r="F37" s="238">
        <v>0</v>
      </c>
      <c r="G37" s="239">
        <v>0</v>
      </c>
      <c r="H37" s="240">
        <f t="shared" si="0"/>
        <v>506.65</v>
      </c>
      <c r="I37" s="220"/>
      <c r="J37" s="257"/>
      <c r="K37" s="258"/>
    </row>
    <row r="38" spans="1:11" x14ac:dyDescent="0.5">
      <c r="A38" s="236">
        <v>36</v>
      </c>
      <c r="B38" s="219" t="s">
        <v>367</v>
      </c>
      <c r="C38" s="237">
        <v>0</v>
      </c>
      <c r="D38" s="220">
        <v>455</v>
      </c>
      <c r="E38" s="237">
        <v>0</v>
      </c>
      <c r="F38" s="238">
        <v>0</v>
      </c>
      <c r="G38" s="239">
        <v>0</v>
      </c>
      <c r="H38" s="240">
        <f t="shared" si="0"/>
        <v>455</v>
      </c>
      <c r="I38" s="337" t="s">
        <v>392</v>
      </c>
      <c r="J38" s="257"/>
      <c r="K38" s="258"/>
    </row>
    <row r="39" spans="1:11" x14ac:dyDescent="0.5">
      <c r="A39" s="236">
        <v>37</v>
      </c>
      <c r="B39" s="219" t="s">
        <v>351</v>
      </c>
      <c r="C39" s="220">
        <v>452.79999999999995</v>
      </c>
      <c r="D39" s="237">
        <v>0</v>
      </c>
      <c r="E39" s="237">
        <v>0</v>
      </c>
      <c r="F39" s="238">
        <v>0</v>
      </c>
      <c r="G39" s="239">
        <v>0</v>
      </c>
      <c r="H39" s="240">
        <f t="shared" si="0"/>
        <v>452.79999999999995</v>
      </c>
      <c r="I39" s="220"/>
      <c r="J39" s="257"/>
      <c r="K39" s="258"/>
    </row>
    <row r="40" spans="1:11" x14ac:dyDescent="0.5">
      <c r="A40" s="236">
        <v>38</v>
      </c>
      <c r="B40" s="219" t="s">
        <v>573</v>
      </c>
      <c r="C40" s="237">
        <v>0</v>
      </c>
      <c r="D40" s="237">
        <v>0</v>
      </c>
      <c r="E40" s="237">
        <v>0</v>
      </c>
      <c r="F40" s="238">
        <v>315.2</v>
      </c>
      <c r="G40" s="239">
        <v>0</v>
      </c>
      <c r="H40" s="240">
        <f t="shared" si="0"/>
        <v>315.2</v>
      </c>
      <c r="I40" s="220"/>
      <c r="J40" s="257"/>
      <c r="K40" s="258"/>
    </row>
    <row r="41" spans="1:11" x14ac:dyDescent="0.5">
      <c r="A41" s="236">
        <v>39</v>
      </c>
      <c r="B41" s="219" t="s">
        <v>365</v>
      </c>
      <c r="C41" s="220">
        <v>297.39999999999998</v>
      </c>
      <c r="D41" s="237">
        <v>0</v>
      </c>
      <c r="E41" s="237">
        <v>0</v>
      </c>
      <c r="F41" s="238">
        <v>0</v>
      </c>
      <c r="G41" s="239">
        <v>0</v>
      </c>
      <c r="H41" s="240">
        <f t="shared" si="0"/>
        <v>297.39999999999998</v>
      </c>
      <c r="I41" s="220"/>
      <c r="J41" s="257"/>
      <c r="K41" s="258"/>
    </row>
    <row r="42" spans="1:11" x14ac:dyDescent="0.5">
      <c r="A42" s="236">
        <v>40</v>
      </c>
      <c r="B42" s="219" t="s">
        <v>360</v>
      </c>
      <c r="C42" s="237">
        <v>0</v>
      </c>
      <c r="D42" s="237">
        <v>0</v>
      </c>
      <c r="E42" s="220">
        <v>251.14999999999998</v>
      </c>
      <c r="F42" s="238">
        <v>0</v>
      </c>
      <c r="G42" s="239">
        <v>0</v>
      </c>
      <c r="H42" s="240">
        <f t="shared" si="0"/>
        <v>251.14999999999998</v>
      </c>
      <c r="I42" s="220"/>
      <c r="J42" s="257"/>
      <c r="K42" s="258"/>
    </row>
    <row r="43" spans="1:11" x14ac:dyDescent="0.5">
      <c r="A43" s="236">
        <v>41</v>
      </c>
      <c r="B43" s="219" t="s">
        <v>579</v>
      </c>
      <c r="C43" s="237">
        <v>0</v>
      </c>
      <c r="D43" s="237">
        <v>0</v>
      </c>
      <c r="E43" s="237">
        <v>0</v>
      </c>
      <c r="F43" s="238">
        <v>248.39999999999998</v>
      </c>
      <c r="G43" s="239">
        <v>0</v>
      </c>
      <c r="H43" s="240">
        <f t="shared" si="0"/>
        <v>248.39999999999998</v>
      </c>
      <c r="I43" s="220"/>
      <c r="J43" s="257"/>
      <c r="K43" s="258"/>
    </row>
    <row r="44" spans="1:11" x14ac:dyDescent="0.5">
      <c r="A44" s="236">
        <v>42</v>
      </c>
      <c r="B44" s="219" t="s">
        <v>674</v>
      </c>
      <c r="C44" s="220">
        <v>206</v>
      </c>
      <c r="D44" s="237">
        <v>0</v>
      </c>
      <c r="E44" s="237">
        <v>0</v>
      </c>
      <c r="F44" s="238">
        <v>0</v>
      </c>
      <c r="G44" s="239">
        <v>0</v>
      </c>
      <c r="H44" s="240">
        <f t="shared" si="0"/>
        <v>206</v>
      </c>
      <c r="I44" s="220"/>
      <c r="J44" s="257"/>
      <c r="K44" s="258"/>
    </row>
    <row r="45" spans="1:11" x14ac:dyDescent="0.5">
      <c r="A45" s="236">
        <v>43</v>
      </c>
      <c r="B45" s="219" t="s">
        <v>363</v>
      </c>
      <c r="C45" s="237">
        <v>0</v>
      </c>
      <c r="D45" s="237">
        <v>0</v>
      </c>
      <c r="E45" s="220">
        <v>204.28800000000001</v>
      </c>
      <c r="F45" s="238">
        <v>0</v>
      </c>
      <c r="G45" s="239">
        <v>0</v>
      </c>
      <c r="H45" s="240">
        <f t="shared" si="0"/>
        <v>204.28800000000001</v>
      </c>
      <c r="I45" s="220"/>
      <c r="J45" s="257"/>
      <c r="K45" s="258"/>
    </row>
    <row r="46" spans="1:11" x14ac:dyDescent="0.5">
      <c r="A46" s="236">
        <v>44</v>
      </c>
      <c r="B46" s="219" t="s">
        <v>671</v>
      </c>
      <c r="C46" s="237">
        <v>203.75</v>
      </c>
      <c r="D46" s="237">
        <v>0</v>
      </c>
      <c r="E46" s="237">
        <v>0</v>
      </c>
      <c r="F46" s="238">
        <v>0</v>
      </c>
      <c r="G46" s="239">
        <v>0</v>
      </c>
      <c r="H46" s="240">
        <f t="shared" si="0"/>
        <v>203.75</v>
      </c>
      <c r="I46" s="220"/>
      <c r="J46" s="257"/>
      <c r="K46" s="258"/>
    </row>
    <row r="47" spans="1:11" x14ac:dyDescent="0.5">
      <c r="A47" s="236">
        <v>45</v>
      </c>
      <c r="B47" s="219" t="s">
        <v>673</v>
      </c>
      <c r="C47" s="220">
        <v>173.3</v>
      </c>
      <c r="D47" s="237">
        <v>0</v>
      </c>
      <c r="E47" s="237">
        <v>0</v>
      </c>
      <c r="F47" s="238">
        <v>0</v>
      </c>
      <c r="G47" s="239">
        <v>0</v>
      </c>
      <c r="H47" s="240">
        <f t="shared" si="0"/>
        <v>173.3</v>
      </c>
      <c r="I47" s="220"/>
      <c r="J47" s="257"/>
      <c r="K47" s="258"/>
    </row>
    <row r="48" spans="1:11" x14ac:dyDescent="0.5">
      <c r="A48" s="236">
        <v>46</v>
      </c>
      <c r="B48" s="219" t="s">
        <v>670</v>
      </c>
      <c r="C48" s="237">
        <v>0</v>
      </c>
      <c r="D48" s="237">
        <v>0</v>
      </c>
      <c r="E48" s="237">
        <v>170.5</v>
      </c>
      <c r="F48" s="238">
        <v>0</v>
      </c>
      <c r="G48" s="239">
        <v>0</v>
      </c>
      <c r="H48" s="240">
        <f t="shared" si="0"/>
        <v>170.5</v>
      </c>
      <c r="I48" s="220"/>
      <c r="J48" s="257"/>
      <c r="K48" s="258"/>
    </row>
    <row r="49" spans="1:33" x14ac:dyDescent="0.5">
      <c r="A49" s="236">
        <v>47</v>
      </c>
      <c r="B49" s="219" t="s">
        <v>668</v>
      </c>
      <c r="C49" s="220">
        <v>165.1</v>
      </c>
      <c r="D49" s="237">
        <v>0</v>
      </c>
      <c r="E49" s="237">
        <v>0</v>
      </c>
      <c r="F49" s="238">
        <v>0</v>
      </c>
      <c r="G49" s="239">
        <v>0</v>
      </c>
      <c r="H49" s="240">
        <f t="shared" si="0"/>
        <v>165.1</v>
      </c>
      <c r="I49" s="220"/>
      <c r="J49" s="257"/>
      <c r="K49" s="258"/>
    </row>
    <row r="50" spans="1:33" x14ac:dyDescent="0.5">
      <c r="A50" s="236">
        <v>48</v>
      </c>
      <c r="B50" s="219" t="s">
        <v>669</v>
      </c>
      <c r="C50" s="237">
        <v>0</v>
      </c>
      <c r="D50" s="237">
        <v>0</v>
      </c>
      <c r="E50" s="237">
        <v>0</v>
      </c>
      <c r="F50" s="238">
        <v>124.19999999999999</v>
      </c>
      <c r="G50" s="239">
        <v>0</v>
      </c>
      <c r="H50" s="240">
        <f t="shared" si="0"/>
        <v>124.19999999999999</v>
      </c>
      <c r="I50" s="220"/>
      <c r="J50" s="257"/>
      <c r="K50" s="258"/>
    </row>
    <row r="51" spans="1:33" x14ac:dyDescent="0.5">
      <c r="A51" s="236">
        <v>49</v>
      </c>
      <c r="B51" s="219" t="s">
        <v>676</v>
      </c>
      <c r="C51" s="237">
        <v>0</v>
      </c>
      <c r="D51" s="237">
        <v>0</v>
      </c>
      <c r="E51" s="237">
        <v>0</v>
      </c>
      <c r="F51" s="238">
        <v>24.839999999999996</v>
      </c>
      <c r="G51" s="239">
        <v>0</v>
      </c>
      <c r="H51" s="240">
        <f t="shared" si="0"/>
        <v>24.839999999999996</v>
      </c>
      <c r="I51" s="220"/>
      <c r="J51" s="257"/>
      <c r="K51" s="258"/>
    </row>
    <row r="52" spans="1:33" ht="24" thickBot="1" x14ac:dyDescent="0.55000000000000004">
      <c r="A52" s="366" t="s">
        <v>397</v>
      </c>
      <c r="B52" s="367"/>
      <c r="C52" s="260">
        <f t="shared" ref="C52:G52" si="6">SUM(C3:C51)</f>
        <v>521075.58999999997</v>
      </c>
      <c r="D52" s="260">
        <f t="shared" si="6"/>
        <v>118235.74</v>
      </c>
      <c r="E52" s="260">
        <f t="shared" si="6"/>
        <v>10580.638800000001</v>
      </c>
      <c r="F52" s="261">
        <f t="shared" si="6"/>
        <v>3446.8399999999997</v>
      </c>
      <c r="G52" s="262">
        <f t="shared" si="6"/>
        <v>0</v>
      </c>
      <c r="H52" s="260">
        <f>SUM(H3:H51)</f>
        <v>653338.8088</v>
      </c>
      <c r="I52" s="222"/>
      <c r="J52" s="257"/>
      <c r="K52" s="258"/>
    </row>
    <row r="53" spans="1:33" ht="24" thickTop="1" x14ac:dyDescent="0.5">
      <c r="I53" s="265"/>
      <c r="J53" s="266"/>
    </row>
    <row r="54" spans="1:33" x14ac:dyDescent="0.5">
      <c r="C54" s="259">
        <f>+C52*100/H52</f>
        <v>79.755799438436782</v>
      </c>
      <c r="D54" s="259">
        <f>+D52*100/H52</f>
        <v>18.097155473921084</v>
      </c>
      <c r="E54" s="259">
        <f>+E52*100/H52</f>
        <v>1.6194719581152182</v>
      </c>
      <c r="F54" s="259">
        <f>+F52*100/H52</f>
        <v>0.52757312952691071</v>
      </c>
      <c r="G54" s="259">
        <f>+G52*100/H52</f>
        <v>0</v>
      </c>
    </row>
    <row r="60" spans="1:33" ht="29.25" x14ac:dyDescent="0.6">
      <c r="A60" s="368" t="s">
        <v>399</v>
      </c>
      <c r="B60" s="368"/>
      <c r="C60" s="368"/>
      <c r="D60" s="368"/>
      <c r="E60" s="368"/>
      <c r="F60" s="368"/>
      <c r="G60" s="368"/>
      <c r="H60" s="368"/>
      <c r="I60" s="368"/>
      <c r="L60" s="370" t="s">
        <v>400</v>
      </c>
      <c r="M60" s="370"/>
      <c r="N60" s="370"/>
      <c r="O60" s="370"/>
      <c r="P60" s="370"/>
      <c r="Q60" s="370"/>
      <c r="R60" s="370"/>
      <c r="S60" s="370"/>
      <c r="T60" s="370"/>
      <c r="V60" s="370" t="s">
        <v>401</v>
      </c>
      <c r="W60" s="370"/>
      <c r="X60" s="370"/>
      <c r="Y60" s="370"/>
      <c r="Z60" s="370"/>
      <c r="AB60" s="370" t="s">
        <v>402</v>
      </c>
      <c r="AC60" s="370"/>
      <c r="AD60" s="370"/>
      <c r="AE60" s="370"/>
      <c r="AF60" s="370"/>
      <c r="AG60" s="370"/>
    </row>
    <row r="61" spans="1:33" ht="46.5" x14ac:dyDescent="0.5">
      <c r="A61" s="227" t="s">
        <v>377</v>
      </c>
      <c r="B61" s="227" t="s">
        <v>403</v>
      </c>
      <c r="C61" s="228" t="s">
        <v>379</v>
      </c>
      <c r="D61" s="228" t="s">
        <v>380</v>
      </c>
      <c r="E61" s="228" t="s">
        <v>381</v>
      </c>
      <c r="F61" s="229" t="s">
        <v>404</v>
      </c>
      <c r="G61" s="230" t="s">
        <v>383</v>
      </c>
      <c r="H61" s="228" t="s">
        <v>384</v>
      </c>
      <c r="I61" s="227" t="s">
        <v>385</v>
      </c>
      <c r="J61" s="231"/>
      <c r="L61" s="227" t="s">
        <v>377</v>
      </c>
      <c r="M61" s="227" t="s">
        <v>403</v>
      </c>
      <c r="N61" s="227" t="s">
        <v>386</v>
      </c>
      <c r="O61" s="227" t="s">
        <v>387</v>
      </c>
      <c r="P61" s="227" t="s">
        <v>388</v>
      </c>
      <c r="Q61" s="227" t="s">
        <v>389</v>
      </c>
      <c r="R61" s="227" t="s">
        <v>681</v>
      </c>
      <c r="S61" s="227" t="s">
        <v>390</v>
      </c>
      <c r="T61" s="227" t="s">
        <v>391</v>
      </c>
      <c r="V61" s="227" t="s">
        <v>377</v>
      </c>
      <c r="W61" s="227" t="s">
        <v>403</v>
      </c>
      <c r="X61" s="227" t="s">
        <v>392</v>
      </c>
      <c r="Y61" s="227" t="s">
        <v>393</v>
      </c>
      <c r="Z61" s="227" t="s">
        <v>391</v>
      </c>
      <c r="AB61" s="227" t="s">
        <v>377</v>
      </c>
      <c r="AC61" s="227" t="s">
        <v>378</v>
      </c>
      <c r="AD61" s="227" t="s">
        <v>394</v>
      </c>
      <c r="AE61" s="235" t="s">
        <v>395</v>
      </c>
      <c r="AF61" s="228" t="s">
        <v>396</v>
      </c>
      <c r="AG61" s="227" t="s">
        <v>391</v>
      </c>
    </row>
    <row r="62" spans="1:33" x14ac:dyDescent="0.5">
      <c r="A62" s="236">
        <v>1</v>
      </c>
      <c r="B62" s="267" t="s">
        <v>319</v>
      </c>
      <c r="C62" s="267">
        <v>438464.53</v>
      </c>
      <c r="D62" s="267">
        <v>108239.80999999998</v>
      </c>
      <c r="E62" s="267">
        <v>10409.939999999999</v>
      </c>
      <c r="F62" s="267">
        <v>1826.7799999999997</v>
      </c>
      <c r="G62" s="267">
        <v>0</v>
      </c>
      <c r="H62" s="268">
        <f>+C62+D62+E62+F62+G62</f>
        <v>558941.05999999994</v>
      </c>
      <c r="I62" s="237"/>
      <c r="J62" s="266"/>
      <c r="L62" s="236">
        <v>1</v>
      </c>
      <c r="M62" s="267" t="s">
        <v>319</v>
      </c>
      <c r="N62" s="242">
        <v>593.65</v>
      </c>
      <c r="O62" s="242">
        <v>107609.75999999998</v>
      </c>
      <c r="P62" s="242">
        <v>0</v>
      </c>
      <c r="Q62" s="242">
        <v>0</v>
      </c>
      <c r="R62" s="242">
        <v>0</v>
      </c>
      <c r="S62" s="242">
        <v>36.4</v>
      </c>
      <c r="T62" s="269">
        <f>+N62+O62</f>
        <v>108203.40999999997</v>
      </c>
      <c r="V62" s="236">
        <v>1</v>
      </c>
      <c r="W62" s="267" t="s">
        <v>319</v>
      </c>
      <c r="X62" s="242">
        <v>102484.54999999999</v>
      </c>
      <c r="Y62" s="242">
        <v>5755.26</v>
      </c>
      <c r="Z62" s="269">
        <f>+X62+Y62</f>
        <v>108239.80999999998</v>
      </c>
      <c r="AB62" s="236">
        <v>1</v>
      </c>
      <c r="AC62" s="267" t="s">
        <v>319</v>
      </c>
      <c r="AD62" s="242">
        <v>10409.941999999997</v>
      </c>
      <c r="AE62" s="242">
        <v>22800</v>
      </c>
      <c r="AF62" s="242">
        <v>0</v>
      </c>
      <c r="AG62" s="269">
        <f t="shared" ref="AG62:AG73" si="7">+AD62+AF62</f>
        <v>10409.941999999997</v>
      </c>
    </row>
    <row r="63" spans="1:33" x14ac:dyDescent="0.5">
      <c r="A63" s="236">
        <v>2</v>
      </c>
      <c r="B63" s="267" t="s">
        <v>320</v>
      </c>
      <c r="C63" s="267"/>
      <c r="D63" s="267"/>
      <c r="E63" s="267"/>
      <c r="F63" s="267"/>
      <c r="G63" s="267"/>
      <c r="H63" s="268">
        <f t="shared" ref="H63:H73" si="8">+C63+D63+E63+F63+G63</f>
        <v>0</v>
      </c>
      <c r="I63" s="237"/>
      <c r="J63" s="266"/>
      <c r="L63" s="236">
        <v>2</v>
      </c>
      <c r="M63" s="267" t="s">
        <v>320</v>
      </c>
      <c r="N63" s="242"/>
      <c r="O63" s="242"/>
      <c r="P63" s="242"/>
      <c r="Q63" s="242"/>
      <c r="R63" s="242"/>
      <c r="S63" s="242"/>
      <c r="T63" s="269">
        <f t="shared" ref="T63:T73" si="9">+N63+O63</f>
        <v>0</v>
      </c>
      <c r="V63" s="236">
        <v>2</v>
      </c>
      <c r="W63" s="267" t="s">
        <v>320</v>
      </c>
      <c r="X63" s="242"/>
      <c r="Y63" s="242"/>
      <c r="Z63" s="269">
        <f t="shared" ref="Z63:Z73" si="10">+X63+Y63</f>
        <v>0</v>
      </c>
      <c r="AB63" s="236">
        <v>2</v>
      </c>
      <c r="AC63" s="267" t="s">
        <v>320</v>
      </c>
      <c r="AD63" s="242">
        <v>0</v>
      </c>
      <c r="AE63" s="242">
        <v>0</v>
      </c>
      <c r="AF63" s="242">
        <v>0</v>
      </c>
      <c r="AG63" s="269">
        <f t="shared" si="7"/>
        <v>0</v>
      </c>
    </row>
    <row r="64" spans="1:33" x14ac:dyDescent="0.5">
      <c r="A64" s="236">
        <v>3</v>
      </c>
      <c r="B64" s="267" t="s">
        <v>321</v>
      </c>
      <c r="C64" s="267">
        <v>521075.58999999997</v>
      </c>
      <c r="D64" s="267">
        <v>118235.74</v>
      </c>
      <c r="E64" s="267">
        <v>10580.638800000001</v>
      </c>
      <c r="F64" s="267">
        <v>3446.8399999999997</v>
      </c>
      <c r="G64" s="267">
        <v>0</v>
      </c>
      <c r="H64" s="268">
        <f t="shared" si="8"/>
        <v>653338.80879999988</v>
      </c>
      <c r="I64" s="237"/>
      <c r="J64" s="266"/>
      <c r="L64" s="236">
        <v>3</v>
      </c>
      <c r="M64" s="267" t="s">
        <v>321</v>
      </c>
      <c r="N64" s="242">
        <v>1436.5</v>
      </c>
      <c r="O64" s="242">
        <v>112027.54</v>
      </c>
      <c r="P64" s="242">
        <v>296.5</v>
      </c>
      <c r="Q64" s="242">
        <v>0</v>
      </c>
      <c r="R64" s="242">
        <v>4475.2</v>
      </c>
      <c r="S64" s="242">
        <v>0</v>
      </c>
      <c r="T64" s="269">
        <f t="shared" si="9"/>
        <v>113464.04</v>
      </c>
      <c r="V64" s="236">
        <v>3</v>
      </c>
      <c r="W64" s="267" t="s">
        <v>321</v>
      </c>
      <c r="X64" s="242">
        <v>111893.06</v>
      </c>
      <c r="Y64" s="242">
        <v>6342.68</v>
      </c>
      <c r="Z64" s="269">
        <f t="shared" si="10"/>
        <v>118235.73999999999</v>
      </c>
      <c r="AB64" s="236">
        <v>3</v>
      </c>
      <c r="AC64" s="267" t="s">
        <v>321</v>
      </c>
      <c r="AD64" s="242">
        <v>10580.638800000001</v>
      </c>
      <c r="AE64" s="242">
        <v>42360</v>
      </c>
      <c r="AF64" s="242">
        <v>0</v>
      </c>
      <c r="AG64" s="269">
        <f t="shared" si="7"/>
        <v>10580.638800000001</v>
      </c>
    </row>
    <row r="65" spans="1:35" x14ac:dyDescent="0.5">
      <c r="A65" s="236">
        <v>4</v>
      </c>
      <c r="B65" s="267" t="s">
        <v>322</v>
      </c>
      <c r="C65" s="267"/>
      <c r="D65" s="267"/>
      <c r="E65" s="267"/>
      <c r="F65" s="267"/>
      <c r="G65" s="267"/>
      <c r="H65" s="268">
        <f t="shared" si="8"/>
        <v>0</v>
      </c>
      <c r="I65" s="237"/>
      <c r="J65" s="266"/>
      <c r="L65" s="236">
        <v>4</v>
      </c>
      <c r="M65" s="267" t="s">
        <v>322</v>
      </c>
      <c r="N65" s="242"/>
      <c r="O65" s="242"/>
      <c r="P65" s="242"/>
      <c r="Q65" s="242"/>
      <c r="R65" s="242"/>
      <c r="S65" s="242"/>
      <c r="T65" s="269">
        <f t="shared" si="9"/>
        <v>0</v>
      </c>
      <c r="V65" s="236">
        <v>4</v>
      </c>
      <c r="W65" s="267" t="s">
        <v>322</v>
      </c>
      <c r="X65" s="242"/>
      <c r="Y65" s="242"/>
      <c r="Z65" s="269">
        <f t="shared" si="10"/>
        <v>0</v>
      </c>
      <c r="AB65" s="236">
        <v>4</v>
      </c>
      <c r="AC65" s="267" t="s">
        <v>322</v>
      </c>
      <c r="AD65" s="242">
        <v>0</v>
      </c>
      <c r="AE65" s="242">
        <v>0</v>
      </c>
      <c r="AF65" s="242">
        <f t="shared" ref="AF65:AF73" si="11">AF11</f>
        <v>0</v>
      </c>
      <c r="AG65" s="269">
        <f t="shared" si="7"/>
        <v>0</v>
      </c>
    </row>
    <row r="66" spans="1:35" x14ac:dyDescent="0.5">
      <c r="A66" s="236">
        <v>5</v>
      </c>
      <c r="B66" s="267" t="s">
        <v>323</v>
      </c>
      <c r="C66" s="267"/>
      <c r="D66" s="267"/>
      <c r="E66" s="267"/>
      <c r="F66" s="267"/>
      <c r="G66" s="267"/>
      <c r="H66" s="268">
        <f t="shared" si="8"/>
        <v>0</v>
      </c>
      <c r="I66" s="237"/>
      <c r="J66" s="266"/>
      <c r="L66" s="236">
        <v>5</v>
      </c>
      <c r="M66" s="267" t="s">
        <v>323</v>
      </c>
      <c r="N66" s="242"/>
      <c r="O66" s="242"/>
      <c r="P66" s="242"/>
      <c r="Q66" s="242"/>
      <c r="R66" s="242"/>
      <c r="S66" s="242"/>
      <c r="T66" s="269">
        <f t="shared" si="9"/>
        <v>0</v>
      </c>
      <c r="V66" s="236">
        <v>5</v>
      </c>
      <c r="W66" s="267" t="s">
        <v>323</v>
      </c>
      <c r="X66" s="242"/>
      <c r="Y66" s="242"/>
      <c r="Z66" s="269">
        <f t="shared" si="10"/>
        <v>0</v>
      </c>
      <c r="AA66" s="270"/>
      <c r="AB66" s="236">
        <v>5</v>
      </c>
      <c r="AC66" s="267" t="s">
        <v>323</v>
      </c>
      <c r="AD66" s="242">
        <v>0</v>
      </c>
      <c r="AE66" s="242">
        <v>0</v>
      </c>
      <c r="AF66" s="242">
        <f t="shared" si="11"/>
        <v>0</v>
      </c>
      <c r="AG66" s="269">
        <f>+AD66+AF66</f>
        <v>0</v>
      </c>
    </row>
    <row r="67" spans="1:35" ht="23.25" customHeight="1" x14ac:dyDescent="0.5">
      <c r="A67" s="236">
        <v>6</v>
      </c>
      <c r="B67" s="267" t="s">
        <v>324</v>
      </c>
      <c r="C67" s="267"/>
      <c r="D67" s="267"/>
      <c r="E67" s="267"/>
      <c r="F67" s="267"/>
      <c r="G67" s="267"/>
      <c r="H67" s="268">
        <f>+C67+D67+E67+F67+G67</f>
        <v>0</v>
      </c>
      <c r="I67" s="237"/>
      <c r="J67" s="266"/>
      <c r="L67" s="236">
        <v>6</v>
      </c>
      <c r="M67" s="267" t="s">
        <v>324</v>
      </c>
      <c r="N67" s="242"/>
      <c r="O67" s="242"/>
      <c r="P67" s="242"/>
      <c r="Q67" s="242"/>
      <c r="R67" s="242"/>
      <c r="S67" s="242"/>
      <c r="T67" s="269">
        <f t="shared" si="9"/>
        <v>0</v>
      </c>
      <c r="U67" s="233"/>
      <c r="V67" s="236">
        <v>6</v>
      </c>
      <c r="W67" s="267" t="s">
        <v>324</v>
      </c>
      <c r="X67" s="242"/>
      <c r="Y67" s="242"/>
      <c r="Z67" s="269">
        <f t="shared" si="10"/>
        <v>0</v>
      </c>
      <c r="AB67" s="236">
        <v>6</v>
      </c>
      <c r="AC67" s="267" t="s">
        <v>324</v>
      </c>
      <c r="AD67" s="242">
        <v>0</v>
      </c>
      <c r="AE67" s="242">
        <v>0</v>
      </c>
      <c r="AF67" s="242">
        <f t="shared" si="11"/>
        <v>0</v>
      </c>
      <c r="AG67" s="269">
        <f t="shared" si="7"/>
        <v>0</v>
      </c>
    </row>
    <row r="68" spans="1:35" ht="23.25" customHeight="1" x14ac:dyDescent="0.6">
      <c r="A68" s="236">
        <v>7</v>
      </c>
      <c r="B68" s="267" t="s">
        <v>325</v>
      </c>
      <c r="C68" s="267"/>
      <c r="D68" s="267"/>
      <c r="E68" s="267"/>
      <c r="F68" s="267"/>
      <c r="G68" s="267"/>
      <c r="H68" s="268">
        <f t="shared" si="8"/>
        <v>0</v>
      </c>
      <c r="I68" s="237"/>
      <c r="J68" s="266"/>
      <c r="L68" s="236">
        <v>7</v>
      </c>
      <c r="M68" s="267" t="s">
        <v>325</v>
      </c>
      <c r="N68" s="242"/>
      <c r="O68" s="242"/>
      <c r="P68" s="242"/>
      <c r="Q68" s="242"/>
      <c r="R68" s="242"/>
      <c r="S68" s="242"/>
      <c r="T68" s="269">
        <f t="shared" si="9"/>
        <v>0</v>
      </c>
      <c r="V68" s="236">
        <v>7</v>
      </c>
      <c r="W68" s="267" t="s">
        <v>325</v>
      </c>
      <c r="X68" s="242"/>
      <c r="Y68" s="242"/>
      <c r="Z68" s="269">
        <f t="shared" si="10"/>
        <v>0</v>
      </c>
      <c r="AB68" s="236">
        <v>7</v>
      </c>
      <c r="AC68" s="267" t="s">
        <v>325</v>
      </c>
      <c r="AD68" s="242">
        <v>0</v>
      </c>
      <c r="AE68" s="242">
        <v>0</v>
      </c>
      <c r="AF68" s="242">
        <f t="shared" si="11"/>
        <v>0</v>
      </c>
      <c r="AG68" s="269">
        <f>+AD68+AF68</f>
        <v>0</v>
      </c>
      <c r="AH68" s="226"/>
      <c r="AI68" s="233"/>
    </row>
    <row r="69" spans="1:35" s="233" customFormat="1" x14ac:dyDescent="0.5">
      <c r="A69" s="236">
        <v>8</v>
      </c>
      <c r="B69" s="267" t="s">
        <v>326</v>
      </c>
      <c r="C69" s="267"/>
      <c r="D69" s="267"/>
      <c r="E69" s="267"/>
      <c r="F69" s="267"/>
      <c r="G69" s="267"/>
      <c r="H69" s="268">
        <f t="shared" si="8"/>
        <v>0</v>
      </c>
      <c r="I69" s="237"/>
      <c r="J69" s="266"/>
      <c r="K69" s="232"/>
      <c r="L69" s="236">
        <v>8</v>
      </c>
      <c r="M69" s="267" t="s">
        <v>326</v>
      </c>
      <c r="N69" s="242"/>
      <c r="O69" s="242"/>
      <c r="P69" s="242"/>
      <c r="Q69" s="242"/>
      <c r="R69" s="242"/>
      <c r="S69" s="242"/>
      <c r="T69" s="269">
        <f t="shared" si="9"/>
        <v>0</v>
      </c>
      <c r="U69" s="225"/>
      <c r="V69" s="236">
        <v>8</v>
      </c>
      <c r="W69" s="267" t="s">
        <v>326</v>
      </c>
      <c r="X69" s="242"/>
      <c r="Y69" s="242"/>
      <c r="Z69" s="269">
        <f t="shared" si="10"/>
        <v>0</v>
      </c>
      <c r="AA69" s="225"/>
      <c r="AB69" s="236">
        <v>8</v>
      </c>
      <c r="AC69" s="267" t="s">
        <v>326</v>
      </c>
      <c r="AD69" s="242">
        <v>0</v>
      </c>
      <c r="AE69" s="242">
        <v>0</v>
      </c>
      <c r="AF69" s="242">
        <f t="shared" si="11"/>
        <v>0</v>
      </c>
      <c r="AG69" s="269">
        <f t="shared" si="7"/>
        <v>0</v>
      </c>
      <c r="AH69" s="225"/>
      <c r="AI69" s="225"/>
    </row>
    <row r="70" spans="1:35" x14ac:dyDescent="0.5">
      <c r="A70" s="236">
        <v>9</v>
      </c>
      <c r="B70" s="267" t="s">
        <v>327</v>
      </c>
      <c r="C70" s="267"/>
      <c r="D70" s="267"/>
      <c r="E70" s="267"/>
      <c r="F70" s="267"/>
      <c r="G70" s="267"/>
      <c r="H70" s="268">
        <f>+C70+D70+E70+F70+G70</f>
        <v>0</v>
      </c>
      <c r="I70" s="237"/>
      <c r="J70" s="266"/>
      <c r="L70" s="236">
        <v>9</v>
      </c>
      <c r="M70" s="267" t="s">
        <v>327</v>
      </c>
      <c r="N70" s="242"/>
      <c r="O70" s="242"/>
      <c r="P70" s="242"/>
      <c r="Q70" s="242"/>
      <c r="R70" s="242"/>
      <c r="S70" s="242"/>
      <c r="T70" s="269">
        <f t="shared" si="9"/>
        <v>0</v>
      </c>
      <c r="V70" s="236">
        <v>9</v>
      </c>
      <c r="W70" s="267" t="s">
        <v>327</v>
      </c>
      <c r="X70" s="242"/>
      <c r="Y70" s="242"/>
      <c r="Z70" s="269">
        <f t="shared" si="10"/>
        <v>0</v>
      </c>
      <c r="AB70" s="236">
        <v>9</v>
      </c>
      <c r="AC70" s="267" t="s">
        <v>327</v>
      </c>
      <c r="AD70" s="242">
        <v>0</v>
      </c>
      <c r="AE70" s="242">
        <v>0</v>
      </c>
      <c r="AF70" s="242">
        <f t="shared" si="11"/>
        <v>0</v>
      </c>
      <c r="AG70" s="269">
        <f t="shared" si="7"/>
        <v>0</v>
      </c>
    </row>
    <row r="71" spans="1:35" x14ac:dyDescent="0.5">
      <c r="A71" s="236">
        <v>10</v>
      </c>
      <c r="B71" s="267" t="s">
        <v>328</v>
      </c>
      <c r="C71" s="267"/>
      <c r="D71" s="267"/>
      <c r="E71" s="267"/>
      <c r="F71" s="267"/>
      <c r="G71" s="267"/>
      <c r="H71" s="268">
        <f>+C71+D71+E71+F71+G71</f>
        <v>0</v>
      </c>
      <c r="I71" s="237"/>
      <c r="J71" s="266"/>
      <c r="L71" s="236">
        <v>10</v>
      </c>
      <c r="M71" s="267" t="s">
        <v>328</v>
      </c>
      <c r="N71" s="242"/>
      <c r="O71" s="242"/>
      <c r="P71" s="242"/>
      <c r="Q71" s="242"/>
      <c r="R71" s="242"/>
      <c r="S71" s="242"/>
      <c r="T71" s="269">
        <f t="shared" si="9"/>
        <v>0</v>
      </c>
      <c r="V71" s="236">
        <v>10</v>
      </c>
      <c r="W71" s="267" t="s">
        <v>328</v>
      </c>
      <c r="X71" s="242"/>
      <c r="Y71" s="242"/>
      <c r="Z71" s="269">
        <f t="shared" si="10"/>
        <v>0</v>
      </c>
      <c r="AB71" s="236">
        <v>10</v>
      </c>
      <c r="AC71" s="267" t="s">
        <v>328</v>
      </c>
      <c r="AD71" s="242">
        <v>0</v>
      </c>
      <c r="AE71" s="242">
        <v>0</v>
      </c>
      <c r="AF71" s="242">
        <f t="shared" si="11"/>
        <v>0</v>
      </c>
      <c r="AG71" s="269">
        <f>+AD71+AF71</f>
        <v>0</v>
      </c>
    </row>
    <row r="72" spans="1:35" x14ac:dyDescent="0.5">
      <c r="A72" s="236">
        <v>11</v>
      </c>
      <c r="B72" s="267" t="s">
        <v>329</v>
      </c>
      <c r="C72" s="267"/>
      <c r="D72" s="267"/>
      <c r="E72" s="267"/>
      <c r="F72" s="267"/>
      <c r="G72" s="267"/>
      <c r="H72" s="268">
        <f t="shared" si="8"/>
        <v>0</v>
      </c>
      <c r="I72" s="237"/>
      <c r="J72" s="266"/>
      <c r="L72" s="236">
        <v>11</v>
      </c>
      <c r="M72" s="267" t="s">
        <v>329</v>
      </c>
      <c r="N72" s="242"/>
      <c r="O72" s="242"/>
      <c r="P72" s="242"/>
      <c r="Q72" s="242"/>
      <c r="R72" s="242"/>
      <c r="S72" s="242"/>
      <c r="T72" s="269">
        <f t="shared" si="9"/>
        <v>0</v>
      </c>
      <c r="V72" s="236">
        <v>11</v>
      </c>
      <c r="W72" s="267" t="s">
        <v>329</v>
      </c>
      <c r="X72" s="242"/>
      <c r="Y72" s="242"/>
      <c r="Z72" s="269">
        <f t="shared" si="10"/>
        <v>0</v>
      </c>
      <c r="AB72" s="236">
        <v>11</v>
      </c>
      <c r="AC72" s="267" t="s">
        <v>329</v>
      </c>
      <c r="AD72" s="242">
        <v>0</v>
      </c>
      <c r="AE72" s="242">
        <v>0</v>
      </c>
      <c r="AF72" s="242">
        <f t="shared" si="11"/>
        <v>0</v>
      </c>
      <c r="AG72" s="269">
        <f>+AD72+AF72</f>
        <v>0</v>
      </c>
    </row>
    <row r="73" spans="1:35" x14ac:dyDescent="0.5">
      <c r="A73" s="236">
        <v>12</v>
      </c>
      <c r="B73" s="267" t="s">
        <v>330</v>
      </c>
      <c r="C73" s="267"/>
      <c r="D73" s="267"/>
      <c r="E73" s="267"/>
      <c r="F73" s="267"/>
      <c r="G73" s="267"/>
      <c r="H73" s="268">
        <f t="shared" si="8"/>
        <v>0</v>
      </c>
      <c r="I73" s="237"/>
      <c r="J73" s="266"/>
      <c r="L73" s="236">
        <v>12</v>
      </c>
      <c r="M73" s="267" t="s">
        <v>330</v>
      </c>
      <c r="N73" s="242"/>
      <c r="O73" s="242"/>
      <c r="P73" s="242"/>
      <c r="Q73" s="242"/>
      <c r="R73" s="242"/>
      <c r="S73" s="242"/>
      <c r="T73" s="269">
        <f t="shared" si="9"/>
        <v>0</v>
      </c>
      <c r="V73" s="236">
        <v>12</v>
      </c>
      <c r="W73" s="267" t="s">
        <v>330</v>
      </c>
      <c r="X73" s="242"/>
      <c r="Y73" s="242"/>
      <c r="Z73" s="269">
        <f t="shared" si="10"/>
        <v>0</v>
      </c>
      <c r="AB73" s="236">
        <v>12</v>
      </c>
      <c r="AC73" s="267" t="s">
        <v>330</v>
      </c>
      <c r="AD73" s="242">
        <v>0</v>
      </c>
      <c r="AE73" s="242">
        <v>0</v>
      </c>
      <c r="AF73" s="242">
        <f t="shared" si="11"/>
        <v>0</v>
      </c>
      <c r="AG73" s="269">
        <f t="shared" si="7"/>
        <v>0</v>
      </c>
    </row>
    <row r="74" spans="1:35" ht="24" thickBot="1" x14ac:dyDescent="0.55000000000000004">
      <c r="A74" s="366" t="s">
        <v>397</v>
      </c>
      <c r="B74" s="367"/>
      <c r="C74" s="260">
        <f>SUM(C62:C73)</f>
        <v>959540.12</v>
      </c>
      <c r="D74" s="260">
        <f>SUM(D62:D73)</f>
        <v>226475.55</v>
      </c>
      <c r="E74" s="260">
        <f>SUM(E62:E73)</f>
        <v>20990.578799999999</v>
      </c>
      <c r="F74" s="261">
        <f>SUM(F62:F73)</f>
        <v>5273.619999999999</v>
      </c>
      <c r="G74" s="262">
        <f t="shared" ref="G74" si="12">SUM(G62:G73)</f>
        <v>0</v>
      </c>
      <c r="H74" s="260">
        <f>SUM(H62:H73)</f>
        <v>1212279.8687999998</v>
      </c>
      <c r="I74" s="260"/>
      <c r="J74" s="266"/>
      <c r="L74" s="247"/>
      <c r="M74" s="248" t="s">
        <v>397</v>
      </c>
      <c r="N74" s="251">
        <f>SUM(N62:N73)</f>
        <v>2030.15</v>
      </c>
      <c r="O74" s="251">
        <f t="shared" ref="O74:S74" si="13">SUM(O62:O73)</f>
        <v>219637.3</v>
      </c>
      <c r="P74" s="251">
        <f t="shared" si="13"/>
        <v>296.5</v>
      </c>
      <c r="Q74" s="251">
        <f t="shared" si="13"/>
        <v>0</v>
      </c>
      <c r="R74" s="251"/>
      <c r="S74" s="251">
        <f t="shared" si="13"/>
        <v>36.4</v>
      </c>
      <c r="T74" s="251">
        <f>SUM(T62:T73)</f>
        <v>221667.44999999995</v>
      </c>
      <c r="V74" s="247"/>
      <c r="W74" s="248" t="s">
        <v>397</v>
      </c>
      <c r="X74" s="251">
        <f>SUM(X62:X73)</f>
        <v>214377.61</v>
      </c>
      <c r="Y74" s="251">
        <f>SUM(Y62:Y73)</f>
        <v>12097.94</v>
      </c>
      <c r="Z74" s="251">
        <f>SUM(Z62:Z73)</f>
        <v>226475.55</v>
      </c>
      <c r="AB74" s="247"/>
      <c r="AC74" s="248" t="s">
        <v>397</v>
      </c>
      <c r="AD74" s="251">
        <f>SUM(AD62:AD73)</f>
        <v>20990.580799999996</v>
      </c>
      <c r="AE74" s="250">
        <f>SUM(AE62:AE73)</f>
        <v>65160</v>
      </c>
      <c r="AF74" s="251">
        <f>SUM(AF62:AF73)</f>
        <v>0</v>
      </c>
      <c r="AG74" s="251">
        <f>SUM(AG62:AG73)</f>
        <v>20990.580799999996</v>
      </c>
    </row>
    <row r="75" spans="1:35" ht="24" thickTop="1" x14ac:dyDescent="0.5">
      <c r="H75" s="270"/>
    </row>
    <row r="76" spans="1:35" x14ac:dyDescent="0.5">
      <c r="C76" s="271">
        <f>+C74*100/H74</f>
        <v>79.15169959473306</v>
      </c>
      <c r="D76" s="271">
        <f>+D74*100/H74</f>
        <v>18.681787582943326</v>
      </c>
      <c r="E76" s="271">
        <f>+E74*100/H74</f>
        <v>1.7314961124264114</v>
      </c>
      <c r="F76" s="271">
        <f>+F74*100/H74</f>
        <v>0.43501670989721214</v>
      </c>
      <c r="G76" s="271">
        <f>+G74*100/H74</f>
        <v>0</v>
      </c>
      <c r="N76" s="271">
        <f>+N74*100/T74</f>
        <v>0.91585390638093256</v>
      </c>
      <c r="O76" s="271">
        <f>+O74*100/T74</f>
        <v>99.084146093619083</v>
      </c>
      <c r="P76" s="271">
        <f>+P74*100/T74</f>
        <v>0.13375892581432233</v>
      </c>
      <c r="Q76" s="271">
        <f>+Q74*100/T74</f>
        <v>0</v>
      </c>
      <c r="R76" s="271">
        <f>+R74*100/T74</f>
        <v>0</v>
      </c>
      <c r="S76" s="271">
        <f>+S74*100/T74</f>
        <v>1.642099460250028E-2</v>
      </c>
      <c r="X76" s="271">
        <f>+X74*100/Z74</f>
        <v>94.658169502182474</v>
      </c>
      <c r="Y76" s="271">
        <f>+Y74*100/Z74</f>
        <v>5.3418304978175355</v>
      </c>
      <c r="AA76" s="233"/>
    </row>
    <row r="77" spans="1:35" x14ac:dyDescent="0.5">
      <c r="C77" s="272"/>
    </row>
    <row r="79" spans="1:35" ht="29.25" x14ac:dyDescent="0.6">
      <c r="A79" s="368" t="s">
        <v>405</v>
      </c>
      <c r="B79" s="368"/>
      <c r="C79" s="368"/>
      <c r="D79" s="368"/>
      <c r="E79" s="368"/>
      <c r="F79" s="368"/>
      <c r="G79" s="368"/>
      <c r="H79" s="368"/>
      <c r="I79" s="368"/>
      <c r="L79" s="370" t="s">
        <v>406</v>
      </c>
      <c r="M79" s="370"/>
      <c r="N79" s="370"/>
      <c r="O79" s="370"/>
      <c r="P79" s="370"/>
      <c r="Q79" s="370"/>
      <c r="R79" s="370"/>
      <c r="S79" s="370"/>
      <c r="T79" s="370"/>
      <c r="V79" s="370" t="s">
        <v>407</v>
      </c>
      <c r="W79" s="370"/>
      <c r="X79" s="370"/>
      <c r="Y79" s="370"/>
      <c r="Z79" s="370"/>
      <c r="AB79" s="370" t="s">
        <v>408</v>
      </c>
      <c r="AC79" s="370"/>
      <c r="AD79" s="370"/>
      <c r="AE79" s="370"/>
      <c r="AF79" s="370"/>
      <c r="AG79" s="370"/>
    </row>
    <row r="80" spans="1:35" ht="46.5" x14ac:dyDescent="0.5">
      <c r="A80" s="227" t="s">
        <v>377</v>
      </c>
      <c r="B80" s="227" t="s">
        <v>403</v>
      </c>
      <c r="C80" s="228" t="s">
        <v>379</v>
      </c>
      <c r="D80" s="228" t="s">
        <v>380</v>
      </c>
      <c r="E80" s="228" t="s">
        <v>381</v>
      </c>
      <c r="F80" s="229" t="s">
        <v>404</v>
      </c>
      <c r="G80" s="230" t="s">
        <v>383</v>
      </c>
      <c r="H80" s="228" t="s">
        <v>384</v>
      </c>
      <c r="I80" s="227" t="s">
        <v>385</v>
      </c>
      <c r="L80" s="227" t="s">
        <v>377</v>
      </c>
      <c r="M80" s="227" t="s">
        <v>403</v>
      </c>
      <c r="N80" s="227" t="s">
        <v>386</v>
      </c>
      <c r="O80" s="227" t="s">
        <v>387</v>
      </c>
      <c r="P80" s="227" t="s">
        <v>388</v>
      </c>
      <c r="Q80" s="227" t="s">
        <v>389</v>
      </c>
      <c r="R80" s="227"/>
      <c r="S80" s="227" t="s">
        <v>390</v>
      </c>
      <c r="T80" s="227" t="s">
        <v>391</v>
      </c>
      <c r="V80" s="227" t="s">
        <v>377</v>
      </c>
      <c r="W80" s="227" t="s">
        <v>403</v>
      </c>
      <c r="X80" s="227" t="s">
        <v>392</v>
      </c>
      <c r="Y80" s="227" t="s">
        <v>393</v>
      </c>
      <c r="Z80" s="227" t="s">
        <v>391</v>
      </c>
      <c r="AB80" s="227" t="s">
        <v>377</v>
      </c>
      <c r="AC80" s="227" t="s">
        <v>378</v>
      </c>
      <c r="AD80" s="227" t="s">
        <v>394</v>
      </c>
      <c r="AE80" s="235" t="s">
        <v>395</v>
      </c>
      <c r="AF80" s="228" t="s">
        <v>396</v>
      </c>
      <c r="AG80" s="227" t="s">
        <v>391</v>
      </c>
    </row>
    <row r="81" spans="1:33" x14ac:dyDescent="0.5">
      <c r="A81" s="236">
        <v>1</v>
      </c>
      <c r="B81" s="267" t="s">
        <v>319</v>
      </c>
      <c r="C81" s="267">
        <f t="shared" ref="C81:C91" si="14">C62*100/H62</f>
        <v>78.445575281229125</v>
      </c>
      <c r="D81" s="267">
        <f t="shared" ref="D81:D92" si="15">D62*100/H62</f>
        <v>19.365156318986475</v>
      </c>
      <c r="E81" s="267">
        <f t="shared" ref="E81:E92" si="16">E62*100/H62</f>
        <v>1.862439664031839</v>
      </c>
      <c r="F81" s="267">
        <f t="shared" ref="F81:F92" si="17">F62*100/H62</f>
        <v>0.32682873575256755</v>
      </c>
      <c r="G81" s="267">
        <f t="shared" ref="G81:G92" si="18">G62*100/H62</f>
        <v>0</v>
      </c>
      <c r="H81" s="268">
        <f>+C81+D81+E81+F81+G81</f>
        <v>100.00000000000001</v>
      </c>
      <c r="I81" s="237"/>
      <c r="L81" s="236">
        <v>1</v>
      </c>
      <c r="M81" s="267" t="s">
        <v>319</v>
      </c>
      <c r="N81" s="242">
        <f t="shared" ref="N81:N92" si="19">N62*100/T62</f>
        <v>0.54864259823234784</v>
      </c>
      <c r="O81" s="242">
        <f t="shared" ref="O81:O92" si="20">O62*100/T62</f>
        <v>99.451357401767652</v>
      </c>
      <c r="P81" s="242"/>
      <c r="Q81" s="242"/>
      <c r="R81" s="242"/>
      <c r="S81" s="242"/>
      <c r="T81" s="269">
        <f>+N81+O81</f>
        <v>100</v>
      </c>
      <c r="V81" s="236">
        <v>1</v>
      </c>
      <c r="W81" s="267" t="s">
        <v>319</v>
      </c>
      <c r="X81" s="242">
        <f t="shared" ref="X81:X92" si="21">X62*100/Z62</f>
        <v>94.682862063412713</v>
      </c>
      <c r="Y81" s="242">
        <f t="shared" ref="Y81:Y92" si="22">Y62*100/Z62</f>
        <v>5.3171379365872875</v>
      </c>
      <c r="Z81" s="269">
        <f>+X81+Y81</f>
        <v>100</v>
      </c>
      <c r="AB81" s="236">
        <v>1</v>
      </c>
      <c r="AC81" s="267" t="s">
        <v>319</v>
      </c>
      <c r="AD81" s="242">
        <f>AD62*100/AG62</f>
        <v>100</v>
      </c>
      <c r="AE81" s="242"/>
      <c r="AF81" s="242">
        <f>AF62*100/AG62</f>
        <v>0</v>
      </c>
      <c r="AG81" s="269">
        <f t="shared" ref="AG81:AG84" si="23">+AD81+AF81</f>
        <v>100</v>
      </c>
    </row>
    <row r="82" spans="1:33" x14ac:dyDescent="0.5">
      <c r="A82" s="236">
        <v>2</v>
      </c>
      <c r="B82" s="267" t="s">
        <v>320</v>
      </c>
      <c r="C82" s="267" t="e">
        <f t="shared" si="14"/>
        <v>#DIV/0!</v>
      </c>
      <c r="D82" s="267" t="e">
        <f t="shared" si="15"/>
        <v>#DIV/0!</v>
      </c>
      <c r="E82" s="267" t="e">
        <f t="shared" si="16"/>
        <v>#DIV/0!</v>
      </c>
      <c r="F82" s="267" t="e">
        <f t="shared" si="17"/>
        <v>#DIV/0!</v>
      </c>
      <c r="G82" s="267" t="e">
        <f t="shared" si="18"/>
        <v>#DIV/0!</v>
      </c>
      <c r="H82" s="268" t="e">
        <f t="shared" ref="H82:H85" si="24">+C82+D82+E82+F82+G82</f>
        <v>#DIV/0!</v>
      </c>
      <c r="I82" s="237"/>
      <c r="L82" s="236">
        <v>2</v>
      </c>
      <c r="M82" s="267" t="s">
        <v>320</v>
      </c>
      <c r="N82" s="242" t="e">
        <f t="shared" si="19"/>
        <v>#DIV/0!</v>
      </c>
      <c r="O82" s="242" t="e">
        <f t="shared" si="20"/>
        <v>#DIV/0!</v>
      </c>
      <c r="P82" s="242"/>
      <c r="Q82" s="242"/>
      <c r="R82" s="242"/>
      <c r="S82" s="242"/>
      <c r="T82" s="269" t="e">
        <f>+N82+O82+#REF!</f>
        <v>#DIV/0!</v>
      </c>
      <c r="V82" s="236">
        <v>2</v>
      </c>
      <c r="W82" s="267" t="s">
        <v>320</v>
      </c>
      <c r="X82" s="242" t="e">
        <f t="shared" si="21"/>
        <v>#DIV/0!</v>
      </c>
      <c r="Y82" s="242" t="e">
        <f t="shared" si="22"/>
        <v>#DIV/0!</v>
      </c>
      <c r="Z82" s="269" t="e">
        <f>+X82+Y82</f>
        <v>#DIV/0!</v>
      </c>
      <c r="AB82" s="236">
        <v>2</v>
      </c>
      <c r="AC82" s="267" t="s">
        <v>320</v>
      </c>
      <c r="AD82" s="242" t="e">
        <f t="shared" ref="AD82:AD92" si="25">AD63*100/AG63</f>
        <v>#DIV/0!</v>
      </c>
      <c r="AE82" s="242"/>
      <c r="AF82" s="242" t="e">
        <f t="shared" ref="AF82:AF92" si="26">AF63*100/AG63</f>
        <v>#DIV/0!</v>
      </c>
      <c r="AG82" s="269" t="e">
        <f t="shared" si="23"/>
        <v>#DIV/0!</v>
      </c>
    </row>
    <row r="83" spans="1:33" x14ac:dyDescent="0.5">
      <c r="A83" s="236">
        <v>3</v>
      </c>
      <c r="B83" s="267" t="s">
        <v>321</v>
      </c>
      <c r="C83" s="267">
        <f t="shared" si="14"/>
        <v>79.755799438436796</v>
      </c>
      <c r="D83" s="267">
        <f t="shared" si="15"/>
        <v>18.097155473921088</v>
      </c>
      <c r="E83" s="267">
        <f t="shared" si="16"/>
        <v>1.6194719581152184</v>
      </c>
      <c r="F83" s="267">
        <f t="shared" si="17"/>
        <v>0.52757312952691082</v>
      </c>
      <c r="G83" s="267">
        <f t="shared" si="18"/>
        <v>0</v>
      </c>
      <c r="H83" s="268">
        <f t="shared" si="24"/>
        <v>100.00000000000001</v>
      </c>
      <c r="I83" s="237"/>
      <c r="L83" s="236">
        <v>3</v>
      </c>
      <c r="M83" s="267" t="s">
        <v>321</v>
      </c>
      <c r="N83" s="242">
        <f t="shared" si="19"/>
        <v>1.2660398836494806</v>
      </c>
      <c r="O83" s="242">
        <f t="shared" si="20"/>
        <v>98.733960116350531</v>
      </c>
      <c r="P83" s="242"/>
      <c r="Q83" s="242"/>
      <c r="R83" s="242"/>
      <c r="S83" s="242"/>
      <c r="T83" s="269" t="e">
        <f>+N83+O83+#REF!</f>
        <v>#REF!</v>
      </c>
      <c r="V83" s="236">
        <v>3</v>
      </c>
      <c r="W83" s="267" t="s">
        <v>321</v>
      </c>
      <c r="X83" s="242">
        <f t="shared" si="21"/>
        <v>94.635564508667187</v>
      </c>
      <c r="Y83" s="242">
        <f t="shared" si="22"/>
        <v>5.3644354913328245</v>
      </c>
      <c r="Z83" s="269">
        <f t="shared" ref="Z83:Z92" si="27">+X83+Y83</f>
        <v>100.00000000000001</v>
      </c>
      <c r="AB83" s="236">
        <v>3</v>
      </c>
      <c r="AC83" s="267" t="s">
        <v>321</v>
      </c>
      <c r="AD83" s="242">
        <f t="shared" si="25"/>
        <v>100</v>
      </c>
      <c r="AE83" s="242"/>
      <c r="AF83" s="242">
        <f t="shared" si="26"/>
        <v>0</v>
      </c>
      <c r="AG83" s="269">
        <f t="shared" si="23"/>
        <v>100</v>
      </c>
    </row>
    <row r="84" spans="1:33" x14ac:dyDescent="0.5">
      <c r="A84" s="236">
        <v>4</v>
      </c>
      <c r="B84" s="267" t="s">
        <v>322</v>
      </c>
      <c r="C84" s="267" t="e">
        <f t="shared" si="14"/>
        <v>#DIV/0!</v>
      </c>
      <c r="D84" s="267" t="e">
        <f t="shared" si="15"/>
        <v>#DIV/0!</v>
      </c>
      <c r="E84" s="267" t="e">
        <f t="shared" si="16"/>
        <v>#DIV/0!</v>
      </c>
      <c r="F84" s="267" t="e">
        <f t="shared" si="17"/>
        <v>#DIV/0!</v>
      </c>
      <c r="G84" s="267" t="e">
        <f t="shared" si="18"/>
        <v>#DIV/0!</v>
      </c>
      <c r="H84" s="268" t="e">
        <f t="shared" si="24"/>
        <v>#DIV/0!</v>
      </c>
      <c r="I84" s="237"/>
      <c r="L84" s="236">
        <v>4</v>
      </c>
      <c r="M84" s="267" t="s">
        <v>322</v>
      </c>
      <c r="N84" s="242" t="e">
        <f t="shared" si="19"/>
        <v>#DIV/0!</v>
      </c>
      <c r="O84" s="242" t="e">
        <f t="shared" si="20"/>
        <v>#DIV/0!</v>
      </c>
      <c r="P84" s="242"/>
      <c r="Q84" s="242"/>
      <c r="R84" s="242"/>
      <c r="S84" s="242"/>
      <c r="T84" s="269" t="e">
        <f>+N84+O84+#REF!</f>
        <v>#DIV/0!</v>
      </c>
      <c r="V84" s="236">
        <v>4</v>
      </c>
      <c r="W84" s="267" t="s">
        <v>322</v>
      </c>
      <c r="X84" s="242" t="e">
        <f t="shared" si="21"/>
        <v>#DIV/0!</v>
      </c>
      <c r="Y84" s="242" t="e">
        <f t="shared" si="22"/>
        <v>#DIV/0!</v>
      </c>
      <c r="Z84" s="269" t="e">
        <f t="shared" si="27"/>
        <v>#DIV/0!</v>
      </c>
      <c r="AB84" s="236">
        <v>4</v>
      </c>
      <c r="AC84" s="267" t="s">
        <v>322</v>
      </c>
      <c r="AD84" s="242" t="e">
        <f t="shared" si="25"/>
        <v>#DIV/0!</v>
      </c>
      <c r="AE84" s="242"/>
      <c r="AF84" s="242" t="e">
        <f t="shared" si="26"/>
        <v>#DIV/0!</v>
      </c>
      <c r="AG84" s="269" t="e">
        <f t="shared" si="23"/>
        <v>#DIV/0!</v>
      </c>
    </row>
    <row r="85" spans="1:33" x14ac:dyDescent="0.5">
      <c r="A85" s="236">
        <v>5</v>
      </c>
      <c r="B85" s="267" t="s">
        <v>323</v>
      </c>
      <c r="C85" s="267" t="e">
        <f t="shared" si="14"/>
        <v>#DIV/0!</v>
      </c>
      <c r="D85" s="267" t="e">
        <f t="shared" si="15"/>
        <v>#DIV/0!</v>
      </c>
      <c r="E85" s="267" t="e">
        <f t="shared" si="16"/>
        <v>#DIV/0!</v>
      </c>
      <c r="F85" s="267" t="e">
        <f t="shared" si="17"/>
        <v>#DIV/0!</v>
      </c>
      <c r="G85" s="267" t="e">
        <f t="shared" si="18"/>
        <v>#DIV/0!</v>
      </c>
      <c r="H85" s="268" t="e">
        <f t="shared" si="24"/>
        <v>#DIV/0!</v>
      </c>
      <c r="I85" s="237"/>
      <c r="L85" s="236">
        <v>5</v>
      </c>
      <c r="M85" s="267" t="s">
        <v>323</v>
      </c>
      <c r="N85" s="242" t="e">
        <f t="shared" si="19"/>
        <v>#DIV/0!</v>
      </c>
      <c r="O85" s="242" t="e">
        <f t="shared" si="20"/>
        <v>#DIV/0!</v>
      </c>
      <c r="P85" s="242"/>
      <c r="Q85" s="242"/>
      <c r="R85" s="242"/>
      <c r="S85" s="242"/>
      <c r="T85" s="269" t="e">
        <f>+N85+O85+#REF!</f>
        <v>#DIV/0!</v>
      </c>
      <c r="V85" s="236">
        <v>5</v>
      </c>
      <c r="W85" s="267" t="s">
        <v>323</v>
      </c>
      <c r="X85" s="242" t="e">
        <f t="shared" si="21"/>
        <v>#DIV/0!</v>
      </c>
      <c r="Y85" s="242" t="e">
        <f t="shared" si="22"/>
        <v>#DIV/0!</v>
      </c>
      <c r="Z85" s="269" t="e">
        <f t="shared" si="27"/>
        <v>#DIV/0!</v>
      </c>
      <c r="AB85" s="236">
        <v>5</v>
      </c>
      <c r="AC85" s="267" t="s">
        <v>323</v>
      </c>
      <c r="AD85" s="242" t="e">
        <f t="shared" si="25"/>
        <v>#DIV/0!</v>
      </c>
      <c r="AE85" s="242"/>
      <c r="AF85" s="242" t="e">
        <f t="shared" si="26"/>
        <v>#DIV/0!</v>
      </c>
      <c r="AG85" s="269" t="e">
        <f>+AD85+AF85</f>
        <v>#DIV/0!</v>
      </c>
    </row>
    <row r="86" spans="1:33" x14ac:dyDescent="0.5">
      <c r="A86" s="236">
        <v>6</v>
      </c>
      <c r="B86" s="267" t="s">
        <v>324</v>
      </c>
      <c r="C86" s="267" t="e">
        <f t="shared" si="14"/>
        <v>#DIV/0!</v>
      </c>
      <c r="D86" s="267" t="e">
        <f t="shared" si="15"/>
        <v>#DIV/0!</v>
      </c>
      <c r="E86" s="267" t="e">
        <f t="shared" si="16"/>
        <v>#DIV/0!</v>
      </c>
      <c r="F86" s="267" t="e">
        <f t="shared" si="17"/>
        <v>#DIV/0!</v>
      </c>
      <c r="G86" s="267" t="e">
        <f t="shared" si="18"/>
        <v>#DIV/0!</v>
      </c>
      <c r="H86" s="268" t="e">
        <f>+C86+D86+E86+F86+G86</f>
        <v>#DIV/0!</v>
      </c>
      <c r="I86" s="237"/>
      <c r="L86" s="236">
        <v>6</v>
      </c>
      <c r="M86" s="267" t="s">
        <v>324</v>
      </c>
      <c r="N86" s="242" t="e">
        <f t="shared" si="19"/>
        <v>#DIV/0!</v>
      </c>
      <c r="O86" s="242" t="e">
        <f t="shared" si="20"/>
        <v>#DIV/0!</v>
      </c>
      <c r="P86" s="242"/>
      <c r="Q86" s="242"/>
      <c r="R86" s="242"/>
      <c r="S86" s="242"/>
      <c r="T86" s="269" t="e">
        <f>+N86+O86+#REF!</f>
        <v>#DIV/0!</v>
      </c>
      <c r="U86" s="233"/>
      <c r="V86" s="236">
        <v>6</v>
      </c>
      <c r="W86" s="267" t="s">
        <v>324</v>
      </c>
      <c r="X86" s="242" t="e">
        <f t="shared" si="21"/>
        <v>#DIV/0!</v>
      </c>
      <c r="Y86" s="242" t="e">
        <f t="shared" si="22"/>
        <v>#DIV/0!</v>
      </c>
      <c r="Z86" s="269" t="e">
        <f t="shared" si="27"/>
        <v>#DIV/0!</v>
      </c>
      <c r="AB86" s="236">
        <v>6</v>
      </c>
      <c r="AC86" s="267" t="s">
        <v>324</v>
      </c>
      <c r="AD86" s="242" t="e">
        <f t="shared" si="25"/>
        <v>#DIV/0!</v>
      </c>
      <c r="AE86" s="242"/>
      <c r="AF86" s="242" t="e">
        <f t="shared" si="26"/>
        <v>#DIV/0!</v>
      </c>
      <c r="AG86" s="269" t="e">
        <f t="shared" ref="AG86" si="28">+AD86+AF86</f>
        <v>#DIV/0!</v>
      </c>
    </row>
    <row r="87" spans="1:33" x14ac:dyDescent="0.5">
      <c r="A87" s="236">
        <v>7</v>
      </c>
      <c r="B87" s="267" t="s">
        <v>325</v>
      </c>
      <c r="C87" s="267" t="e">
        <f t="shared" si="14"/>
        <v>#DIV/0!</v>
      </c>
      <c r="D87" s="267" t="e">
        <f t="shared" si="15"/>
        <v>#DIV/0!</v>
      </c>
      <c r="E87" s="267" t="e">
        <f t="shared" si="16"/>
        <v>#DIV/0!</v>
      </c>
      <c r="F87" s="267" t="e">
        <f t="shared" si="17"/>
        <v>#DIV/0!</v>
      </c>
      <c r="G87" s="267" t="e">
        <f t="shared" si="18"/>
        <v>#DIV/0!</v>
      </c>
      <c r="H87" s="268" t="e">
        <f t="shared" ref="H87:H88" si="29">+C87+D87+E87+F87+G87</f>
        <v>#DIV/0!</v>
      </c>
      <c r="I87" s="237"/>
      <c r="L87" s="236">
        <v>7</v>
      </c>
      <c r="M87" s="267" t="s">
        <v>325</v>
      </c>
      <c r="N87" s="242" t="e">
        <f t="shared" si="19"/>
        <v>#DIV/0!</v>
      </c>
      <c r="O87" s="242" t="e">
        <f t="shared" si="20"/>
        <v>#DIV/0!</v>
      </c>
      <c r="P87" s="242"/>
      <c r="Q87" s="242"/>
      <c r="R87" s="242"/>
      <c r="S87" s="242"/>
      <c r="T87" s="269" t="e">
        <f>+N87+O87+#REF!</f>
        <v>#DIV/0!</v>
      </c>
      <c r="V87" s="236">
        <v>7</v>
      </c>
      <c r="W87" s="267" t="s">
        <v>325</v>
      </c>
      <c r="X87" s="242" t="e">
        <f t="shared" si="21"/>
        <v>#DIV/0!</v>
      </c>
      <c r="Y87" s="242" t="e">
        <f t="shared" si="22"/>
        <v>#DIV/0!</v>
      </c>
      <c r="Z87" s="269" t="e">
        <f t="shared" si="27"/>
        <v>#DIV/0!</v>
      </c>
      <c r="AB87" s="236">
        <v>7</v>
      </c>
      <c r="AC87" s="267" t="s">
        <v>325</v>
      </c>
      <c r="AD87" s="242" t="e">
        <f t="shared" si="25"/>
        <v>#DIV/0!</v>
      </c>
      <c r="AE87" s="242"/>
      <c r="AF87" s="242" t="e">
        <f t="shared" si="26"/>
        <v>#DIV/0!</v>
      </c>
      <c r="AG87" s="269" t="e">
        <f>+AD87+AF87</f>
        <v>#DIV/0!</v>
      </c>
    </row>
    <row r="88" spans="1:33" x14ac:dyDescent="0.5">
      <c r="A88" s="236">
        <v>8</v>
      </c>
      <c r="B88" s="267" t="s">
        <v>326</v>
      </c>
      <c r="C88" s="267" t="e">
        <f t="shared" si="14"/>
        <v>#DIV/0!</v>
      </c>
      <c r="D88" s="267" t="e">
        <f t="shared" si="15"/>
        <v>#DIV/0!</v>
      </c>
      <c r="E88" s="267" t="e">
        <f t="shared" si="16"/>
        <v>#DIV/0!</v>
      </c>
      <c r="F88" s="267" t="e">
        <f t="shared" si="17"/>
        <v>#DIV/0!</v>
      </c>
      <c r="G88" s="267" t="e">
        <f t="shared" si="18"/>
        <v>#DIV/0!</v>
      </c>
      <c r="H88" s="268" t="e">
        <f t="shared" si="29"/>
        <v>#DIV/0!</v>
      </c>
      <c r="I88" s="237"/>
      <c r="L88" s="236">
        <v>8</v>
      </c>
      <c r="M88" s="267" t="s">
        <v>326</v>
      </c>
      <c r="N88" s="242" t="e">
        <f t="shared" si="19"/>
        <v>#DIV/0!</v>
      </c>
      <c r="O88" s="242" t="e">
        <f t="shared" si="20"/>
        <v>#DIV/0!</v>
      </c>
      <c r="P88" s="242"/>
      <c r="Q88" s="242"/>
      <c r="R88" s="242"/>
      <c r="S88" s="242"/>
      <c r="T88" s="269" t="e">
        <f>+N88+O88+#REF!</f>
        <v>#DIV/0!</v>
      </c>
      <c r="V88" s="236">
        <v>8</v>
      </c>
      <c r="W88" s="267" t="s">
        <v>326</v>
      </c>
      <c r="X88" s="242" t="e">
        <f t="shared" si="21"/>
        <v>#DIV/0!</v>
      </c>
      <c r="Y88" s="242" t="e">
        <f t="shared" si="22"/>
        <v>#DIV/0!</v>
      </c>
      <c r="Z88" s="269" t="e">
        <f t="shared" si="27"/>
        <v>#DIV/0!</v>
      </c>
      <c r="AB88" s="236">
        <v>8</v>
      </c>
      <c r="AC88" s="267" t="s">
        <v>326</v>
      </c>
      <c r="AD88" s="242" t="e">
        <f t="shared" si="25"/>
        <v>#DIV/0!</v>
      </c>
      <c r="AE88" s="242"/>
      <c r="AF88" s="242" t="e">
        <f t="shared" si="26"/>
        <v>#DIV/0!</v>
      </c>
      <c r="AG88" s="269" t="e">
        <f t="shared" ref="AG88:AG92" si="30">+AD88+AF88</f>
        <v>#DIV/0!</v>
      </c>
    </row>
    <row r="89" spans="1:33" x14ac:dyDescent="0.5">
      <c r="A89" s="236">
        <v>9</v>
      </c>
      <c r="B89" s="267" t="s">
        <v>327</v>
      </c>
      <c r="C89" s="267" t="e">
        <f t="shared" si="14"/>
        <v>#DIV/0!</v>
      </c>
      <c r="D89" s="267" t="e">
        <f t="shared" si="15"/>
        <v>#DIV/0!</v>
      </c>
      <c r="E89" s="267" t="e">
        <f t="shared" si="16"/>
        <v>#DIV/0!</v>
      </c>
      <c r="F89" s="267" t="e">
        <f t="shared" si="17"/>
        <v>#DIV/0!</v>
      </c>
      <c r="G89" s="267" t="e">
        <f t="shared" si="18"/>
        <v>#DIV/0!</v>
      </c>
      <c r="H89" s="268" t="e">
        <f>+C89+D89+E89+F89+G89</f>
        <v>#DIV/0!</v>
      </c>
      <c r="I89" s="237"/>
      <c r="L89" s="236">
        <v>9</v>
      </c>
      <c r="M89" s="267" t="s">
        <v>327</v>
      </c>
      <c r="N89" s="242" t="e">
        <f t="shared" si="19"/>
        <v>#DIV/0!</v>
      </c>
      <c r="O89" s="242" t="e">
        <f t="shared" si="20"/>
        <v>#DIV/0!</v>
      </c>
      <c r="P89" s="242"/>
      <c r="Q89" s="242"/>
      <c r="R89" s="242"/>
      <c r="S89" s="242"/>
      <c r="T89" s="269" t="e">
        <f>+N89+O89+#REF!</f>
        <v>#DIV/0!</v>
      </c>
      <c r="V89" s="236">
        <v>9</v>
      </c>
      <c r="W89" s="267" t="s">
        <v>327</v>
      </c>
      <c r="X89" s="242" t="e">
        <f t="shared" si="21"/>
        <v>#DIV/0!</v>
      </c>
      <c r="Y89" s="242" t="e">
        <f t="shared" si="22"/>
        <v>#DIV/0!</v>
      </c>
      <c r="Z89" s="269" t="e">
        <f t="shared" si="27"/>
        <v>#DIV/0!</v>
      </c>
      <c r="AB89" s="236">
        <v>9</v>
      </c>
      <c r="AC89" s="267" t="s">
        <v>327</v>
      </c>
      <c r="AD89" s="242" t="e">
        <f t="shared" si="25"/>
        <v>#DIV/0!</v>
      </c>
      <c r="AE89" s="242"/>
      <c r="AF89" s="242" t="e">
        <f t="shared" si="26"/>
        <v>#DIV/0!</v>
      </c>
      <c r="AG89" s="269" t="e">
        <f t="shared" si="30"/>
        <v>#DIV/0!</v>
      </c>
    </row>
    <row r="90" spans="1:33" x14ac:dyDescent="0.5">
      <c r="A90" s="236">
        <v>10</v>
      </c>
      <c r="B90" s="267" t="s">
        <v>328</v>
      </c>
      <c r="C90" s="267" t="e">
        <f t="shared" si="14"/>
        <v>#DIV/0!</v>
      </c>
      <c r="D90" s="267" t="e">
        <f t="shared" si="15"/>
        <v>#DIV/0!</v>
      </c>
      <c r="E90" s="267" t="e">
        <f t="shared" si="16"/>
        <v>#DIV/0!</v>
      </c>
      <c r="F90" s="267" t="e">
        <f t="shared" si="17"/>
        <v>#DIV/0!</v>
      </c>
      <c r="G90" s="267" t="e">
        <f t="shared" si="18"/>
        <v>#DIV/0!</v>
      </c>
      <c r="H90" s="268" t="e">
        <f t="shared" ref="H90:H92" si="31">+C90+D90+E90+F90+G90</f>
        <v>#DIV/0!</v>
      </c>
      <c r="I90" s="237"/>
      <c r="L90" s="236">
        <v>10</v>
      </c>
      <c r="M90" s="267" t="s">
        <v>328</v>
      </c>
      <c r="N90" s="242" t="e">
        <f t="shared" si="19"/>
        <v>#DIV/0!</v>
      </c>
      <c r="O90" s="242" t="e">
        <f t="shared" si="20"/>
        <v>#DIV/0!</v>
      </c>
      <c r="P90" s="242" t="e">
        <f>P71*100/T71</f>
        <v>#DIV/0!</v>
      </c>
      <c r="Q90" s="242" t="e">
        <f>Q71*100/T71</f>
        <v>#DIV/0!</v>
      </c>
      <c r="R90" s="242"/>
      <c r="S90" s="242" t="e">
        <f>S71*100/T71</f>
        <v>#DIV/0!</v>
      </c>
      <c r="T90" s="269" t="e">
        <f>N90+O90+P90+Q90+S90+#REF!</f>
        <v>#DIV/0!</v>
      </c>
      <c r="V90" s="236">
        <v>10</v>
      </c>
      <c r="W90" s="267" t="s">
        <v>397</v>
      </c>
      <c r="X90" s="242" t="e">
        <f t="shared" si="21"/>
        <v>#DIV/0!</v>
      </c>
      <c r="Y90" s="242" t="e">
        <f t="shared" si="22"/>
        <v>#DIV/0!</v>
      </c>
      <c r="Z90" s="269" t="e">
        <f t="shared" si="27"/>
        <v>#DIV/0!</v>
      </c>
      <c r="AB90" s="236">
        <v>10</v>
      </c>
      <c r="AC90" s="267" t="s">
        <v>328</v>
      </c>
      <c r="AD90" s="242" t="e">
        <f t="shared" si="25"/>
        <v>#DIV/0!</v>
      </c>
      <c r="AE90" s="242"/>
      <c r="AF90" s="242" t="e">
        <f t="shared" si="26"/>
        <v>#DIV/0!</v>
      </c>
      <c r="AG90" s="269" t="e">
        <f t="shared" si="30"/>
        <v>#DIV/0!</v>
      </c>
    </row>
    <row r="91" spans="1:33" x14ac:dyDescent="0.5">
      <c r="A91" s="236">
        <v>11</v>
      </c>
      <c r="B91" s="267" t="s">
        <v>329</v>
      </c>
      <c r="C91" s="267" t="e">
        <f t="shared" si="14"/>
        <v>#DIV/0!</v>
      </c>
      <c r="D91" s="267" t="e">
        <f t="shared" si="15"/>
        <v>#DIV/0!</v>
      </c>
      <c r="E91" s="267" t="e">
        <f t="shared" si="16"/>
        <v>#DIV/0!</v>
      </c>
      <c r="F91" s="267" t="e">
        <f t="shared" si="17"/>
        <v>#DIV/0!</v>
      </c>
      <c r="G91" s="267" t="e">
        <f t="shared" si="18"/>
        <v>#DIV/0!</v>
      </c>
      <c r="H91" s="268" t="e">
        <f t="shared" si="31"/>
        <v>#DIV/0!</v>
      </c>
      <c r="I91" s="237"/>
      <c r="L91" s="236">
        <v>11</v>
      </c>
      <c r="M91" s="267" t="s">
        <v>329</v>
      </c>
      <c r="N91" s="242" t="e">
        <f t="shared" si="19"/>
        <v>#DIV/0!</v>
      </c>
      <c r="O91" s="242" t="e">
        <f t="shared" si="20"/>
        <v>#DIV/0!</v>
      </c>
      <c r="P91" s="242" t="e">
        <f>P72*100/T72</f>
        <v>#DIV/0!</v>
      </c>
      <c r="Q91" s="242" t="e">
        <f>Q72*100/T72</f>
        <v>#DIV/0!</v>
      </c>
      <c r="R91" s="242"/>
      <c r="S91" s="242" t="e">
        <f>S72*100/T72</f>
        <v>#DIV/0!</v>
      </c>
      <c r="T91" s="269" t="e">
        <f>N91+O91+P91+Q91+S91+#REF!</f>
        <v>#DIV/0!</v>
      </c>
      <c r="V91" s="236">
        <v>11</v>
      </c>
      <c r="W91" s="267" t="s">
        <v>329</v>
      </c>
      <c r="X91" s="242" t="e">
        <f t="shared" si="21"/>
        <v>#DIV/0!</v>
      </c>
      <c r="Y91" s="242" t="e">
        <f t="shared" si="22"/>
        <v>#DIV/0!</v>
      </c>
      <c r="Z91" s="269" t="e">
        <f t="shared" si="27"/>
        <v>#DIV/0!</v>
      </c>
      <c r="AB91" s="236">
        <v>11</v>
      </c>
      <c r="AC91" s="267" t="s">
        <v>329</v>
      </c>
      <c r="AD91" s="242" t="e">
        <f t="shared" si="25"/>
        <v>#DIV/0!</v>
      </c>
      <c r="AE91" s="242"/>
      <c r="AF91" s="242" t="e">
        <f t="shared" si="26"/>
        <v>#DIV/0!</v>
      </c>
      <c r="AG91" s="269" t="e">
        <f t="shared" si="30"/>
        <v>#DIV/0!</v>
      </c>
    </row>
    <row r="92" spans="1:33" x14ac:dyDescent="0.5">
      <c r="A92" s="236">
        <v>12</v>
      </c>
      <c r="B92" s="267" t="s">
        <v>330</v>
      </c>
      <c r="C92" s="267" t="e">
        <f>C73*100/H73</f>
        <v>#DIV/0!</v>
      </c>
      <c r="D92" s="267" t="e">
        <f t="shared" si="15"/>
        <v>#DIV/0!</v>
      </c>
      <c r="E92" s="267" t="e">
        <f t="shared" si="16"/>
        <v>#DIV/0!</v>
      </c>
      <c r="F92" s="267" t="e">
        <f t="shared" si="17"/>
        <v>#DIV/0!</v>
      </c>
      <c r="G92" s="267" t="e">
        <f t="shared" si="18"/>
        <v>#DIV/0!</v>
      </c>
      <c r="H92" s="268" t="e">
        <f t="shared" si="31"/>
        <v>#DIV/0!</v>
      </c>
      <c r="I92" s="237"/>
      <c r="L92" s="236">
        <v>12</v>
      </c>
      <c r="M92" s="267" t="s">
        <v>330</v>
      </c>
      <c r="N92" s="242" t="e">
        <f t="shared" si="19"/>
        <v>#DIV/0!</v>
      </c>
      <c r="O92" s="242" t="e">
        <f t="shared" si="20"/>
        <v>#DIV/0!</v>
      </c>
      <c r="P92" s="242"/>
      <c r="Q92" s="242"/>
      <c r="R92" s="242"/>
      <c r="S92" s="242"/>
      <c r="T92" s="269" t="e">
        <f>N92+O92+P92+Q92+S92+#REF!</f>
        <v>#DIV/0!</v>
      </c>
      <c r="V92" s="236">
        <v>12</v>
      </c>
      <c r="W92" s="267" t="s">
        <v>330</v>
      </c>
      <c r="X92" s="242" t="e">
        <f t="shared" si="21"/>
        <v>#DIV/0!</v>
      </c>
      <c r="Y92" s="242" t="e">
        <f t="shared" si="22"/>
        <v>#DIV/0!</v>
      </c>
      <c r="Z92" s="269" t="e">
        <f t="shared" si="27"/>
        <v>#DIV/0!</v>
      </c>
      <c r="AB92" s="236">
        <v>12</v>
      </c>
      <c r="AC92" s="267" t="s">
        <v>330</v>
      </c>
      <c r="AD92" s="242" t="e">
        <f t="shared" si="25"/>
        <v>#DIV/0!</v>
      </c>
      <c r="AE92" s="242"/>
      <c r="AF92" s="242" t="e">
        <f t="shared" si="26"/>
        <v>#DIV/0!</v>
      </c>
      <c r="AG92" s="269" t="e">
        <f t="shared" si="30"/>
        <v>#DIV/0!</v>
      </c>
    </row>
    <row r="93" spans="1:33" ht="24" thickBot="1" x14ac:dyDescent="0.55000000000000004">
      <c r="A93" s="366" t="s">
        <v>397</v>
      </c>
      <c r="B93" s="367"/>
      <c r="C93" s="260" t="e">
        <f>SUM(C81:C92)</f>
        <v>#DIV/0!</v>
      </c>
      <c r="D93" s="260" t="e">
        <f>SUM(D81:D92)</f>
        <v>#DIV/0!</v>
      </c>
      <c r="E93" s="260" t="e">
        <f>SUM(E81:E92)</f>
        <v>#DIV/0!</v>
      </c>
      <c r="F93" s="261" t="e">
        <f>SUM(F81:F92)</f>
        <v>#DIV/0!</v>
      </c>
      <c r="G93" s="262" t="e">
        <f t="shared" ref="G93" si="32">SUM(G81:G92)</f>
        <v>#DIV/0!</v>
      </c>
      <c r="H93" s="260" t="e">
        <f>SUM(H81:H92)</f>
        <v>#DIV/0!</v>
      </c>
      <c r="I93" s="260"/>
      <c r="L93" s="247"/>
      <c r="M93" s="248" t="s">
        <v>397</v>
      </c>
      <c r="N93" s="251" t="e">
        <f>SUM(N81:N92)</f>
        <v>#DIV/0!</v>
      </c>
      <c r="O93" s="251" t="e">
        <f>SUM(O81:O92)</f>
        <v>#DIV/0!</v>
      </c>
      <c r="P93" s="251"/>
      <c r="Q93" s="251"/>
      <c r="R93" s="251"/>
      <c r="S93" s="251"/>
      <c r="T93" s="251" t="e">
        <f>SUM(T81:T92)</f>
        <v>#DIV/0!</v>
      </c>
      <c r="V93" s="247"/>
      <c r="W93" s="248" t="s">
        <v>397</v>
      </c>
      <c r="X93" s="251" t="e">
        <f>SUM(X81:X92)</f>
        <v>#DIV/0!</v>
      </c>
      <c r="Y93" s="251" t="e">
        <f>SUM(Y81:Y92)</f>
        <v>#DIV/0!</v>
      </c>
      <c r="Z93" s="251" t="e">
        <f>SUM(Z81:Z92)</f>
        <v>#DIV/0!</v>
      </c>
      <c r="AB93" s="247"/>
      <c r="AC93" s="248" t="s">
        <v>397</v>
      </c>
      <c r="AD93" s="251" t="e">
        <f>SUM(AD81:AD92)</f>
        <v>#DIV/0!</v>
      </c>
      <c r="AE93" s="250">
        <f>SUM(AE81:AE92)</f>
        <v>0</v>
      </c>
      <c r="AF93" s="251" t="e">
        <f>SUM(AF81:AF92)</f>
        <v>#DIV/0!</v>
      </c>
      <c r="AG93" s="251" t="e">
        <f>SUM(AG81:AG92)</f>
        <v>#DIV/0!</v>
      </c>
    </row>
    <row r="94" spans="1:33" ht="24" thickTop="1" x14ac:dyDescent="0.5">
      <c r="H94" s="270"/>
    </row>
  </sheetData>
  <mergeCells count="15">
    <mergeCell ref="A93:B93"/>
    <mergeCell ref="A1:I1"/>
    <mergeCell ref="L1:T1"/>
    <mergeCell ref="V1:Z1"/>
    <mergeCell ref="AB1:AG1"/>
    <mergeCell ref="A52:B52"/>
    <mergeCell ref="A60:I60"/>
    <mergeCell ref="L60:T60"/>
    <mergeCell ref="V60:Z60"/>
    <mergeCell ref="AB60:AG60"/>
    <mergeCell ref="A74:B74"/>
    <mergeCell ref="A79:I79"/>
    <mergeCell ref="L79:T79"/>
    <mergeCell ref="V79:Z79"/>
    <mergeCell ref="AB79:AG79"/>
  </mergeCells>
  <pageMargins left="0.38" right="0.2" top="0.61" bottom="0.56000000000000005" header="0.3" footer="0.3"/>
  <pageSetup paperSize="9" scale="22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334B-F474-41E6-A890-338F2000C5A4}">
  <dimension ref="A1:N736"/>
  <sheetViews>
    <sheetView topLeftCell="A208" zoomScale="120" zoomScaleNormal="120" workbookViewId="0">
      <selection activeCell="H220" sqref="H220"/>
    </sheetView>
  </sheetViews>
  <sheetFormatPr defaultRowHeight="16.5" x14ac:dyDescent="0.3"/>
  <cols>
    <col min="1" max="1" width="5.125" customWidth="1"/>
    <col min="2" max="2" width="36" customWidth="1"/>
    <col min="3" max="3" width="9.75" customWidth="1"/>
    <col min="4" max="4" width="6.625" customWidth="1"/>
    <col min="5" max="5" width="11.125" customWidth="1"/>
    <col min="6" max="6" width="8.125" customWidth="1"/>
    <col min="7" max="7" width="9" customWidth="1"/>
  </cols>
  <sheetData>
    <row r="1" spans="1:9" ht="23.25" x14ac:dyDescent="0.5">
      <c r="A1" s="363" t="s">
        <v>0</v>
      </c>
      <c r="B1" s="364"/>
      <c r="C1" s="364"/>
      <c r="D1" s="364"/>
      <c r="E1" s="364"/>
      <c r="F1" s="364"/>
      <c r="G1" s="364"/>
    </row>
    <row r="2" spans="1:9" ht="23.25" x14ac:dyDescent="0.3">
      <c r="A2" s="359" t="s">
        <v>1</v>
      </c>
      <c r="B2" s="365"/>
      <c r="C2" s="365"/>
      <c r="D2" s="365"/>
      <c r="E2" s="365"/>
      <c r="F2" s="365"/>
      <c r="G2" s="365"/>
    </row>
    <row r="3" spans="1:9" ht="18" customHeight="1" x14ac:dyDescent="0.3">
      <c r="A3" s="1" t="s">
        <v>2</v>
      </c>
      <c r="B3" s="2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2" t="s">
        <v>8</v>
      </c>
    </row>
    <row r="4" spans="1:9" ht="18" customHeight="1" x14ac:dyDescent="0.4">
      <c r="A4" s="4" t="s">
        <v>685</v>
      </c>
      <c r="B4" s="5" t="s">
        <v>686</v>
      </c>
      <c r="C4" s="6">
        <v>1472.15</v>
      </c>
      <c r="D4" s="7">
        <v>68.5</v>
      </c>
      <c r="E4" s="8">
        <f t="shared" ref="E4:E67" si="0">+C4*D4</f>
        <v>100842.27500000001</v>
      </c>
      <c r="F4" s="8">
        <f t="shared" ref="F4:F67" si="1">+E4*7%</f>
        <v>7058.9592500000017</v>
      </c>
      <c r="G4" s="8">
        <f t="shared" ref="G4:G67" si="2">+E4+F4</f>
        <v>107901.23425000001</v>
      </c>
      <c r="I4">
        <v>6904134</v>
      </c>
    </row>
    <row r="5" spans="1:9" ht="18" customHeight="1" x14ac:dyDescent="0.4">
      <c r="A5" s="4" t="s">
        <v>687</v>
      </c>
      <c r="B5" s="5" t="s">
        <v>688</v>
      </c>
      <c r="C5" s="6">
        <v>1488.7</v>
      </c>
      <c r="D5" s="7">
        <v>68.5</v>
      </c>
      <c r="E5" s="8">
        <f t="shared" si="0"/>
        <v>101975.95</v>
      </c>
      <c r="F5" s="8">
        <f t="shared" si="1"/>
        <v>7138.3165000000008</v>
      </c>
      <c r="G5" s="8">
        <f t="shared" si="2"/>
        <v>109114.2665</v>
      </c>
      <c r="I5">
        <v>6904032</v>
      </c>
    </row>
    <row r="6" spans="1:9" ht="18" customHeight="1" x14ac:dyDescent="0.4">
      <c r="A6" s="4" t="s">
        <v>689</v>
      </c>
      <c r="B6" s="5" t="s">
        <v>688</v>
      </c>
      <c r="C6" s="6">
        <v>2989.9</v>
      </c>
      <c r="D6" s="7">
        <v>68.5</v>
      </c>
      <c r="E6" s="8">
        <f t="shared" si="0"/>
        <v>204808.15</v>
      </c>
      <c r="F6" s="8">
        <f t="shared" si="1"/>
        <v>14336.570500000002</v>
      </c>
      <c r="G6" s="8">
        <f t="shared" si="2"/>
        <v>219144.7205</v>
      </c>
      <c r="I6">
        <v>6904041</v>
      </c>
    </row>
    <row r="7" spans="1:9" ht="18" customHeight="1" x14ac:dyDescent="0.4">
      <c r="A7" s="4" t="s">
        <v>690</v>
      </c>
      <c r="B7" s="5" t="s">
        <v>688</v>
      </c>
      <c r="C7" s="6">
        <v>2943.25</v>
      </c>
      <c r="D7" s="7">
        <v>68.5</v>
      </c>
      <c r="E7" s="8">
        <f t="shared" si="0"/>
        <v>201612.625</v>
      </c>
      <c r="F7" s="8">
        <f t="shared" si="1"/>
        <v>14112.883750000001</v>
      </c>
      <c r="G7" s="8">
        <f t="shared" si="2"/>
        <v>215725.50875000001</v>
      </c>
      <c r="I7">
        <v>6904086</v>
      </c>
    </row>
    <row r="8" spans="1:9" ht="18" customHeight="1" x14ac:dyDescent="0.4">
      <c r="A8" s="4" t="s">
        <v>691</v>
      </c>
      <c r="B8" s="5" t="s">
        <v>688</v>
      </c>
      <c r="C8" s="6">
        <v>1495.5</v>
      </c>
      <c r="D8" s="7">
        <v>68.5</v>
      </c>
      <c r="E8" s="8">
        <f t="shared" si="0"/>
        <v>102441.75</v>
      </c>
      <c r="F8" s="8">
        <f t="shared" si="1"/>
        <v>7170.9225000000006</v>
      </c>
      <c r="G8" s="8">
        <f t="shared" si="2"/>
        <v>109612.6725</v>
      </c>
      <c r="I8">
        <v>6904109</v>
      </c>
    </row>
    <row r="9" spans="1:9" ht="18" customHeight="1" x14ac:dyDescent="0.4">
      <c r="A9" s="4" t="s">
        <v>685</v>
      </c>
      <c r="B9" s="5" t="s">
        <v>688</v>
      </c>
      <c r="C9" s="6">
        <v>1994.6</v>
      </c>
      <c r="D9" s="7">
        <v>68.5</v>
      </c>
      <c r="E9" s="8">
        <f t="shared" si="0"/>
        <v>136630.1</v>
      </c>
      <c r="F9" s="8">
        <f t="shared" si="1"/>
        <v>9564.1070000000018</v>
      </c>
      <c r="G9" s="8">
        <f t="shared" si="2"/>
        <v>146194.20699999999</v>
      </c>
      <c r="I9">
        <v>6904132</v>
      </c>
    </row>
    <row r="10" spans="1:9" ht="18" customHeight="1" x14ac:dyDescent="0.4">
      <c r="A10" s="4" t="s">
        <v>692</v>
      </c>
      <c r="B10" s="5" t="s">
        <v>688</v>
      </c>
      <c r="C10" s="6">
        <v>5499.65</v>
      </c>
      <c r="D10" s="7">
        <v>68.5</v>
      </c>
      <c r="E10" s="8">
        <f t="shared" si="0"/>
        <v>376726.02499999997</v>
      </c>
      <c r="F10" s="8">
        <f t="shared" si="1"/>
        <v>26370.821749999999</v>
      </c>
      <c r="G10" s="8">
        <f t="shared" si="2"/>
        <v>403096.84674999997</v>
      </c>
      <c r="I10">
        <v>6904159</v>
      </c>
    </row>
    <row r="11" spans="1:9" ht="18" customHeight="1" x14ac:dyDescent="0.4">
      <c r="A11" s="4" t="s">
        <v>693</v>
      </c>
      <c r="B11" s="5" t="s">
        <v>688</v>
      </c>
      <c r="C11" s="6">
        <v>1496.85</v>
      </c>
      <c r="D11" s="7">
        <v>68.5</v>
      </c>
      <c r="E11" s="8">
        <f t="shared" si="0"/>
        <v>102534.22499999999</v>
      </c>
      <c r="F11" s="8">
        <f t="shared" si="1"/>
        <v>7177.3957499999997</v>
      </c>
      <c r="G11" s="8">
        <f t="shared" si="2"/>
        <v>109711.62074999999</v>
      </c>
      <c r="I11">
        <v>6904178</v>
      </c>
    </row>
    <row r="12" spans="1:9" ht="18" customHeight="1" x14ac:dyDescent="0.4">
      <c r="A12" s="4" t="s">
        <v>694</v>
      </c>
      <c r="B12" s="5" t="s">
        <v>688</v>
      </c>
      <c r="C12" s="6">
        <v>1498.35</v>
      </c>
      <c r="D12" s="7">
        <v>68.5</v>
      </c>
      <c r="E12" s="8">
        <f t="shared" si="0"/>
        <v>102636.97499999999</v>
      </c>
      <c r="F12" s="8">
        <f t="shared" si="1"/>
        <v>7184.5882499999998</v>
      </c>
      <c r="G12" s="8">
        <f t="shared" si="2"/>
        <v>109821.56324999999</v>
      </c>
      <c r="I12">
        <v>6904191</v>
      </c>
    </row>
    <row r="13" spans="1:9" ht="18" customHeight="1" x14ac:dyDescent="0.4">
      <c r="A13" s="4" t="s">
        <v>695</v>
      </c>
      <c r="B13" s="5" t="s">
        <v>688</v>
      </c>
      <c r="C13" s="6">
        <v>2973.65</v>
      </c>
      <c r="D13" s="7">
        <v>68.5</v>
      </c>
      <c r="E13" s="8">
        <f t="shared" si="0"/>
        <v>203695.02499999999</v>
      </c>
      <c r="F13" s="8">
        <f t="shared" si="1"/>
        <v>14258.651750000001</v>
      </c>
      <c r="G13" s="8">
        <f t="shared" si="2"/>
        <v>217953.67674999998</v>
      </c>
      <c r="I13">
        <v>6904250</v>
      </c>
    </row>
    <row r="14" spans="1:9" ht="18" customHeight="1" x14ac:dyDescent="0.4">
      <c r="A14" s="4" t="s">
        <v>696</v>
      </c>
      <c r="B14" s="5" t="s">
        <v>688</v>
      </c>
      <c r="C14" s="6">
        <v>2997.05</v>
      </c>
      <c r="D14" s="7">
        <v>68.5</v>
      </c>
      <c r="E14" s="8">
        <f t="shared" si="0"/>
        <v>205297.92500000002</v>
      </c>
      <c r="F14" s="8">
        <f t="shared" si="1"/>
        <v>14370.854750000002</v>
      </c>
      <c r="G14" s="8">
        <f t="shared" si="2"/>
        <v>219668.77975000002</v>
      </c>
      <c r="I14">
        <v>6904256</v>
      </c>
    </row>
    <row r="15" spans="1:9" ht="18" customHeight="1" x14ac:dyDescent="0.4">
      <c r="A15" s="4" t="s">
        <v>697</v>
      </c>
      <c r="B15" s="5" t="s">
        <v>688</v>
      </c>
      <c r="C15" s="6">
        <v>1496.7</v>
      </c>
      <c r="D15" s="7">
        <v>68.5</v>
      </c>
      <c r="E15" s="8">
        <f t="shared" si="0"/>
        <v>102523.95</v>
      </c>
      <c r="F15" s="8">
        <f t="shared" si="1"/>
        <v>7176.6765000000005</v>
      </c>
      <c r="G15" s="8">
        <f t="shared" si="2"/>
        <v>109700.6265</v>
      </c>
      <c r="I15">
        <v>6904272</v>
      </c>
    </row>
    <row r="16" spans="1:9" ht="18" customHeight="1" x14ac:dyDescent="0.4">
      <c r="A16" s="4" t="s">
        <v>698</v>
      </c>
      <c r="B16" s="5" t="s">
        <v>688</v>
      </c>
      <c r="C16" s="6">
        <v>1499.1</v>
      </c>
      <c r="D16" s="7">
        <v>68.5</v>
      </c>
      <c r="E16" s="8">
        <f t="shared" si="0"/>
        <v>102688.34999999999</v>
      </c>
      <c r="F16" s="8">
        <f t="shared" si="1"/>
        <v>7188.1845000000003</v>
      </c>
      <c r="G16" s="8">
        <f t="shared" si="2"/>
        <v>109876.53449999999</v>
      </c>
      <c r="I16">
        <v>6904300</v>
      </c>
    </row>
    <row r="17" spans="1:9" ht="18" customHeight="1" x14ac:dyDescent="0.4">
      <c r="A17" s="4" t="s">
        <v>699</v>
      </c>
      <c r="B17" s="5" t="s">
        <v>688</v>
      </c>
      <c r="C17" s="6">
        <v>1490.15</v>
      </c>
      <c r="D17" s="7">
        <v>68.5</v>
      </c>
      <c r="E17" s="8">
        <f t="shared" si="0"/>
        <v>102075.27500000001</v>
      </c>
      <c r="F17" s="8">
        <f t="shared" si="1"/>
        <v>7145.2692500000012</v>
      </c>
      <c r="G17" s="8">
        <f t="shared" si="2"/>
        <v>109220.54425000001</v>
      </c>
      <c r="I17">
        <v>6904287</v>
      </c>
    </row>
    <row r="18" spans="1:9" ht="18" customHeight="1" x14ac:dyDescent="0.4">
      <c r="A18" s="4" t="s">
        <v>700</v>
      </c>
      <c r="B18" s="5" t="s">
        <v>688</v>
      </c>
      <c r="C18" s="6">
        <v>2996.1</v>
      </c>
      <c r="D18" s="7">
        <v>68.5</v>
      </c>
      <c r="E18" s="8">
        <f t="shared" si="0"/>
        <v>205232.85</v>
      </c>
      <c r="F18" s="8">
        <f t="shared" si="1"/>
        <v>14366.299500000001</v>
      </c>
      <c r="G18" s="8">
        <f t="shared" si="2"/>
        <v>219599.1495</v>
      </c>
      <c r="I18">
        <v>6904327</v>
      </c>
    </row>
    <row r="19" spans="1:9" ht="18" customHeight="1" x14ac:dyDescent="0.4">
      <c r="A19" s="4" t="s">
        <v>701</v>
      </c>
      <c r="B19" s="5" t="s">
        <v>688</v>
      </c>
      <c r="C19" s="6">
        <v>1487.4</v>
      </c>
      <c r="D19" s="7">
        <v>68.5</v>
      </c>
      <c r="E19" s="8">
        <f t="shared" si="0"/>
        <v>101886.90000000001</v>
      </c>
      <c r="F19" s="8">
        <f t="shared" si="1"/>
        <v>7132.0830000000014</v>
      </c>
      <c r="G19" s="8">
        <f t="shared" si="2"/>
        <v>109018.98300000001</v>
      </c>
      <c r="I19">
        <v>6904350</v>
      </c>
    </row>
    <row r="20" spans="1:9" ht="18" customHeight="1" x14ac:dyDescent="0.4">
      <c r="A20" s="4" t="s">
        <v>701</v>
      </c>
      <c r="B20" s="5" t="s">
        <v>688</v>
      </c>
      <c r="C20" s="6">
        <v>1491.95</v>
      </c>
      <c r="D20" s="7">
        <v>68.5</v>
      </c>
      <c r="E20" s="8">
        <f t="shared" si="0"/>
        <v>102198.575</v>
      </c>
      <c r="F20" s="8">
        <f t="shared" si="1"/>
        <v>7153.9002500000006</v>
      </c>
      <c r="G20" s="8">
        <f t="shared" si="2"/>
        <v>109352.47525</v>
      </c>
      <c r="I20">
        <v>6904342</v>
      </c>
    </row>
    <row r="21" spans="1:9" ht="18" customHeight="1" x14ac:dyDescent="0.4">
      <c r="A21" s="4" t="s">
        <v>702</v>
      </c>
      <c r="B21" s="5" t="s">
        <v>688</v>
      </c>
      <c r="C21" s="6">
        <v>1065.25</v>
      </c>
      <c r="D21" s="7">
        <v>68.5</v>
      </c>
      <c r="E21" s="8">
        <f t="shared" si="0"/>
        <v>72969.625</v>
      </c>
      <c r="F21" s="8">
        <f t="shared" si="1"/>
        <v>5107.8737500000007</v>
      </c>
      <c r="G21" s="8">
        <f t="shared" si="2"/>
        <v>78077.498749999999</v>
      </c>
      <c r="I21">
        <v>6904354</v>
      </c>
    </row>
    <row r="22" spans="1:9" ht="18" customHeight="1" x14ac:dyDescent="0.4">
      <c r="A22" s="4" t="s">
        <v>690</v>
      </c>
      <c r="B22" s="5" t="s">
        <v>191</v>
      </c>
      <c r="C22" s="6">
        <v>486.15</v>
      </c>
      <c r="D22" s="7">
        <v>68.5</v>
      </c>
      <c r="E22" s="8">
        <f t="shared" si="0"/>
        <v>33301.275000000001</v>
      </c>
      <c r="F22" s="8">
        <f t="shared" si="1"/>
        <v>2331.0892500000004</v>
      </c>
      <c r="G22" s="8">
        <f t="shared" si="2"/>
        <v>35632.364249999999</v>
      </c>
      <c r="I22">
        <v>6904085</v>
      </c>
    </row>
    <row r="23" spans="1:9" ht="18" customHeight="1" x14ac:dyDescent="0.4">
      <c r="A23" s="4" t="s">
        <v>703</v>
      </c>
      <c r="B23" s="5" t="s">
        <v>460</v>
      </c>
      <c r="C23" s="6">
        <v>1478.25</v>
      </c>
      <c r="D23" s="7">
        <v>68.5</v>
      </c>
      <c r="E23" s="8">
        <f t="shared" si="0"/>
        <v>101260.125</v>
      </c>
      <c r="F23" s="8">
        <f t="shared" si="1"/>
        <v>7088.2087500000007</v>
      </c>
      <c r="G23" s="8">
        <f t="shared" si="2"/>
        <v>108348.33375000001</v>
      </c>
      <c r="I23">
        <v>6904004</v>
      </c>
    </row>
    <row r="24" spans="1:9" ht="18" customHeight="1" x14ac:dyDescent="0.4">
      <c r="A24" s="4" t="s">
        <v>704</v>
      </c>
      <c r="B24" s="5" t="s">
        <v>460</v>
      </c>
      <c r="C24" s="6">
        <v>1488.15</v>
      </c>
      <c r="D24" s="7">
        <v>68.5</v>
      </c>
      <c r="E24" s="8">
        <f t="shared" si="0"/>
        <v>101938.27500000001</v>
      </c>
      <c r="F24" s="8">
        <f t="shared" si="1"/>
        <v>7135.679250000001</v>
      </c>
      <c r="G24" s="8">
        <f t="shared" si="2"/>
        <v>109073.95425000001</v>
      </c>
      <c r="I24">
        <v>6904069</v>
      </c>
    </row>
    <row r="25" spans="1:9" ht="18" customHeight="1" x14ac:dyDescent="0.4">
      <c r="A25" s="4" t="s">
        <v>691</v>
      </c>
      <c r="B25" s="5" t="s">
        <v>460</v>
      </c>
      <c r="C25" s="6">
        <v>1460.5</v>
      </c>
      <c r="D25" s="7">
        <v>68.5</v>
      </c>
      <c r="E25" s="8">
        <f t="shared" si="0"/>
        <v>100044.25</v>
      </c>
      <c r="F25" s="8">
        <f t="shared" si="1"/>
        <v>7003.0975000000008</v>
      </c>
      <c r="G25" s="8">
        <f t="shared" si="2"/>
        <v>107047.3475</v>
      </c>
      <c r="I25">
        <v>6904107</v>
      </c>
    </row>
    <row r="26" spans="1:9" ht="18" customHeight="1" x14ac:dyDescent="0.4">
      <c r="A26" s="4" t="s">
        <v>696</v>
      </c>
      <c r="B26" s="5" t="s">
        <v>460</v>
      </c>
      <c r="C26" s="6">
        <v>989.5</v>
      </c>
      <c r="D26" s="7">
        <v>68.5</v>
      </c>
      <c r="E26" s="8">
        <f t="shared" si="0"/>
        <v>67780.75</v>
      </c>
      <c r="F26" s="8">
        <f t="shared" si="1"/>
        <v>4744.6525000000001</v>
      </c>
      <c r="G26" s="8">
        <f t="shared" si="2"/>
        <v>72525.402499999997</v>
      </c>
      <c r="I26">
        <v>6904255</v>
      </c>
    </row>
    <row r="27" spans="1:9" ht="18" customHeight="1" x14ac:dyDescent="0.4">
      <c r="A27" s="4" t="s">
        <v>687</v>
      </c>
      <c r="B27" s="5" t="s">
        <v>705</v>
      </c>
      <c r="C27" s="6">
        <v>856.81</v>
      </c>
      <c r="D27" s="7">
        <v>68.5</v>
      </c>
      <c r="E27" s="8">
        <f t="shared" si="0"/>
        <v>58691.484999999993</v>
      </c>
      <c r="F27" s="8">
        <f t="shared" si="1"/>
        <v>4108.4039499999999</v>
      </c>
      <c r="G27" s="8">
        <f t="shared" si="2"/>
        <v>62799.888949999993</v>
      </c>
      <c r="I27">
        <v>6904030</v>
      </c>
    </row>
    <row r="28" spans="1:9" ht="18" customHeight="1" x14ac:dyDescent="0.4">
      <c r="A28" s="4" t="s">
        <v>703</v>
      </c>
      <c r="B28" s="5" t="s">
        <v>9</v>
      </c>
      <c r="C28" s="6">
        <v>1946.05</v>
      </c>
      <c r="D28" s="7">
        <v>68.5</v>
      </c>
      <c r="E28" s="8">
        <f t="shared" si="0"/>
        <v>133304.42499999999</v>
      </c>
      <c r="F28" s="8">
        <f t="shared" si="1"/>
        <v>9331.3097500000003</v>
      </c>
      <c r="G28" s="8">
        <f t="shared" si="2"/>
        <v>142635.73475</v>
      </c>
      <c r="I28">
        <v>6904001</v>
      </c>
    </row>
    <row r="29" spans="1:9" ht="18" customHeight="1" x14ac:dyDescent="0.4">
      <c r="A29" s="4" t="s">
        <v>687</v>
      </c>
      <c r="B29" s="5" t="s">
        <v>706</v>
      </c>
      <c r="C29" s="6">
        <v>472.85</v>
      </c>
      <c r="D29" s="7">
        <v>68.5</v>
      </c>
      <c r="E29" s="8">
        <f t="shared" si="0"/>
        <v>32390.225000000002</v>
      </c>
      <c r="F29" s="8">
        <f t="shared" si="1"/>
        <v>2267.3157500000002</v>
      </c>
      <c r="G29" s="8">
        <f t="shared" si="2"/>
        <v>34657.54075</v>
      </c>
      <c r="I29">
        <v>6904031</v>
      </c>
    </row>
    <row r="30" spans="1:9" ht="18" customHeight="1" x14ac:dyDescent="0.4">
      <c r="A30" s="4" t="s">
        <v>691</v>
      </c>
      <c r="B30" s="5" t="s">
        <v>706</v>
      </c>
      <c r="C30" s="6">
        <v>767.1</v>
      </c>
      <c r="D30" s="7">
        <v>68.5</v>
      </c>
      <c r="E30" s="8">
        <f t="shared" si="0"/>
        <v>52546.35</v>
      </c>
      <c r="F30" s="8">
        <f t="shared" si="1"/>
        <v>3678.2445000000002</v>
      </c>
      <c r="G30" s="8">
        <f t="shared" si="2"/>
        <v>56224.594499999999</v>
      </c>
      <c r="I30">
        <v>6904108</v>
      </c>
    </row>
    <row r="31" spans="1:9" ht="18" customHeight="1" x14ac:dyDescent="0.4">
      <c r="A31" s="4" t="s">
        <v>697</v>
      </c>
      <c r="B31" s="5" t="s">
        <v>706</v>
      </c>
      <c r="C31" s="6">
        <v>1170.9000000000001</v>
      </c>
      <c r="D31" s="7">
        <v>68.5</v>
      </c>
      <c r="E31" s="8">
        <f t="shared" si="0"/>
        <v>80206.650000000009</v>
      </c>
      <c r="F31" s="8">
        <f t="shared" si="1"/>
        <v>5614.4655000000012</v>
      </c>
      <c r="G31" s="8">
        <f t="shared" si="2"/>
        <v>85821.115500000014</v>
      </c>
      <c r="I31">
        <v>6904273</v>
      </c>
    </row>
    <row r="32" spans="1:9" ht="18" customHeight="1" x14ac:dyDescent="0.4">
      <c r="A32" s="4" t="s">
        <v>687</v>
      </c>
      <c r="B32" s="5" t="s">
        <v>10</v>
      </c>
      <c r="C32" s="6">
        <v>4787.12</v>
      </c>
      <c r="D32" s="7">
        <v>68.5</v>
      </c>
      <c r="E32" s="8">
        <f t="shared" si="0"/>
        <v>327917.71999999997</v>
      </c>
      <c r="F32" s="8">
        <f t="shared" si="1"/>
        <v>22954.240399999999</v>
      </c>
      <c r="G32" s="8">
        <f t="shared" si="2"/>
        <v>350871.96039999998</v>
      </c>
      <c r="I32">
        <v>6904029</v>
      </c>
    </row>
    <row r="33" spans="1:9" ht="18" customHeight="1" x14ac:dyDescent="0.4">
      <c r="A33" s="4" t="s">
        <v>703</v>
      </c>
      <c r="B33" s="5" t="s">
        <v>10</v>
      </c>
      <c r="C33" s="9">
        <v>4780.42</v>
      </c>
      <c r="D33" s="10">
        <v>68.5</v>
      </c>
      <c r="E33" s="8">
        <f t="shared" si="0"/>
        <v>327458.77</v>
      </c>
      <c r="F33" s="8">
        <f t="shared" si="1"/>
        <v>22922.113900000004</v>
      </c>
      <c r="G33" s="8">
        <f t="shared" si="2"/>
        <v>350380.88390000002</v>
      </c>
      <c r="I33">
        <v>6904002</v>
      </c>
    </row>
    <row r="34" spans="1:9" ht="18" customHeight="1" x14ac:dyDescent="0.4">
      <c r="A34" s="4" t="s">
        <v>704</v>
      </c>
      <c r="B34" s="5" t="s">
        <v>10</v>
      </c>
      <c r="C34" s="6">
        <v>4782.3599999999997</v>
      </c>
      <c r="D34" s="7">
        <v>68.5</v>
      </c>
      <c r="E34" s="8">
        <f t="shared" si="0"/>
        <v>327591.65999999997</v>
      </c>
      <c r="F34" s="8">
        <f t="shared" si="1"/>
        <v>22931.4162</v>
      </c>
      <c r="G34" s="8">
        <f t="shared" si="2"/>
        <v>350523.07619999995</v>
      </c>
      <c r="I34">
        <v>6904068</v>
      </c>
    </row>
    <row r="35" spans="1:9" ht="18" customHeight="1" x14ac:dyDescent="0.4">
      <c r="A35" s="4" t="s">
        <v>689</v>
      </c>
      <c r="B35" s="5" t="s">
        <v>10</v>
      </c>
      <c r="C35" s="6">
        <v>4776.37</v>
      </c>
      <c r="D35" s="7">
        <v>68.5</v>
      </c>
      <c r="E35" s="8">
        <f t="shared" si="0"/>
        <v>327181.34499999997</v>
      </c>
      <c r="F35" s="8">
        <f t="shared" si="1"/>
        <v>22902.694149999999</v>
      </c>
      <c r="G35" s="8">
        <f t="shared" si="2"/>
        <v>350084.03914999997</v>
      </c>
      <c r="I35">
        <v>6904042</v>
      </c>
    </row>
    <row r="36" spans="1:9" ht="18" customHeight="1" x14ac:dyDescent="0.4">
      <c r="A36" s="4" t="s">
        <v>703</v>
      </c>
      <c r="B36" s="5" t="s">
        <v>10</v>
      </c>
      <c r="C36" s="6">
        <v>4783.6400000000003</v>
      </c>
      <c r="D36" s="7">
        <v>68.5</v>
      </c>
      <c r="E36" s="8">
        <f t="shared" si="0"/>
        <v>327679.34000000003</v>
      </c>
      <c r="F36" s="8">
        <f t="shared" si="1"/>
        <v>22937.553800000005</v>
      </c>
      <c r="G36" s="8">
        <f t="shared" si="2"/>
        <v>350616.89380000002</v>
      </c>
      <c r="I36">
        <v>6904003</v>
      </c>
    </row>
    <row r="37" spans="1:9" ht="18" customHeight="1" x14ac:dyDescent="0.4">
      <c r="A37" s="4" t="s">
        <v>690</v>
      </c>
      <c r="B37" s="5" t="s">
        <v>10</v>
      </c>
      <c r="C37" s="6">
        <v>4798.66</v>
      </c>
      <c r="D37" s="7">
        <v>68.5</v>
      </c>
      <c r="E37" s="8">
        <f t="shared" si="0"/>
        <v>328708.20999999996</v>
      </c>
      <c r="F37" s="8">
        <f t="shared" si="1"/>
        <v>23009.574700000001</v>
      </c>
      <c r="G37" s="8">
        <f t="shared" si="2"/>
        <v>351717.78469999996</v>
      </c>
      <c r="I37">
        <v>6904087</v>
      </c>
    </row>
    <row r="38" spans="1:9" ht="18" customHeight="1" x14ac:dyDescent="0.4">
      <c r="A38" s="4" t="s">
        <v>691</v>
      </c>
      <c r="B38" s="5" t="s">
        <v>10</v>
      </c>
      <c r="C38" s="6">
        <v>4783.96</v>
      </c>
      <c r="D38" s="7">
        <v>68.5</v>
      </c>
      <c r="E38" s="8">
        <f t="shared" si="0"/>
        <v>327701.26</v>
      </c>
      <c r="F38" s="8">
        <f t="shared" si="1"/>
        <v>22939.088200000002</v>
      </c>
      <c r="G38" s="8">
        <f t="shared" si="2"/>
        <v>350640.34820000001</v>
      </c>
      <c r="I38">
        <v>6904105</v>
      </c>
    </row>
    <row r="39" spans="1:9" ht="18" customHeight="1" x14ac:dyDescent="0.4">
      <c r="A39" s="4" t="s">
        <v>685</v>
      </c>
      <c r="B39" s="5" t="s">
        <v>10</v>
      </c>
      <c r="C39" s="6">
        <v>4782.32</v>
      </c>
      <c r="D39" s="7">
        <v>68.5</v>
      </c>
      <c r="E39" s="8">
        <f t="shared" si="0"/>
        <v>327588.92</v>
      </c>
      <c r="F39" s="8">
        <f t="shared" si="1"/>
        <v>22931.224400000003</v>
      </c>
      <c r="G39" s="8">
        <f t="shared" si="2"/>
        <v>350520.14439999999</v>
      </c>
      <c r="I39">
        <v>6904133</v>
      </c>
    </row>
    <row r="40" spans="1:9" ht="18" customHeight="1" x14ac:dyDescent="0.4">
      <c r="A40" s="4" t="s">
        <v>707</v>
      </c>
      <c r="B40" s="5" t="s">
        <v>10</v>
      </c>
      <c r="C40" s="6">
        <v>4787.16</v>
      </c>
      <c r="D40" s="7">
        <v>68.5</v>
      </c>
      <c r="E40" s="8">
        <f t="shared" si="0"/>
        <v>327920.45999999996</v>
      </c>
      <c r="F40" s="8">
        <f t="shared" si="1"/>
        <v>22954.432199999999</v>
      </c>
      <c r="G40" s="8">
        <f t="shared" si="2"/>
        <v>350874.89219999994</v>
      </c>
      <c r="I40">
        <v>6904114</v>
      </c>
    </row>
    <row r="41" spans="1:9" ht="18" customHeight="1" x14ac:dyDescent="0.4">
      <c r="A41" s="4" t="s">
        <v>692</v>
      </c>
      <c r="B41" s="5" t="s">
        <v>10</v>
      </c>
      <c r="C41" s="6">
        <v>4780.76</v>
      </c>
      <c r="D41" s="7">
        <v>68.5</v>
      </c>
      <c r="E41" s="8">
        <f t="shared" si="0"/>
        <v>327482.06</v>
      </c>
      <c r="F41" s="8">
        <f t="shared" si="1"/>
        <v>22923.744200000001</v>
      </c>
      <c r="G41" s="8">
        <f t="shared" si="2"/>
        <v>350405.80420000001</v>
      </c>
      <c r="I41">
        <v>6904157</v>
      </c>
    </row>
    <row r="42" spans="1:9" ht="18" customHeight="1" x14ac:dyDescent="0.4">
      <c r="A42" s="4" t="s">
        <v>693</v>
      </c>
      <c r="B42" s="5" t="s">
        <v>10</v>
      </c>
      <c r="C42" s="6">
        <v>4788.1899999999996</v>
      </c>
      <c r="D42" s="7">
        <v>68.5</v>
      </c>
      <c r="E42" s="8">
        <f t="shared" si="0"/>
        <v>327991.01499999996</v>
      </c>
      <c r="F42" s="8">
        <f t="shared" si="1"/>
        <v>22959.371049999998</v>
      </c>
      <c r="G42" s="8">
        <f t="shared" si="2"/>
        <v>350950.38604999997</v>
      </c>
      <c r="I42">
        <v>6904177</v>
      </c>
    </row>
    <row r="43" spans="1:9" ht="18" customHeight="1" x14ac:dyDescent="0.4">
      <c r="A43" s="4" t="s">
        <v>694</v>
      </c>
      <c r="B43" s="5" t="s">
        <v>10</v>
      </c>
      <c r="C43" s="6">
        <v>4793.88</v>
      </c>
      <c r="D43" s="7">
        <v>68.5</v>
      </c>
      <c r="E43" s="8">
        <f t="shared" si="0"/>
        <v>328380.78000000003</v>
      </c>
      <c r="F43" s="8">
        <f t="shared" si="1"/>
        <v>22986.654600000005</v>
      </c>
      <c r="G43" s="8">
        <f t="shared" si="2"/>
        <v>351367.43460000004</v>
      </c>
      <c r="I43">
        <v>6904190</v>
      </c>
    </row>
    <row r="44" spans="1:9" ht="18" customHeight="1" x14ac:dyDescent="0.4">
      <c r="A44" s="4" t="s">
        <v>708</v>
      </c>
      <c r="B44" s="5" t="s">
        <v>10</v>
      </c>
      <c r="C44" s="6">
        <v>4779.63</v>
      </c>
      <c r="D44" s="7">
        <v>68.5</v>
      </c>
      <c r="E44" s="8">
        <f t="shared" si="0"/>
        <v>327404.65500000003</v>
      </c>
      <c r="F44" s="8">
        <f t="shared" si="1"/>
        <v>22918.325850000005</v>
      </c>
      <c r="G44" s="8">
        <f t="shared" si="2"/>
        <v>350322.98085000005</v>
      </c>
      <c r="I44">
        <v>6904208</v>
      </c>
    </row>
    <row r="45" spans="1:9" ht="18" customHeight="1" x14ac:dyDescent="0.4">
      <c r="A45" s="4" t="s">
        <v>696</v>
      </c>
      <c r="B45" s="5" t="s">
        <v>10</v>
      </c>
      <c r="C45" s="6">
        <v>4777.8</v>
      </c>
      <c r="D45" s="7">
        <v>68.5</v>
      </c>
      <c r="E45" s="8">
        <f t="shared" si="0"/>
        <v>327279.3</v>
      </c>
      <c r="F45" s="8">
        <f t="shared" si="1"/>
        <v>22909.551000000003</v>
      </c>
      <c r="G45" s="8">
        <f t="shared" si="2"/>
        <v>350188.85099999997</v>
      </c>
      <c r="I45">
        <v>6904254</v>
      </c>
    </row>
    <row r="46" spans="1:9" ht="18" customHeight="1" x14ac:dyDescent="0.4">
      <c r="A46" s="4" t="s">
        <v>695</v>
      </c>
      <c r="B46" s="5" t="s">
        <v>10</v>
      </c>
      <c r="C46" s="6">
        <v>4796.18</v>
      </c>
      <c r="D46" s="7">
        <v>68.5</v>
      </c>
      <c r="E46" s="8">
        <f t="shared" si="0"/>
        <v>328538.33</v>
      </c>
      <c r="F46" s="8">
        <f t="shared" si="1"/>
        <v>22997.683100000002</v>
      </c>
      <c r="G46" s="8">
        <f t="shared" si="2"/>
        <v>351536.01310000004</v>
      </c>
      <c r="I46">
        <v>6904238</v>
      </c>
    </row>
    <row r="47" spans="1:9" ht="18" customHeight="1" x14ac:dyDescent="0.4">
      <c r="A47" s="4" t="s">
        <v>697</v>
      </c>
      <c r="B47" s="5" t="s">
        <v>10</v>
      </c>
      <c r="C47" s="6">
        <v>4785.49</v>
      </c>
      <c r="D47" s="7">
        <v>68.5</v>
      </c>
      <c r="E47" s="8">
        <f t="shared" si="0"/>
        <v>327806.065</v>
      </c>
      <c r="F47" s="8">
        <f t="shared" si="1"/>
        <v>22946.424550000003</v>
      </c>
      <c r="G47" s="8">
        <f t="shared" si="2"/>
        <v>350752.48955</v>
      </c>
      <c r="I47">
        <v>6904271</v>
      </c>
    </row>
    <row r="48" spans="1:9" ht="18" customHeight="1" x14ac:dyDescent="0.4">
      <c r="A48" s="4" t="s">
        <v>709</v>
      </c>
      <c r="B48" s="5" t="s">
        <v>10</v>
      </c>
      <c r="C48" s="6">
        <v>4783.0200000000004</v>
      </c>
      <c r="D48" s="7">
        <v>68.5</v>
      </c>
      <c r="E48" s="8">
        <f t="shared" si="0"/>
        <v>327636.87000000005</v>
      </c>
      <c r="F48" s="8">
        <f t="shared" si="1"/>
        <v>22934.580900000004</v>
      </c>
      <c r="G48" s="8">
        <f t="shared" si="2"/>
        <v>350571.45090000005</v>
      </c>
      <c r="I48">
        <v>6904307</v>
      </c>
    </row>
    <row r="49" spans="1:9" ht="18" customHeight="1" x14ac:dyDescent="0.4">
      <c r="A49" s="4" t="s">
        <v>698</v>
      </c>
      <c r="B49" s="5" t="s">
        <v>10</v>
      </c>
      <c r="C49" s="6">
        <v>4795.8100000000004</v>
      </c>
      <c r="D49" s="7">
        <v>68.5</v>
      </c>
      <c r="E49" s="8">
        <f t="shared" si="0"/>
        <v>328512.98500000004</v>
      </c>
      <c r="F49" s="8">
        <f t="shared" si="1"/>
        <v>22995.908950000005</v>
      </c>
      <c r="G49" s="8">
        <f t="shared" si="2"/>
        <v>351508.89395000006</v>
      </c>
      <c r="I49">
        <v>6904299</v>
      </c>
    </row>
    <row r="50" spans="1:9" ht="18" customHeight="1" x14ac:dyDescent="0.4">
      <c r="A50" s="4" t="s">
        <v>699</v>
      </c>
      <c r="B50" s="5" t="s">
        <v>10</v>
      </c>
      <c r="C50" s="6">
        <v>4785.3599999999997</v>
      </c>
      <c r="D50" s="7">
        <v>68.5</v>
      </c>
      <c r="E50" s="8">
        <f t="shared" si="0"/>
        <v>327797.15999999997</v>
      </c>
      <c r="F50" s="8">
        <f t="shared" si="1"/>
        <v>22945.801200000002</v>
      </c>
      <c r="G50" s="8">
        <f t="shared" si="2"/>
        <v>350742.96119999996</v>
      </c>
      <c r="I50">
        <v>6904286</v>
      </c>
    </row>
    <row r="51" spans="1:9" ht="18" customHeight="1" x14ac:dyDescent="0.4">
      <c r="A51" s="4" t="s">
        <v>700</v>
      </c>
      <c r="B51" s="5" t="s">
        <v>10</v>
      </c>
      <c r="C51" s="6">
        <v>4790.1899999999996</v>
      </c>
      <c r="D51" s="7">
        <v>68.5</v>
      </c>
      <c r="E51" s="8">
        <f t="shared" si="0"/>
        <v>328128.01499999996</v>
      </c>
      <c r="F51" s="8">
        <f t="shared" si="1"/>
        <v>22968.961049999998</v>
      </c>
      <c r="G51" s="8">
        <f t="shared" si="2"/>
        <v>351096.97604999994</v>
      </c>
      <c r="I51">
        <v>6904326</v>
      </c>
    </row>
    <row r="52" spans="1:9" ht="18" customHeight="1" x14ac:dyDescent="0.4">
      <c r="A52" s="4" t="s">
        <v>701</v>
      </c>
      <c r="B52" s="5" t="s">
        <v>10</v>
      </c>
      <c r="C52" s="6">
        <v>4786.26</v>
      </c>
      <c r="D52" s="7">
        <v>68.5</v>
      </c>
      <c r="E52" s="8">
        <f t="shared" si="0"/>
        <v>327858.81</v>
      </c>
      <c r="F52" s="8">
        <f t="shared" si="1"/>
        <v>22950.116700000002</v>
      </c>
      <c r="G52" s="8">
        <f t="shared" si="2"/>
        <v>350808.92670000001</v>
      </c>
      <c r="I52">
        <v>6904341</v>
      </c>
    </row>
    <row r="53" spans="1:9" ht="18" customHeight="1" x14ac:dyDescent="0.4">
      <c r="A53" s="4" t="s">
        <v>702</v>
      </c>
      <c r="B53" s="5" t="s">
        <v>10</v>
      </c>
      <c r="C53" s="6">
        <v>4793.6000000000004</v>
      </c>
      <c r="D53" s="7">
        <v>68.5</v>
      </c>
      <c r="E53" s="8">
        <f t="shared" si="0"/>
        <v>328361.60000000003</v>
      </c>
      <c r="F53" s="8">
        <f t="shared" si="1"/>
        <v>22985.312000000005</v>
      </c>
      <c r="G53" s="8">
        <f t="shared" si="2"/>
        <v>351346.91200000001</v>
      </c>
      <c r="I53">
        <v>6904353</v>
      </c>
    </row>
    <row r="54" spans="1:9" ht="18" customHeight="1" x14ac:dyDescent="0.4">
      <c r="A54" s="4" t="s">
        <v>693</v>
      </c>
      <c r="B54" s="5" t="s">
        <v>475</v>
      </c>
      <c r="C54" s="6">
        <v>315.82</v>
      </c>
      <c r="D54" s="7">
        <v>68.5</v>
      </c>
      <c r="E54" s="8">
        <f t="shared" si="0"/>
        <v>21633.67</v>
      </c>
      <c r="F54" s="8">
        <f t="shared" si="1"/>
        <v>1514.3569</v>
      </c>
      <c r="G54" s="8">
        <f t="shared" si="2"/>
        <v>23148.026899999997</v>
      </c>
      <c r="I54">
        <v>6904184</v>
      </c>
    </row>
    <row r="55" spans="1:9" ht="18" customHeight="1" x14ac:dyDescent="0.4">
      <c r="A55" s="4" t="s">
        <v>692</v>
      </c>
      <c r="B55" s="5" t="s">
        <v>475</v>
      </c>
      <c r="C55" s="6">
        <v>1566.22</v>
      </c>
      <c r="D55" s="7">
        <v>68.5</v>
      </c>
      <c r="E55" s="8">
        <f t="shared" si="0"/>
        <v>107286.07</v>
      </c>
      <c r="F55" s="8">
        <f t="shared" si="1"/>
        <v>7510.0249000000013</v>
      </c>
      <c r="G55" s="8">
        <f t="shared" si="2"/>
        <v>114796.09490000001</v>
      </c>
      <c r="I55">
        <v>6904158</v>
      </c>
    </row>
    <row r="56" spans="1:9" ht="18" customHeight="1" x14ac:dyDescent="0.4">
      <c r="A56" s="4" t="s">
        <v>695</v>
      </c>
      <c r="B56" s="275" t="s">
        <v>607</v>
      </c>
      <c r="C56" s="333">
        <v>48.7</v>
      </c>
      <c r="D56" s="334">
        <v>68</v>
      </c>
      <c r="E56" s="8">
        <f t="shared" si="0"/>
        <v>3311.6000000000004</v>
      </c>
      <c r="F56" s="8">
        <f t="shared" si="1"/>
        <v>231.81200000000004</v>
      </c>
      <c r="G56" s="8">
        <f t="shared" si="2"/>
        <v>3543.4120000000003</v>
      </c>
      <c r="H56" s="273" t="s">
        <v>392</v>
      </c>
      <c r="I56">
        <v>6904244</v>
      </c>
    </row>
    <row r="57" spans="1:9" ht="18" customHeight="1" x14ac:dyDescent="0.4">
      <c r="A57" s="4" t="s">
        <v>695</v>
      </c>
      <c r="B57" s="275" t="s">
        <v>710</v>
      </c>
      <c r="C57" s="333">
        <v>46.65</v>
      </c>
      <c r="D57" s="334">
        <v>68</v>
      </c>
      <c r="E57" s="8">
        <f t="shared" si="0"/>
        <v>3172.2</v>
      </c>
      <c r="F57" s="8">
        <f t="shared" si="1"/>
        <v>222.054</v>
      </c>
      <c r="G57" s="8">
        <f t="shared" si="2"/>
        <v>3394.2539999999999</v>
      </c>
      <c r="H57" s="273" t="s">
        <v>392</v>
      </c>
      <c r="I57">
        <v>6904245</v>
      </c>
    </row>
    <row r="58" spans="1:9" ht="18" customHeight="1" x14ac:dyDescent="0.4">
      <c r="A58" s="4" t="s">
        <v>695</v>
      </c>
      <c r="B58" s="275" t="s">
        <v>146</v>
      </c>
      <c r="C58" s="333">
        <v>23.7</v>
      </c>
      <c r="D58" s="334">
        <v>68</v>
      </c>
      <c r="E58" s="8">
        <f t="shared" si="0"/>
        <v>1611.6</v>
      </c>
      <c r="F58" s="8">
        <f t="shared" si="1"/>
        <v>112.812</v>
      </c>
      <c r="G58" s="8">
        <f t="shared" si="2"/>
        <v>1724.4119999999998</v>
      </c>
      <c r="H58" s="273" t="s">
        <v>392</v>
      </c>
      <c r="I58">
        <v>6904246</v>
      </c>
    </row>
    <row r="59" spans="1:9" ht="18" customHeight="1" x14ac:dyDescent="0.4">
      <c r="A59" s="4" t="s">
        <v>695</v>
      </c>
      <c r="B59" s="275" t="s">
        <v>611</v>
      </c>
      <c r="C59" s="333">
        <v>114.9</v>
      </c>
      <c r="D59" s="334">
        <v>68</v>
      </c>
      <c r="E59" s="8">
        <f t="shared" si="0"/>
        <v>7813.2000000000007</v>
      </c>
      <c r="F59" s="8">
        <f t="shared" si="1"/>
        <v>546.92400000000009</v>
      </c>
      <c r="G59" s="8">
        <f t="shared" si="2"/>
        <v>8360.1240000000016</v>
      </c>
      <c r="H59" s="273" t="s">
        <v>392</v>
      </c>
      <c r="I59">
        <v>6904247</v>
      </c>
    </row>
    <row r="60" spans="1:9" ht="18" customHeight="1" x14ac:dyDescent="0.4">
      <c r="A60" s="4" t="s">
        <v>709</v>
      </c>
      <c r="B60" s="275" t="s">
        <v>711</v>
      </c>
      <c r="C60" s="333">
        <v>491.93</v>
      </c>
      <c r="D60" s="334">
        <v>100.5</v>
      </c>
      <c r="E60" s="8">
        <f t="shared" si="0"/>
        <v>49438.965000000004</v>
      </c>
      <c r="F60" s="8">
        <f t="shared" si="1"/>
        <v>3460.7275500000005</v>
      </c>
      <c r="G60" s="8">
        <f t="shared" si="2"/>
        <v>52899.692550000007</v>
      </c>
      <c r="H60" s="273" t="s">
        <v>392</v>
      </c>
      <c r="I60">
        <v>6904308</v>
      </c>
    </row>
    <row r="61" spans="1:9" ht="18" customHeight="1" x14ac:dyDescent="0.4">
      <c r="A61" s="4" t="s">
        <v>691</v>
      </c>
      <c r="B61" s="281" t="s">
        <v>481</v>
      </c>
      <c r="C61" s="342">
        <v>2969.1</v>
      </c>
      <c r="D61" s="343">
        <v>172.5</v>
      </c>
      <c r="E61" s="8">
        <f t="shared" si="0"/>
        <v>512169.75</v>
      </c>
      <c r="F61" s="8">
        <f t="shared" si="1"/>
        <v>35851.882500000007</v>
      </c>
      <c r="G61" s="8">
        <f t="shared" si="2"/>
        <v>548021.63250000007</v>
      </c>
      <c r="H61" s="273" t="s">
        <v>392</v>
      </c>
      <c r="I61">
        <v>6904106</v>
      </c>
    </row>
    <row r="62" spans="1:9" ht="18" customHeight="1" x14ac:dyDescent="0.4">
      <c r="A62" s="4" t="s">
        <v>692</v>
      </c>
      <c r="B62" s="281" t="s">
        <v>481</v>
      </c>
      <c r="C62" s="342">
        <v>2993.5</v>
      </c>
      <c r="D62" s="343">
        <v>172.5</v>
      </c>
      <c r="E62" s="8">
        <f t="shared" si="0"/>
        <v>516378.75</v>
      </c>
      <c r="F62" s="8">
        <f t="shared" si="1"/>
        <v>36146.512500000004</v>
      </c>
      <c r="G62" s="8">
        <f t="shared" si="2"/>
        <v>552525.26249999995</v>
      </c>
      <c r="H62" s="273" t="s">
        <v>392</v>
      </c>
      <c r="I62">
        <v>6904156</v>
      </c>
    </row>
    <row r="63" spans="1:9" ht="18" customHeight="1" x14ac:dyDescent="0.4">
      <c r="A63" s="4" t="s">
        <v>695</v>
      </c>
      <c r="B63" s="281" t="s">
        <v>481</v>
      </c>
      <c r="C63" s="342">
        <v>2983.6</v>
      </c>
      <c r="D63" s="343">
        <v>172.5</v>
      </c>
      <c r="E63" s="8">
        <f t="shared" si="0"/>
        <v>514671</v>
      </c>
      <c r="F63" s="8">
        <f t="shared" si="1"/>
        <v>36026.97</v>
      </c>
      <c r="G63" s="8">
        <f t="shared" si="2"/>
        <v>550697.97</v>
      </c>
      <c r="H63" s="273" t="s">
        <v>392</v>
      </c>
      <c r="I63">
        <v>6904249</v>
      </c>
    </row>
    <row r="64" spans="1:9" ht="18" customHeight="1" x14ac:dyDescent="0.4">
      <c r="A64" s="4" t="s">
        <v>704</v>
      </c>
      <c r="B64" s="281" t="s">
        <v>712</v>
      </c>
      <c r="C64" s="342">
        <v>997.75</v>
      </c>
      <c r="D64" s="343">
        <v>172.5</v>
      </c>
      <c r="E64" s="8">
        <f t="shared" si="0"/>
        <v>172111.875</v>
      </c>
      <c r="F64" s="8">
        <f t="shared" si="1"/>
        <v>12047.831250000001</v>
      </c>
      <c r="G64" s="8">
        <f t="shared" si="2"/>
        <v>184159.70624999999</v>
      </c>
      <c r="H64" s="273" t="s">
        <v>392</v>
      </c>
      <c r="I64">
        <v>6904070</v>
      </c>
    </row>
    <row r="65" spans="1:9" ht="18" customHeight="1" x14ac:dyDescent="0.4">
      <c r="A65" s="4" t="s">
        <v>690</v>
      </c>
      <c r="B65" s="281" t="s">
        <v>712</v>
      </c>
      <c r="C65" s="342">
        <v>1450.45</v>
      </c>
      <c r="D65" s="343">
        <v>172.5</v>
      </c>
      <c r="E65" s="8">
        <f t="shared" si="0"/>
        <v>250202.625</v>
      </c>
      <c r="F65" s="8">
        <f t="shared" si="1"/>
        <v>17514.18375</v>
      </c>
      <c r="G65" s="8">
        <f t="shared" si="2"/>
        <v>267716.80875000003</v>
      </c>
      <c r="H65" s="273" t="s">
        <v>392</v>
      </c>
      <c r="I65">
        <v>6904088</v>
      </c>
    </row>
    <row r="66" spans="1:9" ht="18" customHeight="1" x14ac:dyDescent="0.4">
      <c r="A66" s="12" t="s">
        <v>695</v>
      </c>
      <c r="B66" s="275" t="s">
        <v>147</v>
      </c>
      <c r="C66" s="335">
        <v>16</v>
      </c>
      <c r="D66" s="336">
        <v>68</v>
      </c>
      <c r="E66" s="8">
        <f t="shared" si="0"/>
        <v>1088</v>
      </c>
      <c r="F66" s="8">
        <f t="shared" si="1"/>
        <v>76.160000000000011</v>
      </c>
      <c r="G66" s="8">
        <f t="shared" si="2"/>
        <v>1164.1600000000001</v>
      </c>
      <c r="H66" s="273" t="s">
        <v>392</v>
      </c>
      <c r="I66">
        <v>6904242</v>
      </c>
    </row>
    <row r="67" spans="1:9" ht="18" customHeight="1" x14ac:dyDescent="0.4">
      <c r="A67" s="12" t="s">
        <v>695</v>
      </c>
      <c r="B67" s="275" t="s">
        <v>614</v>
      </c>
      <c r="C67" s="335">
        <v>72.150000000000006</v>
      </c>
      <c r="D67" s="336">
        <v>68</v>
      </c>
      <c r="E67" s="8">
        <f t="shared" si="0"/>
        <v>4906.2000000000007</v>
      </c>
      <c r="F67" s="8">
        <f t="shared" si="1"/>
        <v>343.43400000000008</v>
      </c>
      <c r="G67" s="8">
        <f t="shared" si="2"/>
        <v>5249.6340000000009</v>
      </c>
      <c r="H67" s="273" t="s">
        <v>392</v>
      </c>
      <c r="I67">
        <v>6904241</v>
      </c>
    </row>
    <row r="68" spans="1:9" ht="18" customHeight="1" x14ac:dyDescent="0.4">
      <c r="A68" s="12" t="s">
        <v>695</v>
      </c>
      <c r="B68" s="275" t="s">
        <v>228</v>
      </c>
      <c r="C68" s="335">
        <v>28.8</v>
      </c>
      <c r="D68" s="336">
        <v>68</v>
      </c>
      <c r="E68" s="8">
        <f t="shared" ref="E68:E75" si="3">+C68*D68</f>
        <v>1958.4</v>
      </c>
      <c r="F68" s="8">
        <f t="shared" ref="F68:F75" si="4">+E68*7%</f>
        <v>137.08800000000002</v>
      </c>
      <c r="G68" s="8">
        <f t="shared" ref="G68:G75" si="5">+E68+F68</f>
        <v>2095.4880000000003</v>
      </c>
      <c r="H68" s="273" t="s">
        <v>392</v>
      </c>
      <c r="I68">
        <v>6904248</v>
      </c>
    </row>
    <row r="69" spans="1:9" ht="18" customHeight="1" x14ac:dyDescent="0.4">
      <c r="A69" s="12" t="s">
        <v>695</v>
      </c>
      <c r="B69" s="275" t="s">
        <v>615</v>
      </c>
      <c r="C69" s="335">
        <v>97.95</v>
      </c>
      <c r="D69" s="336">
        <v>68</v>
      </c>
      <c r="E69" s="8">
        <f t="shared" si="3"/>
        <v>6660.6</v>
      </c>
      <c r="F69" s="8">
        <f t="shared" si="4"/>
        <v>466.24200000000008</v>
      </c>
      <c r="G69" s="8">
        <f t="shared" si="5"/>
        <v>7126.8420000000006</v>
      </c>
      <c r="H69" s="273" t="s">
        <v>392</v>
      </c>
      <c r="I69">
        <v>6904239</v>
      </c>
    </row>
    <row r="70" spans="1:9" ht="18" customHeight="1" x14ac:dyDescent="0.4">
      <c r="A70" s="12" t="s">
        <v>695</v>
      </c>
      <c r="B70" s="275" t="s">
        <v>713</v>
      </c>
      <c r="C70" s="335">
        <v>112.55</v>
      </c>
      <c r="D70" s="336">
        <v>68</v>
      </c>
      <c r="E70" s="8">
        <f t="shared" si="3"/>
        <v>7653.4</v>
      </c>
      <c r="F70" s="8">
        <f t="shared" si="4"/>
        <v>535.73800000000006</v>
      </c>
      <c r="G70" s="8">
        <f t="shared" si="5"/>
        <v>8189.1379999999999</v>
      </c>
      <c r="H70" s="273" t="s">
        <v>392</v>
      </c>
      <c r="I70">
        <v>6904240</v>
      </c>
    </row>
    <row r="71" spans="1:9" ht="18" customHeight="1" x14ac:dyDescent="0.4">
      <c r="A71" s="4" t="s">
        <v>693</v>
      </c>
      <c r="B71" s="275" t="s">
        <v>214</v>
      </c>
      <c r="C71" s="335">
        <v>24.05</v>
      </c>
      <c r="D71" s="336">
        <v>68</v>
      </c>
      <c r="E71" s="15">
        <f t="shared" si="3"/>
        <v>1635.4</v>
      </c>
      <c r="F71" s="15">
        <f t="shared" si="4"/>
        <v>114.47800000000002</v>
      </c>
      <c r="G71" s="15">
        <f t="shared" si="5"/>
        <v>1749.8780000000002</v>
      </c>
      <c r="H71" s="273" t="s">
        <v>392</v>
      </c>
      <c r="I71">
        <v>6904189</v>
      </c>
    </row>
    <row r="72" spans="1:9" ht="18" customHeight="1" x14ac:dyDescent="0.4">
      <c r="A72" s="4" t="s">
        <v>693</v>
      </c>
      <c r="B72" s="275" t="s">
        <v>153</v>
      </c>
      <c r="C72" s="335">
        <v>45.86</v>
      </c>
      <c r="D72" s="336">
        <v>68</v>
      </c>
      <c r="E72" s="15">
        <f t="shared" si="3"/>
        <v>3118.48</v>
      </c>
      <c r="F72" s="15">
        <f t="shared" si="4"/>
        <v>218.29360000000003</v>
      </c>
      <c r="G72" s="15">
        <f t="shared" si="5"/>
        <v>3336.7736</v>
      </c>
      <c r="H72" s="273" t="s">
        <v>392</v>
      </c>
      <c r="I72">
        <v>6904186</v>
      </c>
    </row>
    <row r="73" spans="1:9" ht="18" customHeight="1" x14ac:dyDescent="0.4">
      <c r="A73" s="4" t="s">
        <v>693</v>
      </c>
      <c r="B73" s="275" t="s">
        <v>169</v>
      </c>
      <c r="C73" s="335">
        <v>139.18</v>
      </c>
      <c r="D73" s="336">
        <v>68</v>
      </c>
      <c r="E73" s="15">
        <f t="shared" si="3"/>
        <v>9464.24</v>
      </c>
      <c r="F73" s="15">
        <f t="shared" si="4"/>
        <v>662.49680000000001</v>
      </c>
      <c r="G73" s="15">
        <f t="shared" si="5"/>
        <v>10126.736800000001</v>
      </c>
      <c r="H73" s="273" t="s">
        <v>392</v>
      </c>
      <c r="I73">
        <v>6904188</v>
      </c>
    </row>
    <row r="74" spans="1:9" ht="18" customHeight="1" x14ac:dyDescent="0.4">
      <c r="A74" s="4" t="s">
        <v>693</v>
      </c>
      <c r="B74" s="275" t="s">
        <v>181</v>
      </c>
      <c r="C74" s="335">
        <v>72.14</v>
      </c>
      <c r="D74" s="336">
        <v>68</v>
      </c>
      <c r="E74" s="15">
        <f t="shared" si="3"/>
        <v>4905.5200000000004</v>
      </c>
      <c r="F74" s="15">
        <f t="shared" si="4"/>
        <v>343.38640000000004</v>
      </c>
      <c r="G74" s="15">
        <f t="shared" si="5"/>
        <v>5248.9064000000008</v>
      </c>
      <c r="H74" s="273" t="s">
        <v>392</v>
      </c>
      <c r="I74">
        <v>6904187</v>
      </c>
    </row>
    <row r="75" spans="1:9" ht="18" customHeight="1" x14ac:dyDescent="0.4">
      <c r="A75" s="4" t="s">
        <v>695</v>
      </c>
      <c r="B75" s="275" t="s">
        <v>181</v>
      </c>
      <c r="C75" s="335">
        <v>25.05</v>
      </c>
      <c r="D75" s="336">
        <v>68</v>
      </c>
      <c r="E75" s="37">
        <f t="shared" si="3"/>
        <v>1703.4</v>
      </c>
      <c r="F75" s="15">
        <f t="shared" si="4"/>
        <v>119.23800000000001</v>
      </c>
      <c r="G75" s="15">
        <f t="shared" si="5"/>
        <v>1822.6380000000001</v>
      </c>
      <c r="H75" s="273" t="s">
        <v>392</v>
      </c>
      <c r="I75">
        <v>6904243</v>
      </c>
    </row>
    <row r="76" spans="1:9" ht="18" customHeight="1" thickBot="1" x14ac:dyDescent="0.45">
      <c r="A76" s="16"/>
      <c r="B76" s="17" t="s">
        <v>15</v>
      </c>
      <c r="C76" s="18">
        <f>SUM(C4:C75)</f>
        <v>169426.79</v>
      </c>
      <c r="D76" s="19"/>
      <c r="E76" s="20">
        <f>SUM(E4:E75)</f>
        <v>12806060.634999996</v>
      </c>
      <c r="F76" s="20">
        <f t="shared" ref="F76:G76" si="6">SUM(F4:F75)</f>
        <v>896424.24445000011</v>
      </c>
      <c r="G76" s="20">
        <f t="shared" si="6"/>
        <v>13702484.879450006</v>
      </c>
    </row>
    <row r="77" spans="1:9" ht="18.75" customHeight="1" thickTop="1" x14ac:dyDescent="0.4">
      <c r="A77" s="21"/>
      <c r="B77" s="22"/>
      <c r="C77" s="23"/>
      <c r="D77" s="24"/>
      <c r="E77" s="23"/>
      <c r="F77" s="25"/>
      <c r="G77" s="23"/>
    </row>
    <row r="78" spans="1:9" s="26" customFormat="1" ht="23.25" x14ac:dyDescent="0.45">
      <c r="A78" s="362" t="s">
        <v>16</v>
      </c>
      <c r="B78" s="362"/>
      <c r="C78" s="362"/>
      <c r="D78" s="362"/>
      <c r="E78" s="362"/>
      <c r="F78" s="362"/>
      <c r="G78" s="362"/>
    </row>
    <row r="79" spans="1:9" s="30" customFormat="1" ht="18" customHeight="1" x14ac:dyDescent="0.5">
      <c r="A79" s="27" t="s">
        <v>2</v>
      </c>
      <c r="B79" s="28" t="s">
        <v>3</v>
      </c>
      <c r="C79" s="28" t="s">
        <v>4</v>
      </c>
      <c r="D79" s="341" t="s">
        <v>5</v>
      </c>
      <c r="E79" s="28" t="s">
        <v>6</v>
      </c>
      <c r="F79" s="28" t="s">
        <v>7</v>
      </c>
      <c r="G79" s="28" t="s">
        <v>8</v>
      </c>
    </row>
    <row r="80" spans="1:9" s="30" customFormat="1" ht="18" customHeight="1" x14ac:dyDescent="0.5">
      <c r="A80" s="31" t="s">
        <v>689</v>
      </c>
      <c r="B80" s="32" t="s">
        <v>182</v>
      </c>
      <c r="C80" s="33">
        <v>711.4</v>
      </c>
      <c r="D80" s="34">
        <v>61.17</v>
      </c>
      <c r="E80" s="35">
        <f>+C80*D80</f>
        <v>43516.338000000003</v>
      </c>
      <c r="F80" s="35">
        <f>+E80*7%</f>
        <v>3046.1436600000006</v>
      </c>
      <c r="G80" s="35">
        <f>+E80+F80</f>
        <v>46562.481660000005</v>
      </c>
      <c r="I80" s="30">
        <v>6904065</v>
      </c>
    </row>
    <row r="81" spans="1:9" s="30" customFormat="1" ht="18" customHeight="1" x14ac:dyDescent="0.5">
      <c r="A81" s="31" t="s">
        <v>691</v>
      </c>
      <c r="B81" s="32" t="s">
        <v>182</v>
      </c>
      <c r="C81" s="33">
        <v>174.15</v>
      </c>
      <c r="D81" s="34">
        <v>61.17</v>
      </c>
      <c r="E81" s="35">
        <f>+C81*D81</f>
        <v>10652.755500000001</v>
      </c>
      <c r="F81" s="35">
        <f>+E81*7%</f>
        <v>745.69288500000016</v>
      </c>
      <c r="G81" s="35">
        <f>+E81+F81</f>
        <v>11398.448385000002</v>
      </c>
      <c r="I81" s="30">
        <v>6904110</v>
      </c>
    </row>
    <row r="82" spans="1:9" s="36" customFormat="1" ht="18" customHeight="1" x14ac:dyDescent="0.4">
      <c r="A82" s="31" t="s">
        <v>689</v>
      </c>
      <c r="B82" s="32" t="s">
        <v>17</v>
      </c>
      <c r="C82" s="33">
        <v>2061.4499999999998</v>
      </c>
      <c r="D82" s="34">
        <v>61.17</v>
      </c>
      <c r="E82" s="35">
        <f>+C82*D82</f>
        <v>126098.89649999999</v>
      </c>
      <c r="F82" s="35">
        <f>+E82*7%</f>
        <v>8826.9227549999996</v>
      </c>
      <c r="G82" s="35">
        <f>+E82+F82</f>
        <v>134925.81925499998</v>
      </c>
      <c r="I82" s="36">
        <v>6904064</v>
      </c>
    </row>
    <row r="83" spans="1:9" ht="18" customHeight="1" x14ac:dyDescent="0.4">
      <c r="A83" s="16" t="s">
        <v>689</v>
      </c>
      <c r="B83" s="5" t="s">
        <v>18</v>
      </c>
      <c r="C83" s="37">
        <v>1638.1</v>
      </c>
      <c r="D83" s="38">
        <v>61.17</v>
      </c>
      <c r="E83" s="39">
        <f>+C83*D83</f>
        <v>100202.57699999999</v>
      </c>
      <c r="F83" s="39">
        <f>+E83*7%</f>
        <v>7014.1803899999995</v>
      </c>
      <c r="G83" s="39">
        <f>+E83+F83</f>
        <v>107216.75738999998</v>
      </c>
      <c r="I83">
        <v>6904066</v>
      </c>
    </row>
    <row r="84" spans="1:9" ht="18" customHeight="1" x14ac:dyDescent="0.4">
      <c r="A84" s="16" t="s">
        <v>691</v>
      </c>
      <c r="B84" s="5" t="s">
        <v>18</v>
      </c>
      <c r="C84" s="37">
        <v>423.45</v>
      </c>
      <c r="D84" s="38">
        <v>61.17</v>
      </c>
      <c r="E84" s="39">
        <f>+C84*D84</f>
        <v>25902.4365</v>
      </c>
      <c r="F84" s="39">
        <f>+E84*7%</f>
        <v>1813.1705550000001</v>
      </c>
      <c r="G84" s="39">
        <f>+E84+F84</f>
        <v>27715.607055</v>
      </c>
      <c r="I84" s="36">
        <v>6904111</v>
      </c>
    </row>
    <row r="85" spans="1:9" s="36" customFormat="1" ht="18" customHeight="1" x14ac:dyDescent="0.4">
      <c r="A85" s="16" t="s">
        <v>694</v>
      </c>
      <c r="B85" s="5" t="s">
        <v>18</v>
      </c>
      <c r="C85" s="37">
        <v>1591.1</v>
      </c>
      <c r="D85" s="38">
        <v>61.17</v>
      </c>
      <c r="E85" s="39">
        <f t="shared" ref="E85:E112" si="7">+C85*D85</f>
        <v>97327.587</v>
      </c>
      <c r="F85" s="39">
        <f t="shared" ref="F85:F112" si="8">+E85*7%</f>
        <v>6812.9310900000009</v>
      </c>
      <c r="G85" s="39">
        <f t="shared" ref="G85:G112" si="9">+E85+F85</f>
        <v>104140.51809</v>
      </c>
      <c r="I85" s="36">
        <v>6904196</v>
      </c>
    </row>
    <row r="86" spans="1:9" s="36" customFormat="1" ht="18" customHeight="1" x14ac:dyDescent="0.4">
      <c r="A86" s="16" t="s">
        <v>699</v>
      </c>
      <c r="B86" s="5" t="s">
        <v>19</v>
      </c>
      <c r="C86" s="37">
        <v>2516.85</v>
      </c>
      <c r="D86" s="38">
        <v>61.17</v>
      </c>
      <c r="E86" s="39">
        <f t="shared" si="7"/>
        <v>153955.7145</v>
      </c>
      <c r="F86" s="39">
        <f t="shared" si="8"/>
        <v>10776.900015000001</v>
      </c>
      <c r="G86" s="39">
        <f t="shared" si="9"/>
        <v>164732.61451499999</v>
      </c>
      <c r="I86" s="36">
        <v>6904297</v>
      </c>
    </row>
    <row r="87" spans="1:9" s="36" customFormat="1" ht="18" customHeight="1" x14ac:dyDescent="0.4">
      <c r="A87" s="16" t="s">
        <v>703</v>
      </c>
      <c r="B87" s="5" t="s">
        <v>19</v>
      </c>
      <c r="C87" s="37">
        <v>5084.75</v>
      </c>
      <c r="D87" s="38">
        <v>61.17</v>
      </c>
      <c r="E87" s="39">
        <f t="shared" si="7"/>
        <v>311034.15750000003</v>
      </c>
      <c r="F87" s="39">
        <f t="shared" si="8"/>
        <v>21772.391025000004</v>
      </c>
      <c r="G87" s="39">
        <f t="shared" si="9"/>
        <v>332806.54852500005</v>
      </c>
      <c r="I87" s="36">
        <v>6904018</v>
      </c>
    </row>
    <row r="88" spans="1:9" ht="18" customHeight="1" x14ac:dyDescent="0.4">
      <c r="A88" s="16" t="s">
        <v>703</v>
      </c>
      <c r="B88" s="5" t="s">
        <v>23</v>
      </c>
      <c r="C88" s="37">
        <v>5044</v>
      </c>
      <c r="D88" s="38">
        <v>61.17</v>
      </c>
      <c r="E88" s="39">
        <f t="shared" si="7"/>
        <v>308541.48</v>
      </c>
      <c r="F88" s="39">
        <f t="shared" si="8"/>
        <v>21597.903600000001</v>
      </c>
      <c r="G88" s="39">
        <f t="shared" si="9"/>
        <v>330139.3836</v>
      </c>
      <c r="I88">
        <v>6904017</v>
      </c>
    </row>
    <row r="89" spans="1:9" ht="18" customHeight="1" x14ac:dyDescent="0.4">
      <c r="A89" s="16" t="s">
        <v>697</v>
      </c>
      <c r="B89" s="5" t="s">
        <v>23</v>
      </c>
      <c r="C89" s="37">
        <v>4904.8500000000004</v>
      </c>
      <c r="D89" s="38">
        <v>61.17</v>
      </c>
      <c r="E89" s="39">
        <f t="shared" si="7"/>
        <v>300029.67450000002</v>
      </c>
      <c r="F89" s="39">
        <f t="shared" si="8"/>
        <v>21002.077215000005</v>
      </c>
      <c r="G89" s="39">
        <f t="shared" si="9"/>
        <v>321031.75171500002</v>
      </c>
      <c r="I89" s="36">
        <v>6904281</v>
      </c>
    </row>
    <row r="90" spans="1:9" ht="18" customHeight="1" x14ac:dyDescent="0.4">
      <c r="A90" s="16" t="s">
        <v>687</v>
      </c>
      <c r="B90" s="5" t="s">
        <v>617</v>
      </c>
      <c r="C90" s="37">
        <v>937.1</v>
      </c>
      <c r="D90" s="38">
        <v>76.17</v>
      </c>
      <c r="E90" s="39">
        <f t="shared" si="7"/>
        <v>71378.907000000007</v>
      </c>
      <c r="F90" s="39">
        <f t="shared" si="8"/>
        <v>4996.5234900000005</v>
      </c>
      <c r="G90" s="39">
        <f t="shared" si="9"/>
        <v>76375.430490000013</v>
      </c>
      <c r="I90">
        <v>6904027</v>
      </c>
    </row>
    <row r="91" spans="1:9" ht="18" customHeight="1" x14ac:dyDescent="0.4">
      <c r="A91" s="16" t="s">
        <v>687</v>
      </c>
      <c r="B91" s="5" t="s">
        <v>618</v>
      </c>
      <c r="C91" s="37">
        <v>5504.65</v>
      </c>
      <c r="D91" s="38">
        <v>76.17</v>
      </c>
      <c r="E91" s="39">
        <f t="shared" si="7"/>
        <v>419289.19049999997</v>
      </c>
      <c r="F91" s="39">
        <f t="shared" si="8"/>
        <v>29350.243334999999</v>
      </c>
      <c r="G91" s="39">
        <f t="shared" si="9"/>
        <v>448639.43383499997</v>
      </c>
      <c r="I91">
        <v>6904026</v>
      </c>
    </row>
    <row r="92" spans="1:9" ht="18" customHeight="1" x14ac:dyDescent="0.4">
      <c r="A92" s="16" t="s">
        <v>692</v>
      </c>
      <c r="B92" s="5" t="s">
        <v>618</v>
      </c>
      <c r="C92" s="37">
        <v>823.5</v>
      </c>
      <c r="D92" s="38">
        <v>76.17</v>
      </c>
      <c r="E92" s="39">
        <f t="shared" si="7"/>
        <v>62725.995000000003</v>
      </c>
      <c r="F92" s="39">
        <f t="shared" si="8"/>
        <v>4390.8196500000004</v>
      </c>
      <c r="G92" s="39">
        <f t="shared" si="9"/>
        <v>67116.81465</v>
      </c>
      <c r="I92">
        <v>6904164</v>
      </c>
    </row>
    <row r="93" spans="1:9" ht="18" customHeight="1" x14ac:dyDescent="0.4">
      <c r="A93" s="16" t="s">
        <v>692</v>
      </c>
      <c r="B93" s="5" t="s">
        <v>618</v>
      </c>
      <c r="C93" s="37">
        <v>5346.1</v>
      </c>
      <c r="D93" s="38">
        <v>76.17</v>
      </c>
      <c r="E93" s="39">
        <f t="shared" si="7"/>
        <v>407212.43700000003</v>
      </c>
      <c r="F93" s="39">
        <f t="shared" si="8"/>
        <v>28504.870590000006</v>
      </c>
      <c r="G93" s="39">
        <f t="shared" si="9"/>
        <v>435717.30759000004</v>
      </c>
      <c r="I93">
        <v>6904164</v>
      </c>
    </row>
    <row r="94" spans="1:9" ht="18" customHeight="1" x14ac:dyDescent="0.4">
      <c r="A94" s="16" t="s">
        <v>694</v>
      </c>
      <c r="B94" s="5" t="s">
        <v>618</v>
      </c>
      <c r="C94" s="37">
        <v>2980.9</v>
      </c>
      <c r="D94" s="38">
        <v>76.17</v>
      </c>
      <c r="E94" s="39">
        <f t="shared" si="7"/>
        <v>227055.15300000002</v>
      </c>
      <c r="F94" s="39">
        <f t="shared" si="8"/>
        <v>15893.860710000003</v>
      </c>
      <c r="G94" s="39">
        <f t="shared" si="9"/>
        <v>242949.01371000003</v>
      </c>
      <c r="I94">
        <v>6904195</v>
      </c>
    </row>
    <row r="95" spans="1:9" ht="18" customHeight="1" x14ac:dyDescent="0.4">
      <c r="A95" s="16" t="s">
        <v>699</v>
      </c>
      <c r="B95" s="5" t="s">
        <v>618</v>
      </c>
      <c r="C95" s="37">
        <v>4084.95</v>
      </c>
      <c r="D95" s="38">
        <v>76.17</v>
      </c>
      <c r="E95" s="39">
        <f t="shared" si="7"/>
        <v>311150.64149999997</v>
      </c>
      <c r="F95" s="39">
        <f t="shared" si="8"/>
        <v>21780.544904999999</v>
      </c>
      <c r="G95" s="39">
        <f t="shared" si="9"/>
        <v>332931.18640499999</v>
      </c>
      <c r="I95">
        <v>6904296</v>
      </c>
    </row>
    <row r="96" spans="1:9" ht="18" customHeight="1" x14ac:dyDescent="0.4">
      <c r="A96" s="16" t="s">
        <v>698</v>
      </c>
      <c r="B96" s="5" t="s">
        <v>618</v>
      </c>
      <c r="C96" s="37">
        <v>4994.75</v>
      </c>
      <c r="D96" s="38">
        <v>76.17</v>
      </c>
      <c r="E96" s="39">
        <f t="shared" si="7"/>
        <v>380450.10749999998</v>
      </c>
      <c r="F96" s="39">
        <f t="shared" si="8"/>
        <v>26631.507525000001</v>
      </c>
      <c r="G96" s="39">
        <f t="shared" si="9"/>
        <v>407081.61502500001</v>
      </c>
      <c r="I96">
        <v>6904302</v>
      </c>
    </row>
    <row r="97" spans="1:9" ht="18" customHeight="1" x14ac:dyDescent="0.4">
      <c r="A97" s="16" t="s">
        <v>700</v>
      </c>
      <c r="B97" s="5" t="s">
        <v>714</v>
      </c>
      <c r="C97" s="37">
        <v>1370.49</v>
      </c>
      <c r="D97" s="38">
        <v>61.17</v>
      </c>
      <c r="E97" s="39">
        <f t="shared" si="7"/>
        <v>83832.873300000007</v>
      </c>
      <c r="F97" s="39">
        <f t="shared" si="8"/>
        <v>5868.3011310000011</v>
      </c>
      <c r="G97" s="39">
        <f t="shared" si="9"/>
        <v>89701.174431000007</v>
      </c>
      <c r="I97">
        <v>6904336</v>
      </c>
    </row>
    <row r="98" spans="1:9" ht="18" customHeight="1" x14ac:dyDescent="0.4">
      <c r="A98" s="16" t="s">
        <v>702</v>
      </c>
      <c r="B98" s="5" t="s">
        <v>714</v>
      </c>
      <c r="C98" s="37">
        <v>1373.14</v>
      </c>
      <c r="D98" s="38">
        <v>61.17</v>
      </c>
      <c r="E98" s="39">
        <f t="shared" si="7"/>
        <v>83994.973800000007</v>
      </c>
      <c r="F98" s="39">
        <f t="shared" si="8"/>
        <v>5879.6481660000009</v>
      </c>
      <c r="G98" s="39">
        <f t="shared" si="9"/>
        <v>89874.621966000006</v>
      </c>
      <c r="I98">
        <v>6904356</v>
      </c>
    </row>
    <row r="99" spans="1:9" ht="18" customHeight="1" x14ac:dyDescent="0.4">
      <c r="A99" s="4" t="s">
        <v>685</v>
      </c>
      <c r="B99" s="5" t="s">
        <v>486</v>
      </c>
      <c r="C99" s="6">
        <v>1990.65</v>
      </c>
      <c r="D99" s="40">
        <v>76.17</v>
      </c>
      <c r="E99" s="39">
        <f t="shared" si="7"/>
        <v>151627.81050000002</v>
      </c>
      <c r="F99" s="39">
        <f t="shared" si="8"/>
        <v>10613.946735000003</v>
      </c>
      <c r="G99" s="39">
        <f t="shared" si="9"/>
        <v>162241.75723500003</v>
      </c>
      <c r="I99">
        <v>6904146</v>
      </c>
    </row>
    <row r="100" spans="1:9" ht="18" customHeight="1" x14ac:dyDescent="0.4">
      <c r="A100" s="4" t="s">
        <v>692</v>
      </c>
      <c r="B100" s="5" t="s">
        <v>486</v>
      </c>
      <c r="C100" s="6">
        <v>3061.55</v>
      </c>
      <c r="D100" s="40">
        <v>76.17</v>
      </c>
      <c r="E100" s="39">
        <f t="shared" si="7"/>
        <v>233198.26350000003</v>
      </c>
      <c r="F100" s="39">
        <f t="shared" si="8"/>
        <v>16323.878445000004</v>
      </c>
      <c r="G100" s="39">
        <f t="shared" si="9"/>
        <v>249522.14194500004</v>
      </c>
      <c r="I100">
        <v>6904165</v>
      </c>
    </row>
    <row r="101" spans="1:9" ht="18" customHeight="1" x14ac:dyDescent="0.4">
      <c r="A101" s="4" t="s">
        <v>693</v>
      </c>
      <c r="B101" s="5" t="s">
        <v>159</v>
      </c>
      <c r="C101" s="6">
        <v>3055.6</v>
      </c>
      <c r="D101" s="40">
        <v>61.17</v>
      </c>
      <c r="E101" s="39">
        <f t="shared" si="7"/>
        <v>186911.052</v>
      </c>
      <c r="F101" s="39">
        <f t="shared" si="8"/>
        <v>13083.773640000001</v>
      </c>
      <c r="G101" s="39">
        <f t="shared" si="9"/>
        <v>199994.82564</v>
      </c>
      <c r="I101">
        <v>6904175</v>
      </c>
    </row>
    <row r="102" spans="1:9" ht="18" customHeight="1" x14ac:dyDescent="0.4">
      <c r="A102" s="4" t="s">
        <v>704</v>
      </c>
      <c r="B102" s="5" t="s">
        <v>128</v>
      </c>
      <c r="C102" s="6">
        <v>4981.05</v>
      </c>
      <c r="D102" s="40">
        <v>61.17</v>
      </c>
      <c r="E102" s="39">
        <f t="shared" si="7"/>
        <v>304690.8285</v>
      </c>
      <c r="F102" s="39">
        <f t="shared" si="8"/>
        <v>21328.357995000002</v>
      </c>
      <c r="G102" s="39">
        <f t="shared" si="9"/>
        <v>326019.18649500003</v>
      </c>
      <c r="I102">
        <v>6904067</v>
      </c>
    </row>
    <row r="103" spans="1:9" ht="18" customHeight="1" x14ac:dyDescent="0.4">
      <c r="A103" s="4" t="s">
        <v>685</v>
      </c>
      <c r="B103" s="5" t="s">
        <v>128</v>
      </c>
      <c r="C103" s="6">
        <v>4597.8</v>
      </c>
      <c r="D103" s="40">
        <v>61.17</v>
      </c>
      <c r="E103" s="39">
        <f t="shared" si="7"/>
        <v>281247.42600000004</v>
      </c>
      <c r="F103" s="39">
        <f t="shared" si="8"/>
        <v>19687.319820000004</v>
      </c>
      <c r="G103" s="39">
        <f t="shared" si="9"/>
        <v>300934.74582000007</v>
      </c>
      <c r="I103">
        <v>6904145</v>
      </c>
    </row>
    <row r="104" spans="1:9" ht="18" customHeight="1" x14ac:dyDescent="0.4">
      <c r="A104" s="4" t="s">
        <v>692</v>
      </c>
      <c r="B104" s="5" t="s">
        <v>128</v>
      </c>
      <c r="C104" s="6">
        <v>5633.45</v>
      </c>
      <c r="D104" s="40">
        <v>61.17</v>
      </c>
      <c r="E104" s="39">
        <f t="shared" si="7"/>
        <v>344598.13650000002</v>
      </c>
      <c r="F104" s="39">
        <f t="shared" si="8"/>
        <v>24121.869555000005</v>
      </c>
      <c r="G104" s="39">
        <f t="shared" si="9"/>
        <v>368720.00605500001</v>
      </c>
      <c r="I104">
        <v>6904166</v>
      </c>
    </row>
    <row r="105" spans="1:9" ht="18" customHeight="1" x14ac:dyDescent="0.4">
      <c r="A105" s="4" t="s">
        <v>694</v>
      </c>
      <c r="B105" s="5" t="s">
        <v>128</v>
      </c>
      <c r="C105" s="6">
        <v>634.1</v>
      </c>
      <c r="D105" s="40">
        <v>61.17</v>
      </c>
      <c r="E105" s="39">
        <f t="shared" si="7"/>
        <v>38787.897000000004</v>
      </c>
      <c r="F105" s="39">
        <f t="shared" si="8"/>
        <v>2715.1527900000006</v>
      </c>
      <c r="G105" s="39">
        <f t="shared" si="9"/>
        <v>41503.049790000005</v>
      </c>
      <c r="I105">
        <v>6904194</v>
      </c>
    </row>
    <row r="106" spans="1:9" ht="18" customHeight="1" x14ac:dyDescent="0.4">
      <c r="A106" s="4" t="s">
        <v>694</v>
      </c>
      <c r="B106" s="5" t="s">
        <v>128</v>
      </c>
      <c r="C106" s="6">
        <v>4509.6000000000004</v>
      </c>
      <c r="D106" s="40">
        <v>61.17</v>
      </c>
      <c r="E106" s="39">
        <f t="shared" si="7"/>
        <v>275852.23200000002</v>
      </c>
      <c r="F106" s="39">
        <f t="shared" si="8"/>
        <v>19309.656240000004</v>
      </c>
      <c r="G106" s="39">
        <f t="shared" si="9"/>
        <v>295161.88824</v>
      </c>
      <c r="I106">
        <v>6904194</v>
      </c>
    </row>
    <row r="107" spans="1:9" ht="18" customHeight="1" x14ac:dyDescent="0.4">
      <c r="A107" s="4" t="s">
        <v>708</v>
      </c>
      <c r="B107" s="5" t="s">
        <v>128</v>
      </c>
      <c r="C107" s="6">
        <v>5054.1499999999996</v>
      </c>
      <c r="D107" s="40">
        <v>61.17</v>
      </c>
      <c r="E107" s="39">
        <f t="shared" si="7"/>
        <v>309162.35550000001</v>
      </c>
      <c r="F107" s="39">
        <f t="shared" si="8"/>
        <v>21641.364885000003</v>
      </c>
      <c r="G107" s="39">
        <f t="shared" si="9"/>
        <v>330803.72038499999</v>
      </c>
      <c r="I107">
        <v>6904206</v>
      </c>
    </row>
    <row r="108" spans="1:9" ht="18" customHeight="1" x14ac:dyDescent="0.4">
      <c r="A108" s="4" t="s">
        <v>696</v>
      </c>
      <c r="B108" s="5" t="s">
        <v>128</v>
      </c>
      <c r="C108" s="6">
        <v>5020.55</v>
      </c>
      <c r="D108" s="40">
        <v>61.17</v>
      </c>
      <c r="E108" s="39">
        <f t="shared" si="7"/>
        <v>307107.04350000003</v>
      </c>
      <c r="F108" s="39">
        <f t="shared" si="8"/>
        <v>21497.493045000003</v>
      </c>
      <c r="G108" s="39">
        <f t="shared" si="9"/>
        <v>328604.53654500004</v>
      </c>
      <c r="I108">
        <v>6904260</v>
      </c>
    </row>
    <row r="109" spans="1:9" ht="18" customHeight="1" x14ac:dyDescent="0.4">
      <c r="A109" s="4" t="s">
        <v>697</v>
      </c>
      <c r="B109" s="5" t="s">
        <v>128</v>
      </c>
      <c r="C109" s="6">
        <v>5066.3999999999996</v>
      </c>
      <c r="D109" s="40">
        <v>61.17</v>
      </c>
      <c r="E109" s="39">
        <f t="shared" si="7"/>
        <v>309911.68799999997</v>
      </c>
      <c r="F109" s="39">
        <f t="shared" si="8"/>
        <v>21693.818159999999</v>
      </c>
      <c r="G109" s="39">
        <f t="shared" si="9"/>
        <v>331605.50615999999</v>
      </c>
      <c r="I109">
        <v>6904282</v>
      </c>
    </row>
    <row r="110" spans="1:9" ht="18" customHeight="1" x14ac:dyDescent="0.4">
      <c r="A110" s="4" t="s">
        <v>709</v>
      </c>
      <c r="B110" s="5" t="s">
        <v>128</v>
      </c>
      <c r="C110" s="6">
        <v>5070.5</v>
      </c>
      <c r="D110" s="40">
        <v>61.17</v>
      </c>
      <c r="E110" s="39">
        <f t="shared" si="7"/>
        <v>310162.48499999999</v>
      </c>
      <c r="F110" s="39">
        <f t="shared" si="8"/>
        <v>21711.373950000001</v>
      </c>
      <c r="G110" s="39">
        <f t="shared" si="9"/>
        <v>331873.85894999997</v>
      </c>
      <c r="I110">
        <v>6904316</v>
      </c>
    </row>
    <row r="111" spans="1:9" ht="18" customHeight="1" x14ac:dyDescent="0.4">
      <c r="A111" s="4" t="s">
        <v>698</v>
      </c>
      <c r="B111" s="5" t="s">
        <v>128</v>
      </c>
      <c r="C111" s="6">
        <v>5082.8</v>
      </c>
      <c r="D111" s="40">
        <v>61.17</v>
      </c>
      <c r="E111" s="39">
        <f t="shared" si="7"/>
        <v>310914.87600000005</v>
      </c>
      <c r="F111" s="39">
        <f t="shared" si="8"/>
        <v>21764.041320000004</v>
      </c>
      <c r="G111" s="39">
        <f t="shared" si="9"/>
        <v>332678.91732000007</v>
      </c>
      <c r="I111">
        <v>6904301</v>
      </c>
    </row>
    <row r="112" spans="1:9" ht="18" customHeight="1" x14ac:dyDescent="0.4">
      <c r="A112" s="4" t="s">
        <v>702</v>
      </c>
      <c r="B112" s="5" t="s">
        <v>128</v>
      </c>
      <c r="C112" s="6">
        <v>5136.7</v>
      </c>
      <c r="D112" s="40">
        <v>61.17</v>
      </c>
      <c r="E112" s="39">
        <f t="shared" si="7"/>
        <v>314211.93900000001</v>
      </c>
      <c r="F112" s="39">
        <f t="shared" si="8"/>
        <v>21994.835730000003</v>
      </c>
      <c r="G112" s="39">
        <f t="shared" si="9"/>
        <v>336206.77473</v>
      </c>
      <c r="I112">
        <v>6904355</v>
      </c>
    </row>
    <row r="113" spans="1:9" ht="18" customHeight="1" thickBot="1" x14ac:dyDescent="0.45">
      <c r="A113" s="41"/>
      <c r="B113" s="42" t="s">
        <v>15</v>
      </c>
      <c r="C113" s="43">
        <f>SUM(C80:C112)</f>
        <v>110460.58</v>
      </c>
      <c r="D113" s="38"/>
      <c r="E113" s="44">
        <f>SUM(E80:E112)</f>
        <v>7202735.9285999993</v>
      </c>
      <c r="F113" s="44">
        <f>SUM(F80:F112)</f>
        <v>504191.51500200003</v>
      </c>
      <c r="G113" s="44">
        <f>SUM(G80:G112)</f>
        <v>7706927.4436020004</v>
      </c>
    </row>
    <row r="114" spans="1:9" ht="19.5" customHeight="1" thickTop="1" x14ac:dyDescent="0.4">
      <c r="A114" s="45"/>
      <c r="B114" s="46"/>
      <c r="C114" s="323"/>
      <c r="D114" s="198"/>
      <c r="E114" s="323"/>
      <c r="F114" s="323"/>
      <c r="G114" s="323"/>
    </row>
    <row r="115" spans="1:9" s="26" customFormat="1" ht="23.25" x14ac:dyDescent="0.45">
      <c r="A115" s="362" t="s">
        <v>21</v>
      </c>
      <c r="B115" s="362"/>
      <c r="C115" s="362"/>
      <c r="D115" s="362"/>
      <c r="E115" s="362"/>
      <c r="F115" s="362"/>
      <c r="G115" s="362"/>
    </row>
    <row r="116" spans="1:9" s="26" customFormat="1" ht="18" customHeight="1" x14ac:dyDescent="0.45">
      <c r="A116" s="27" t="s">
        <v>2</v>
      </c>
      <c r="B116" s="28" t="s">
        <v>3</v>
      </c>
      <c r="C116" s="28" t="s">
        <v>4</v>
      </c>
      <c r="D116" s="29" t="s">
        <v>5</v>
      </c>
      <c r="E116" s="28" t="s">
        <v>6</v>
      </c>
      <c r="F116" s="28" t="s">
        <v>7</v>
      </c>
      <c r="G116" s="28" t="s">
        <v>8</v>
      </c>
    </row>
    <row r="117" spans="1:9" s="26" customFormat="1" ht="18" customHeight="1" x14ac:dyDescent="0.45">
      <c r="A117" s="4" t="s">
        <v>701</v>
      </c>
      <c r="B117" s="5" t="s">
        <v>22</v>
      </c>
      <c r="C117" s="49">
        <v>3067.8</v>
      </c>
      <c r="D117" s="40">
        <v>61.17</v>
      </c>
      <c r="E117" s="39">
        <f t="shared" ref="E117:E128" si="10">+C117*D117</f>
        <v>187657.32600000003</v>
      </c>
      <c r="F117" s="39">
        <f t="shared" ref="F117:F128" si="11">+E117*7%</f>
        <v>13136.012820000004</v>
      </c>
      <c r="G117" s="39">
        <f t="shared" ref="G117:G128" si="12">+E117+F117</f>
        <v>200793.33882000003</v>
      </c>
      <c r="I117" s="26">
        <v>6904338</v>
      </c>
    </row>
    <row r="118" spans="1:9" s="26" customFormat="1" ht="18" customHeight="1" x14ac:dyDescent="0.45">
      <c r="A118" s="4" t="s">
        <v>707</v>
      </c>
      <c r="B118" s="5" t="s">
        <v>24</v>
      </c>
      <c r="C118" s="49">
        <v>6075.9</v>
      </c>
      <c r="D118" s="40">
        <v>61.17</v>
      </c>
      <c r="E118" s="39">
        <f t="shared" si="10"/>
        <v>371662.80300000001</v>
      </c>
      <c r="F118" s="39">
        <f t="shared" si="11"/>
        <v>26016.396210000003</v>
      </c>
      <c r="G118" s="39">
        <f t="shared" si="12"/>
        <v>397679.19920999999</v>
      </c>
      <c r="I118" s="26">
        <v>6904121</v>
      </c>
    </row>
    <row r="119" spans="1:9" s="26" customFormat="1" ht="18" customHeight="1" x14ac:dyDescent="0.45">
      <c r="A119" s="4" t="s">
        <v>693</v>
      </c>
      <c r="B119" s="5" t="s">
        <v>24</v>
      </c>
      <c r="C119" s="49">
        <v>3051.15</v>
      </c>
      <c r="D119" s="40">
        <v>61.17</v>
      </c>
      <c r="E119" s="39">
        <f t="shared" si="10"/>
        <v>186638.84550000002</v>
      </c>
      <c r="F119" s="39">
        <f t="shared" si="11"/>
        <v>13064.719185000004</v>
      </c>
      <c r="G119" s="39">
        <f t="shared" si="12"/>
        <v>199703.56468500002</v>
      </c>
      <c r="I119" s="26">
        <v>6904174</v>
      </c>
    </row>
    <row r="120" spans="1:9" s="26" customFormat="1" ht="18" customHeight="1" x14ac:dyDescent="0.45">
      <c r="A120" s="4" t="s">
        <v>697</v>
      </c>
      <c r="B120" s="5" t="s">
        <v>24</v>
      </c>
      <c r="C120" s="49">
        <v>3014.2</v>
      </c>
      <c r="D120" s="40">
        <v>61.17</v>
      </c>
      <c r="E120" s="39">
        <f t="shared" si="10"/>
        <v>184378.614</v>
      </c>
      <c r="F120" s="39">
        <f t="shared" si="11"/>
        <v>12906.502980000001</v>
      </c>
      <c r="G120" s="39">
        <f t="shared" si="12"/>
        <v>197285.11697999999</v>
      </c>
      <c r="I120" s="26">
        <v>6904269</v>
      </c>
    </row>
    <row r="121" spans="1:9" s="26" customFormat="1" ht="18" customHeight="1" x14ac:dyDescent="0.45">
      <c r="A121" s="4" t="s">
        <v>715</v>
      </c>
      <c r="B121" s="5" t="s">
        <v>263</v>
      </c>
      <c r="C121" s="49">
        <v>2998.25</v>
      </c>
      <c r="D121" s="40">
        <v>61.17</v>
      </c>
      <c r="E121" s="39">
        <f t="shared" si="10"/>
        <v>183402.95250000001</v>
      </c>
      <c r="F121" s="39">
        <f t="shared" si="11"/>
        <v>12838.206675000003</v>
      </c>
      <c r="G121" s="39">
        <f t="shared" si="12"/>
        <v>196241.15917500001</v>
      </c>
      <c r="I121" s="26">
        <v>6904074</v>
      </c>
    </row>
    <row r="122" spans="1:9" s="26" customFormat="1" ht="18" customHeight="1" x14ac:dyDescent="0.45">
      <c r="A122" s="4" t="s">
        <v>696</v>
      </c>
      <c r="B122" s="5" t="s">
        <v>263</v>
      </c>
      <c r="C122" s="49">
        <v>2430.85</v>
      </c>
      <c r="D122" s="40">
        <v>61.17</v>
      </c>
      <c r="E122" s="39">
        <f t="shared" si="10"/>
        <v>148695.09450000001</v>
      </c>
      <c r="F122" s="39">
        <f t="shared" si="11"/>
        <v>10408.656615000002</v>
      </c>
      <c r="G122" s="39">
        <f t="shared" si="12"/>
        <v>159103.75111500002</v>
      </c>
      <c r="I122" s="26">
        <v>6904252</v>
      </c>
    </row>
    <row r="123" spans="1:9" s="26" customFormat="1" ht="18" customHeight="1" x14ac:dyDescent="0.45">
      <c r="A123" s="4" t="s">
        <v>697</v>
      </c>
      <c r="B123" s="5" t="s">
        <v>263</v>
      </c>
      <c r="C123" s="49">
        <v>601.95000000000005</v>
      </c>
      <c r="D123" s="40">
        <v>61.17</v>
      </c>
      <c r="E123" s="39">
        <f t="shared" si="10"/>
        <v>36821.281500000005</v>
      </c>
      <c r="F123" s="39">
        <f t="shared" si="11"/>
        <v>2577.4897050000004</v>
      </c>
      <c r="G123" s="39">
        <f t="shared" si="12"/>
        <v>39398.771205000005</v>
      </c>
      <c r="I123" s="26">
        <v>6904270</v>
      </c>
    </row>
    <row r="124" spans="1:9" s="26" customFormat="1" ht="18" customHeight="1" x14ac:dyDescent="0.45">
      <c r="A124" s="4" t="s">
        <v>701</v>
      </c>
      <c r="B124" s="5" t="s">
        <v>263</v>
      </c>
      <c r="C124" s="49">
        <v>3062.45</v>
      </c>
      <c r="D124" s="40">
        <v>61.17</v>
      </c>
      <c r="E124" s="39">
        <f t="shared" si="10"/>
        <v>187330.06649999999</v>
      </c>
      <c r="F124" s="39">
        <f t="shared" si="11"/>
        <v>13113.104655000001</v>
      </c>
      <c r="G124" s="39">
        <f t="shared" si="12"/>
        <v>200443.17115499999</v>
      </c>
      <c r="I124" s="26">
        <v>6904339</v>
      </c>
    </row>
    <row r="125" spans="1:9" s="26" customFormat="1" ht="18" customHeight="1" x14ac:dyDescent="0.45">
      <c r="A125" s="4" t="s">
        <v>708</v>
      </c>
      <c r="B125" s="5" t="s">
        <v>716</v>
      </c>
      <c r="C125" s="49">
        <v>2652.6</v>
      </c>
      <c r="D125" s="40">
        <v>76.17</v>
      </c>
      <c r="E125" s="39">
        <f t="shared" si="10"/>
        <v>202048.54199999999</v>
      </c>
      <c r="F125" s="39">
        <f t="shared" si="11"/>
        <v>14143.397940000001</v>
      </c>
      <c r="G125" s="39">
        <f t="shared" si="12"/>
        <v>216191.93993999998</v>
      </c>
      <c r="I125" s="26">
        <v>6904205</v>
      </c>
    </row>
    <row r="126" spans="1:9" s="26" customFormat="1" ht="18" customHeight="1" x14ac:dyDescent="0.45">
      <c r="A126" s="4" t="s">
        <v>708</v>
      </c>
      <c r="B126" s="5" t="s">
        <v>159</v>
      </c>
      <c r="C126" s="49">
        <v>4728.5</v>
      </c>
      <c r="D126" s="40">
        <v>61.17</v>
      </c>
      <c r="E126" s="39">
        <f t="shared" si="10"/>
        <v>289242.34500000003</v>
      </c>
      <c r="F126" s="39">
        <f t="shared" si="11"/>
        <v>20246.964150000003</v>
      </c>
      <c r="G126" s="39">
        <f t="shared" si="12"/>
        <v>309489.30915000004</v>
      </c>
      <c r="I126" s="26">
        <v>6904203</v>
      </c>
    </row>
    <row r="127" spans="1:9" s="26" customFormat="1" ht="18" customHeight="1" x14ac:dyDescent="0.45">
      <c r="A127" s="4" t="s">
        <v>708</v>
      </c>
      <c r="B127" s="5" t="s">
        <v>20</v>
      </c>
      <c r="C127" s="50">
        <v>3041.8</v>
      </c>
      <c r="D127" s="40">
        <v>61.17</v>
      </c>
      <c r="E127" s="39">
        <f t="shared" si="10"/>
        <v>186066.90600000002</v>
      </c>
      <c r="F127" s="39">
        <f t="shared" si="11"/>
        <v>13024.683420000003</v>
      </c>
      <c r="G127" s="39">
        <f t="shared" si="12"/>
        <v>199091.58942000003</v>
      </c>
      <c r="I127" s="26">
        <v>6904204</v>
      </c>
    </row>
    <row r="128" spans="1:9" s="26" customFormat="1" ht="18" customHeight="1" x14ac:dyDescent="0.45">
      <c r="A128" s="4" t="s">
        <v>709</v>
      </c>
      <c r="B128" s="5" t="s">
        <v>20</v>
      </c>
      <c r="C128" s="50">
        <v>3055.4</v>
      </c>
      <c r="D128" s="40">
        <v>61.17</v>
      </c>
      <c r="E128" s="39">
        <f t="shared" si="10"/>
        <v>186898.818</v>
      </c>
      <c r="F128" s="39">
        <f t="shared" si="11"/>
        <v>13082.917260000002</v>
      </c>
      <c r="G128" s="39">
        <f t="shared" si="12"/>
        <v>199981.73525999999</v>
      </c>
      <c r="I128" s="26">
        <v>6904320</v>
      </c>
    </row>
    <row r="129" spans="1:14" s="26" customFormat="1" ht="18" customHeight="1" thickBot="1" x14ac:dyDescent="0.5">
      <c r="A129" s="41"/>
      <c r="B129" s="42" t="s">
        <v>15</v>
      </c>
      <c r="C129" s="43">
        <f>SUM(C117:C128)</f>
        <v>37780.85</v>
      </c>
      <c r="D129" s="51"/>
      <c r="E129" s="44">
        <f>SUM(E117:E128)</f>
        <v>2350843.5945000001</v>
      </c>
      <c r="F129" s="44">
        <f t="shared" ref="F129:G129" si="13">SUM(F117:F128)</f>
        <v>164559.05161500006</v>
      </c>
      <c r="G129" s="44">
        <f t="shared" si="13"/>
        <v>2515402.6461150004</v>
      </c>
    </row>
    <row r="130" spans="1:14" s="26" customFormat="1" ht="15.75" customHeight="1" thickTop="1" x14ac:dyDescent="0.45">
      <c r="A130" s="45"/>
      <c r="B130" s="46"/>
      <c r="C130" s="47"/>
      <c r="D130" s="48"/>
      <c r="E130" s="47"/>
      <c r="F130" s="47"/>
      <c r="G130" s="47"/>
    </row>
    <row r="131" spans="1:14" s="26" customFormat="1" ht="23.25" x14ac:dyDescent="0.45">
      <c r="A131" s="362" t="s">
        <v>25</v>
      </c>
      <c r="B131" s="362"/>
      <c r="C131" s="362"/>
      <c r="D131" s="362"/>
      <c r="E131" s="362"/>
      <c r="F131" s="362"/>
      <c r="G131" s="362"/>
    </row>
    <row r="132" spans="1:14" s="26" customFormat="1" ht="18" customHeight="1" x14ac:dyDescent="0.45">
      <c r="A132" s="27" t="s">
        <v>2</v>
      </c>
      <c r="B132" s="28" t="s">
        <v>3</v>
      </c>
      <c r="C132" s="28" t="s">
        <v>4</v>
      </c>
      <c r="D132" s="29" t="s">
        <v>5</v>
      </c>
      <c r="E132" s="28" t="s">
        <v>6</v>
      </c>
      <c r="F132" s="28" t="s">
        <v>7</v>
      </c>
      <c r="G132" s="28" t="s">
        <v>8</v>
      </c>
    </row>
    <row r="133" spans="1:14" s="30" customFormat="1" ht="18" customHeight="1" x14ac:dyDescent="0.5">
      <c r="A133" s="4" t="s">
        <v>708</v>
      </c>
      <c r="B133" s="5" t="s">
        <v>619</v>
      </c>
      <c r="C133" s="6">
        <v>2586.9499999999998</v>
      </c>
      <c r="D133" s="7">
        <v>61.17</v>
      </c>
      <c r="E133" s="39">
        <f t="shared" ref="E133:E139" si="14">+C133*D133</f>
        <v>158243.73149999999</v>
      </c>
      <c r="F133" s="39">
        <f t="shared" ref="F133:F139" si="15">+E133*7%</f>
        <v>11077.061205</v>
      </c>
      <c r="G133" s="39">
        <f t="shared" ref="G133:G139" si="16">+E133+F133</f>
        <v>169320.792705</v>
      </c>
      <c r="I133" s="30">
        <v>6904207</v>
      </c>
    </row>
    <row r="134" spans="1:14" s="30" customFormat="1" ht="18" customHeight="1" x14ac:dyDescent="0.5">
      <c r="A134" s="4" t="s">
        <v>689</v>
      </c>
      <c r="B134" s="5" t="s">
        <v>19</v>
      </c>
      <c r="C134" s="6">
        <v>5315.75</v>
      </c>
      <c r="D134" s="7">
        <v>61.17</v>
      </c>
      <c r="E134" s="39">
        <f t="shared" si="14"/>
        <v>325164.42749999999</v>
      </c>
      <c r="F134" s="39">
        <f t="shared" si="15"/>
        <v>22761.509925000002</v>
      </c>
      <c r="G134" s="39">
        <f t="shared" si="16"/>
        <v>347925.93742500001</v>
      </c>
      <c r="I134" s="30">
        <v>6904039</v>
      </c>
    </row>
    <row r="135" spans="1:14" s="30" customFormat="1" ht="18" customHeight="1" x14ac:dyDescent="0.5">
      <c r="A135" s="4" t="s">
        <v>685</v>
      </c>
      <c r="B135" s="5" t="s">
        <v>19</v>
      </c>
      <c r="C135" s="6">
        <v>6089.1</v>
      </c>
      <c r="D135" s="7">
        <v>61.17</v>
      </c>
      <c r="E135" s="39">
        <f t="shared" si="14"/>
        <v>372470.24700000003</v>
      </c>
      <c r="F135" s="39">
        <f t="shared" si="15"/>
        <v>26072.917290000005</v>
      </c>
      <c r="G135" s="39">
        <f t="shared" si="16"/>
        <v>398543.16429000004</v>
      </c>
      <c r="I135" s="30">
        <v>6904128</v>
      </c>
    </row>
    <row r="136" spans="1:14" s="30" customFormat="1" ht="18" customHeight="1" x14ac:dyDescent="0.5">
      <c r="A136" s="4" t="s">
        <v>707</v>
      </c>
      <c r="B136" s="5" t="s">
        <v>19</v>
      </c>
      <c r="C136" s="6">
        <v>5014.25</v>
      </c>
      <c r="D136" s="7">
        <v>61.17</v>
      </c>
      <c r="E136" s="39">
        <f t="shared" si="14"/>
        <v>306721.67249999999</v>
      </c>
      <c r="F136" s="39">
        <f t="shared" si="15"/>
        <v>21470.517075</v>
      </c>
      <c r="G136" s="39">
        <f t="shared" si="16"/>
        <v>328192.18957499997</v>
      </c>
      <c r="I136" s="30">
        <v>6904123</v>
      </c>
    </row>
    <row r="137" spans="1:14" s="30" customFormat="1" ht="18" customHeight="1" x14ac:dyDescent="0.5">
      <c r="A137" s="4" t="s">
        <v>693</v>
      </c>
      <c r="B137" s="5" t="s">
        <v>19</v>
      </c>
      <c r="C137" s="6">
        <v>4980.55</v>
      </c>
      <c r="D137" s="7">
        <v>61.17</v>
      </c>
      <c r="E137" s="39">
        <f t="shared" si="14"/>
        <v>304660.24350000004</v>
      </c>
      <c r="F137" s="39">
        <f t="shared" si="15"/>
        <v>21326.217045000005</v>
      </c>
      <c r="G137" s="39">
        <f t="shared" si="16"/>
        <v>325986.46054500004</v>
      </c>
      <c r="I137" s="30">
        <v>6904176</v>
      </c>
    </row>
    <row r="138" spans="1:14" s="30" customFormat="1" ht="18" customHeight="1" x14ac:dyDescent="0.5">
      <c r="A138" s="4" t="s">
        <v>699</v>
      </c>
      <c r="B138" s="5" t="s">
        <v>19</v>
      </c>
      <c r="C138" s="6">
        <v>2057.65</v>
      </c>
      <c r="D138" s="7">
        <v>61.17</v>
      </c>
      <c r="E138" s="39">
        <f t="shared" si="14"/>
        <v>125866.45050000001</v>
      </c>
      <c r="F138" s="39">
        <f t="shared" si="15"/>
        <v>8810.6515350000009</v>
      </c>
      <c r="G138" s="39">
        <f t="shared" si="16"/>
        <v>134677.10203500002</v>
      </c>
      <c r="I138" s="30">
        <v>6904298</v>
      </c>
    </row>
    <row r="139" spans="1:14" s="30" customFormat="1" ht="18" customHeight="1" x14ac:dyDescent="0.5">
      <c r="A139" s="4" t="s">
        <v>702</v>
      </c>
      <c r="B139" s="5" t="s">
        <v>19</v>
      </c>
      <c r="C139" s="6">
        <v>6040.05</v>
      </c>
      <c r="D139" s="7">
        <v>61.17</v>
      </c>
      <c r="E139" s="39">
        <f t="shared" si="14"/>
        <v>369469.85850000003</v>
      </c>
      <c r="F139" s="39">
        <f t="shared" si="15"/>
        <v>25862.890095000006</v>
      </c>
      <c r="G139" s="39">
        <f t="shared" si="16"/>
        <v>395332.74859500001</v>
      </c>
      <c r="I139" s="30">
        <v>6904352</v>
      </c>
    </row>
    <row r="140" spans="1:14" ht="18" customHeight="1" x14ac:dyDescent="0.4">
      <c r="A140" s="16" t="s">
        <v>687</v>
      </c>
      <c r="B140" s="5" t="s">
        <v>26</v>
      </c>
      <c r="C140" s="37">
        <v>4517.5</v>
      </c>
      <c r="D140" s="38">
        <v>61.17</v>
      </c>
      <c r="E140" s="39">
        <f>+C140*D140</f>
        <v>276335.47500000003</v>
      </c>
      <c r="F140" s="39">
        <f>+E140*7%</f>
        <v>19343.483250000005</v>
      </c>
      <c r="G140" s="39">
        <f>+E140+F140</f>
        <v>295678.95825000003</v>
      </c>
      <c r="I140">
        <v>6904024</v>
      </c>
    </row>
    <row r="141" spans="1:14" s="26" customFormat="1" ht="18" customHeight="1" x14ac:dyDescent="0.45">
      <c r="A141" s="4" t="s">
        <v>689</v>
      </c>
      <c r="B141" s="5" t="s">
        <v>26</v>
      </c>
      <c r="C141" s="6">
        <v>1028.45</v>
      </c>
      <c r="D141" s="7">
        <v>61.17</v>
      </c>
      <c r="E141" s="39">
        <f t="shared" ref="E141:E147" si="17">+C141*D141</f>
        <v>62910.286500000002</v>
      </c>
      <c r="F141" s="39">
        <f t="shared" ref="F141:F147" si="18">+E141*7%</f>
        <v>4403.7200550000007</v>
      </c>
      <c r="G141" s="39">
        <f t="shared" ref="G141:G147" si="19">+E141+F141</f>
        <v>67314.006555</v>
      </c>
      <c r="I141" s="26">
        <v>6904040</v>
      </c>
      <c r="N141"/>
    </row>
    <row r="142" spans="1:14" s="26" customFormat="1" ht="18" customHeight="1" x14ac:dyDescent="0.45">
      <c r="A142" s="4" t="s">
        <v>685</v>
      </c>
      <c r="B142" s="5" t="s">
        <v>26</v>
      </c>
      <c r="C142" s="6">
        <v>8202.5499999999993</v>
      </c>
      <c r="D142" s="7">
        <v>61.17</v>
      </c>
      <c r="E142" s="39">
        <f t="shared" si="17"/>
        <v>501749.98349999997</v>
      </c>
      <c r="F142" s="39">
        <f t="shared" si="18"/>
        <v>35122.498845000002</v>
      </c>
      <c r="G142" s="39">
        <f t="shared" si="19"/>
        <v>536872.48234500003</v>
      </c>
      <c r="I142" s="26">
        <v>6904129</v>
      </c>
    </row>
    <row r="143" spans="1:14" s="26" customFormat="1" ht="18" customHeight="1" x14ac:dyDescent="0.45">
      <c r="A143" s="4" t="s">
        <v>707</v>
      </c>
      <c r="B143" s="5" t="s">
        <v>26</v>
      </c>
      <c r="C143" s="6">
        <v>494.1</v>
      </c>
      <c r="D143" s="7">
        <v>61.17</v>
      </c>
      <c r="E143" s="39">
        <f t="shared" si="17"/>
        <v>30224.097000000002</v>
      </c>
      <c r="F143" s="39">
        <f t="shared" si="18"/>
        <v>2115.6867900000002</v>
      </c>
      <c r="G143" s="39">
        <f t="shared" si="19"/>
        <v>32339.783790000001</v>
      </c>
      <c r="I143" s="26">
        <v>6904124</v>
      </c>
    </row>
    <row r="144" spans="1:14" s="26" customFormat="1" ht="18" customHeight="1" x14ac:dyDescent="0.45">
      <c r="A144" s="4" t="s">
        <v>717</v>
      </c>
      <c r="B144" s="5" t="s">
        <v>26</v>
      </c>
      <c r="C144" s="6">
        <v>1610.3</v>
      </c>
      <c r="D144" s="7">
        <v>61.17</v>
      </c>
      <c r="E144" s="39">
        <f t="shared" si="17"/>
        <v>98502.051000000007</v>
      </c>
      <c r="F144" s="39">
        <f t="shared" si="18"/>
        <v>6895.1435700000011</v>
      </c>
      <c r="G144" s="39">
        <f t="shared" si="19"/>
        <v>105397.19457000001</v>
      </c>
      <c r="I144" s="26">
        <v>6904152</v>
      </c>
    </row>
    <row r="145" spans="1:9" s="26" customFormat="1" ht="18" customHeight="1" x14ac:dyDescent="0.45">
      <c r="A145" s="4" t="s">
        <v>700</v>
      </c>
      <c r="B145" s="5" t="s">
        <v>26</v>
      </c>
      <c r="C145" s="6">
        <v>2022.75</v>
      </c>
      <c r="D145" s="7">
        <v>61.17</v>
      </c>
      <c r="E145" s="39">
        <f t="shared" si="17"/>
        <v>123731.61750000001</v>
      </c>
      <c r="F145" s="39">
        <f t="shared" si="18"/>
        <v>8661.2132250000013</v>
      </c>
      <c r="G145" s="39">
        <f t="shared" si="19"/>
        <v>132392.83072500001</v>
      </c>
      <c r="I145" s="26">
        <v>6904325</v>
      </c>
    </row>
    <row r="146" spans="1:9" s="26" customFormat="1" ht="18" customHeight="1" x14ac:dyDescent="0.45">
      <c r="A146" s="4" t="s">
        <v>709</v>
      </c>
      <c r="B146" s="5" t="s">
        <v>26</v>
      </c>
      <c r="C146" s="6">
        <v>3293.35</v>
      </c>
      <c r="D146" s="7">
        <v>61.17</v>
      </c>
      <c r="E146" s="39">
        <f t="shared" si="17"/>
        <v>201454.21950000001</v>
      </c>
      <c r="F146" s="39">
        <f t="shared" si="18"/>
        <v>14101.795365000002</v>
      </c>
      <c r="G146" s="39">
        <f t="shared" si="19"/>
        <v>215556.014865</v>
      </c>
      <c r="I146" s="26">
        <v>6904340</v>
      </c>
    </row>
    <row r="147" spans="1:9" s="26" customFormat="1" ht="18" customHeight="1" x14ac:dyDescent="0.45">
      <c r="A147" s="4" t="s">
        <v>717</v>
      </c>
      <c r="B147" s="5" t="s">
        <v>212</v>
      </c>
      <c r="C147" s="6">
        <v>6107.35</v>
      </c>
      <c r="D147" s="7">
        <v>76.17</v>
      </c>
      <c r="E147" s="39">
        <f t="shared" si="17"/>
        <v>465196.84950000001</v>
      </c>
      <c r="F147" s="39">
        <f t="shared" si="18"/>
        <v>32563.779465000003</v>
      </c>
      <c r="G147" s="39">
        <f t="shared" si="19"/>
        <v>497760.62896500004</v>
      </c>
      <c r="I147" s="26">
        <v>6904151</v>
      </c>
    </row>
    <row r="148" spans="1:9" s="26" customFormat="1" ht="18" customHeight="1" thickBot="1" x14ac:dyDescent="0.5">
      <c r="A148" s="41"/>
      <c r="B148" s="42" t="s">
        <v>15</v>
      </c>
      <c r="C148" s="43">
        <f>SUM(C133:C147)</f>
        <v>59360.65</v>
      </c>
      <c r="D148" s="38"/>
      <c r="E148" s="44">
        <f>SUM(E133:E147)</f>
        <v>3722701.2105000005</v>
      </c>
      <c r="F148" s="44">
        <f t="shared" ref="F148:G148" si="20">SUM(F133:F147)</f>
        <v>260589.08473500007</v>
      </c>
      <c r="G148" s="44">
        <f t="shared" si="20"/>
        <v>3983290.2952350001</v>
      </c>
    </row>
    <row r="149" spans="1:9" s="26" customFormat="1" ht="18" customHeight="1" thickTop="1" x14ac:dyDescent="0.45">
      <c r="A149" s="52"/>
      <c r="B149" s="53"/>
      <c r="C149" s="54"/>
      <c r="D149" s="55"/>
      <c r="E149" s="56"/>
      <c r="F149" s="56"/>
      <c r="G149" s="56"/>
    </row>
    <row r="150" spans="1:9" ht="23.25" x14ac:dyDescent="0.3">
      <c r="A150" s="359" t="s">
        <v>27</v>
      </c>
      <c r="B150" s="359"/>
      <c r="C150" s="359"/>
      <c r="D150" s="359"/>
      <c r="E150" s="359"/>
      <c r="F150" s="359"/>
      <c r="G150" s="359"/>
    </row>
    <row r="151" spans="1:9" ht="18" customHeight="1" x14ac:dyDescent="0.4">
      <c r="A151" s="57" t="s">
        <v>2</v>
      </c>
      <c r="B151" s="58" t="s">
        <v>3</v>
      </c>
      <c r="C151" s="58" t="s">
        <v>4</v>
      </c>
      <c r="D151" s="59" t="s">
        <v>5</v>
      </c>
      <c r="E151" s="58" t="s">
        <v>6</v>
      </c>
      <c r="F151" s="58" t="s">
        <v>7</v>
      </c>
      <c r="G151" s="58" t="s">
        <v>8</v>
      </c>
    </row>
    <row r="152" spans="1:9" ht="18" customHeight="1" x14ac:dyDescent="0.4">
      <c r="A152" s="16" t="s">
        <v>715</v>
      </c>
      <c r="B152" s="5" t="s">
        <v>488</v>
      </c>
      <c r="C152" s="37">
        <v>1210.95</v>
      </c>
      <c r="D152" s="38">
        <v>69</v>
      </c>
      <c r="E152" s="6">
        <f t="shared" ref="E152:E192" si="21">+C152*D152</f>
        <v>83555.55</v>
      </c>
      <c r="F152" s="60">
        <f t="shared" ref="F152:F192" si="22">+E152*7%</f>
        <v>5848.8885000000009</v>
      </c>
      <c r="G152" s="60">
        <f t="shared" ref="G152:G192" si="23">+E152+F152</f>
        <v>89404.438500000004</v>
      </c>
      <c r="I152">
        <v>6904084</v>
      </c>
    </row>
    <row r="153" spans="1:9" ht="18" customHeight="1" x14ac:dyDescent="0.4">
      <c r="A153" s="16" t="s">
        <v>685</v>
      </c>
      <c r="B153" s="5" t="s">
        <v>488</v>
      </c>
      <c r="C153" s="37">
        <v>301.8</v>
      </c>
      <c r="D153" s="38">
        <v>69</v>
      </c>
      <c r="E153" s="6">
        <f t="shared" si="21"/>
        <v>20824.2</v>
      </c>
      <c r="F153" s="60">
        <f t="shared" si="22"/>
        <v>1457.6940000000002</v>
      </c>
      <c r="G153" s="60">
        <f t="shared" si="23"/>
        <v>22281.894</v>
      </c>
      <c r="I153">
        <v>6904149</v>
      </c>
    </row>
    <row r="154" spans="1:9" ht="18" customHeight="1" x14ac:dyDescent="0.4">
      <c r="A154" s="16" t="s">
        <v>715</v>
      </c>
      <c r="B154" s="5" t="s">
        <v>290</v>
      </c>
      <c r="C154" s="37">
        <v>2969.2</v>
      </c>
      <c r="D154" s="38">
        <v>69</v>
      </c>
      <c r="E154" s="6">
        <f t="shared" si="21"/>
        <v>204874.8</v>
      </c>
      <c r="F154" s="60">
        <f t="shared" si="22"/>
        <v>14341.236000000001</v>
      </c>
      <c r="G154" s="60">
        <f t="shared" si="23"/>
        <v>219216.03599999999</v>
      </c>
      <c r="I154">
        <v>6904084</v>
      </c>
    </row>
    <row r="155" spans="1:9" ht="18" customHeight="1" x14ac:dyDescent="0.4">
      <c r="A155" s="16" t="s">
        <v>685</v>
      </c>
      <c r="B155" s="5" t="s">
        <v>28</v>
      </c>
      <c r="C155" s="37">
        <v>1274.75</v>
      </c>
      <c r="D155" s="38">
        <v>69</v>
      </c>
      <c r="E155" s="6">
        <f t="shared" si="21"/>
        <v>87957.75</v>
      </c>
      <c r="F155" s="60">
        <f t="shared" si="22"/>
        <v>6157.0425000000005</v>
      </c>
      <c r="G155" s="60">
        <f t="shared" si="23"/>
        <v>94114.792499999996</v>
      </c>
      <c r="I155">
        <v>6904149</v>
      </c>
    </row>
    <row r="156" spans="1:9" ht="18" customHeight="1" x14ac:dyDescent="0.4">
      <c r="A156" s="16" t="s">
        <v>709</v>
      </c>
      <c r="B156" s="5" t="s">
        <v>28</v>
      </c>
      <c r="C156" s="37">
        <v>2178.6</v>
      </c>
      <c r="D156" s="38">
        <v>69</v>
      </c>
      <c r="E156" s="6">
        <f t="shared" si="21"/>
        <v>150323.4</v>
      </c>
      <c r="F156" s="60">
        <f t="shared" si="22"/>
        <v>10522.638000000001</v>
      </c>
      <c r="G156" s="60">
        <f t="shared" si="23"/>
        <v>160846.038</v>
      </c>
      <c r="I156">
        <v>6904322</v>
      </c>
    </row>
    <row r="157" spans="1:9" ht="18" customHeight="1" x14ac:dyDescent="0.4">
      <c r="A157" s="16" t="s">
        <v>718</v>
      </c>
      <c r="B157" s="5" t="s">
        <v>184</v>
      </c>
      <c r="C157" s="37">
        <v>697.6</v>
      </c>
      <c r="D157" s="38">
        <v>69</v>
      </c>
      <c r="E157" s="6">
        <f t="shared" si="21"/>
        <v>48134.400000000001</v>
      </c>
      <c r="F157" s="60">
        <f t="shared" si="22"/>
        <v>3369.4080000000004</v>
      </c>
      <c r="G157" s="60">
        <f t="shared" si="23"/>
        <v>51503.808000000005</v>
      </c>
      <c r="I157">
        <v>6904073</v>
      </c>
    </row>
    <row r="158" spans="1:9" ht="18" customHeight="1" x14ac:dyDescent="0.4">
      <c r="A158" s="16" t="s">
        <v>715</v>
      </c>
      <c r="B158" s="5" t="s">
        <v>184</v>
      </c>
      <c r="C158" s="37">
        <v>314.45</v>
      </c>
      <c r="D158" s="38">
        <v>69</v>
      </c>
      <c r="E158" s="6">
        <f t="shared" si="21"/>
        <v>21697.05</v>
      </c>
      <c r="F158" s="60">
        <f t="shared" si="22"/>
        <v>1518.7935</v>
      </c>
      <c r="G158" s="60">
        <f t="shared" si="23"/>
        <v>23215.843499999999</v>
      </c>
      <c r="I158">
        <v>6904084</v>
      </c>
    </row>
    <row r="159" spans="1:9" ht="18" customHeight="1" x14ac:dyDescent="0.4">
      <c r="A159" s="16" t="s">
        <v>692</v>
      </c>
      <c r="B159" s="5" t="s">
        <v>184</v>
      </c>
      <c r="C159" s="37">
        <v>4467.1499999999996</v>
      </c>
      <c r="D159" s="38">
        <v>69</v>
      </c>
      <c r="E159" s="6">
        <f t="shared" si="21"/>
        <v>308233.34999999998</v>
      </c>
      <c r="F159" s="6">
        <f t="shared" si="22"/>
        <v>21576.334500000001</v>
      </c>
      <c r="G159" s="6">
        <f t="shared" si="23"/>
        <v>329809.68449999997</v>
      </c>
      <c r="I159">
        <v>6904153</v>
      </c>
    </row>
    <row r="160" spans="1:9" ht="18" customHeight="1" x14ac:dyDescent="0.4">
      <c r="A160" s="16" t="s">
        <v>719</v>
      </c>
      <c r="B160" s="5" t="s">
        <v>184</v>
      </c>
      <c r="C160" s="37">
        <v>277.60000000000002</v>
      </c>
      <c r="D160" s="38">
        <v>69</v>
      </c>
      <c r="E160" s="6">
        <f t="shared" si="21"/>
        <v>19154.400000000001</v>
      </c>
      <c r="F160" s="6">
        <f t="shared" si="22"/>
        <v>1340.8080000000002</v>
      </c>
      <c r="G160" s="6">
        <f t="shared" si="23"/>
        <v>20495.208000000002</v>
      </c>
      <c r="I160">
        <v>6904202</v>
      </c>
    </row>
    <row r="161" spans="1:9" ht="18" customHeight="1" x14ac:dyDescent="0.4">
      <c r="A161" s="16" t="s">
        <v>720</v>
      </c>
      <c r="B161" s="5" t="s">
        <v>184</v>
      </c>
      <c r="C161" s="37">
        <v>766.35</v>
      </c>
      <c r="D161" s="38">
        <v>69</v>
      </c>
      <c r="E161" s="6">
        <f t="shared" si="21"/>
        <v>52878.15</v>
      </c>
      <c r="F161" s="6">
        <f t="shared" si="22"/>
        <v>3701.4705000000004</v>
      </c>
      <c r="G161" s="6">
        <f t="shared" si="23"/>
        <v>56579.620500000005</v>
      </c>
      <c r="I161">
        <v>6904306</v>
      </c>
    </row>
    <row r="162" spans="1:9" ht="18" customHeight="1" x14ac:dyDescent="0.4">
      <c r="A162" s="16" t="s">
        <v>720</v>
      </c>
      <c r="B162" s="5" t="s">
        <v>184</v>
      </c>
      <c r="C162" s="37">
        <v>2983.55</v>
      </c>
      <c r="D162" s="38">
        <v>69</v>
      </c>
      <c r="E162" s="6">
        <f t="shared" si="21"/>
        <v>205864.95</v>
      </c>
      <c r="F162" s="6">
        <f t="shared" si="22"/>
        <v>14410.546500000002</v>
      </c>
      <c r="G162" s="6">
        <f t="shared" si="23"/>
        <v>220275.49650000001</v>
      </c>
      <c r="I162">
        <v>6904305</v>
      </c>
    </row>
    <row r="163" spans="1:9" ht="18" customHeight="1" x14ac:dyDescent="0.4">
      <c r="A163" s="16" t="s">
        <v>715</v>
      </c>
      <c r="B163" s="5" t="s">
        <v>721</v>
      </c>
      <c r="C163" s="37">
        <v>1436.3</v>
      </c>
      <c r="D163" s="38">
        <v>69</v>
      </c>
      <c r="E163" s="6">
        <f t="shared" si="21"/>
        <v>99104.7</v>
      </c>
      <c r="F163" s="6">
        <f t="shared" si="22"/>
        <v>6937.3290000000006</v>
      </c>
      <c r="G163" s="6">
        <f t="shared" si="23"/>
        <v>106042.02899999999</v>
      </c>
      <c r="I163">
        <v>6904084</v>
      </c>
    </row>
    <row r="164" spans="1:9" ht="18" customHeight="1" x14ac:dyDescent="0.4">
      <c r="A164" s="16" t="s">
        <v>687</v>
      </c>
      <c r="B164" s="5" t="s">
        <v>29</v>
      </c>
      <c r="C164" s="37">
        <v>3261</v>
      </c>
      <c r="D164" s="38">
        <v>69</v>
      </c>
      <c r="E164" s="6">
        <f t="shared" si="21"/>
        <v>225009</v>
      </c>
      <c r="F164" s="6">
        <f t="shared" si="22"/>
        <v>15750.630000000001</v>
      </c>
      <c r="G164" s="6">
        <f t="shared" si="23"/>
        <v>240759.63</v>
      </c>
      <c r="I164">
        <v>6904038</v>
      </c>
    </row>
    <row r="165" spans="1:9" ht="18" customHeight="1" x14ac:dyDescent="0.4">
      <c r="A165" s="16" t="s">
        <v>718</v>
      </c>
      <c r="B165" s="5" t="s">
        <v>29</v>
      </c>
      <c r="C165" s="37">
        <v>821.25</v>
      </c>
      <c r="D165" s="38">
        <v>69</v>
      </c>
      <c r="E165" s="6">
        <f t="shared" si="21"/>
        <v>56666.25</v>
      </c>
      <c r="F165" s="6">
        <f t="shared" si="22"/>
        <v>3966.6375000000003</v>
      </c>
      <c r="G165" s="6">
        <f t="shared" si="23"/>
        <v>60632.887499999997</v>
      </c>
      <c r="I165">
        <v>6904073</v>
      </c>
    </row>
    <row r="166" spans="1:9" ht="18" customHeight="1" x14ac:dyDescent="0.4">
      <c r="A166" s="16" t="s">
        <v>715</v>
      </c>
      <c r="B166" s="5" t="s">
        <v>29</v>
      </c>
      <c r="C166" s="37">
        <v>3263</v>
      </c>
      <c r="D166" s="38">
        <v>69</v>
      </c>
      <c r="E166" s="6">
        <f t="shared" si="21"/>
        <v>225147</v>
      </c>
      <c r="F166" s="6">
        <f t="shared" si="22"/>
        <v>15760.29</v>
      </c>
      <c r="G166" s="6">
        <f t="shared" si="23"/>
        <v>240907.29</v>
      </c>
      <c r="I166">
        <v>6904083</v>
      </c>
    </row>
    <row r="167" spans="1:9" ht="18" customHeight="1" x14ac:dyDescent="0.4">
      <c r="A167" s="16" t="s">
        <v>707</v>
      </c>
      <c r="B167" s="5" t="s">
        <v>29</v>
      </c>
      <c r="C167" s="37">
        <v>3256</v>
      </c>
      <c r="D167" s="38">
        <v>69</v>
      </c>
      <c r="E167" s="6">
        <f>+C167*D167</f>
        <v>224664</v>
      </c>
      <c r="F167" s="6">
        <f>+E167*7%</f>
        <v>15726.480000000001</v>
      </c>
      <c r="G167" s="6">
        <f>+E167+F167</f>
        <v>240390.48</v>
      </c>
      <c r="I167">
        <v>6904122</v>
      </c>
    </row>
    <row r="168" spans="1:9" ht="18" customHeight="1" x14ac:dyDescent="0.4">
      <c r="A168" s="16" t="s">
        <v>692</v>
      </c>
      <c r="B168" s="5" t="s">
        <v>29</v>
      </c>
      <c r="C168" s="37">
        <v>5821.6</v>
      </c>
      <c r="D168" s="38">
        <v>69</v>
      </c>
      <c r="E168" s="6">
        <f>+C168*D168</f>
        <v>401690.4</v>
      </c>
      <c r="F168" s="6">
        <f>+E168*7%</f>
        <v>28118.328000000005</v>
      </c>
      <c r="G168" s="6">
        <f>+E168+F168</f>
        <v>429808.728</v>
      </c>
      <c r="I168">
        <v>6904172</v>
      </c>
    </row>
    <row r="169" spans="1:9" ht="18" customHeight="1" x14ac:dyDescent="0.4">
      <c r="A169" s="16" t="s">
        <v>719</v>
      </c>
      <c r="B169" s="5" t="s">
        <v>29</v>
      </c>
      <c r="C169" s="37">
        <v>3228.25</v>
      </c>
      <c r="D169" s="38">
        <v>69</v>
      </c>
      <c r="E169" s="6">
        <f>+C169*D169</f>
        <v>222749.25</v>
      </c>
      <c r="F169" s="6">
        <f>+E169*7%</f>
        <v>15592.447500000002</v>
      </c>
      <c r="G169" s="6">
        <f>+E169+F169</f>
        <v>238341.69750000001</v>
      </c>
      <c r="I169">
        <v>6904201</v>
      </c>
    </row>
    <row r="170" spans="1:9" ht="18" customHeight="1" x14ac:dyDescent="0.4">
      <c r="A170" s="16" t="s">
        <v>695</v>
      </c>
      <c r="B170" s="5" t="s">
        <v>29</v>
      </c>
      <c r="C170" s="37">
        <v>3248.05</v>
      </c>
      <c r="D170" s="38">
        <v>69</v>
      </c>
      <c r="E170" s="6">
        <f>+C170*D170</f>
        <v>224115.45</v>
      </c>
      <c r="F170" s="6">
        <f>+E170*7%</f>
        <v>15688.081500000002</v>
      </c>
      <c r="G170" s="6">
        <f>+E170+F170</f>
        <v>239803.53150000001</v>
      </c>
      <c r="I170">
        <v>6904251</v>
      </c>
    </row>
    <row r="171" spans="1:9" ht="18" customHeight="1" x14ac:dyDescent="0.4">
      <c r="A171" s="16" t="s">
        <v>696</v>
      </c>
      <c r="B171" s="5" t="s">
        <v>29</v>
      </c>
      <c r="C171" s="37">
        <v>6320.05</v>
      </c>
      <c r="D171" s="38">
        <v>69</v>
      </c>
      <c r="E171" s="6">
        <f t="shared" si="21"/>
        <v>436083.45</v>
      </c>
      <c r="F171" s="6">
        <f t="shared" si="22"/>
        <v>30525.841500000002</v>
      </c>
      <c r="G171" s="6">
        <f t="shared" si="23"/>
        <v>466609.29149999999</v>
      </c>
      <c r="I171">
        <v>6904268</v>
      </c>
    </row>
    <row r="172" spans="1:9" ht="18" customHeight="1" x14ac:dyDescent="0.4">
      <c r="A172" s="16" t="s">
        <v>720</v>
      </c>
      <c r="B172" s="5" t="s">
        <v>29</v>
      </c>
      <c r="C172" s="37">
        <v>6539.5</v>
      </c>
      <c r="D172" s="38">
        <v>69</v>
      </c>
      <c r="E172" s="6">
        <f t="shared" si="21"/>
        <v>451225.5</v>
      </c>
      <c r="F172" s="6">
        <f t="shared" si="22"/>
        <v>31585.785000000003</v>
      </c>
      <c r="G172" s="6">
        <f t="shared" si="23"/>
        <v>482811.28500000003</v>
      </c>
      <c r="I172">
        <v>6904306</v>
      </c>
    </row>
    <row r="173" spans="1:9" ht="18" customHeight="1" x14ac:dyDescent="0.4">
      <c r="A173" s="16" t="s">
        <v>685</v>
      </c>
      <c r="B173" s="5" t="s">
        <v>173</v>
      </c>
      <c r="C173" s="37">
        <v>3315.12</v>
      </c>
      <c r="D173" s="38">
        <v>69</v>
      </c>
      <c r="E173" s="6">
        <f t="shared" si="21"/>
        <v>228743.28</v>
      </c>
      <c r="F173" s="6">
        <f t="shared" si="22"/>
        <v>16012.029600000002</v>
      </c>
      <c r="G173" s="6">
        <f t="shared" si="23"/>
        <v>244755.30960000001</v>
      </c>
      <c r="I173">
        <v>6904150</v>
      </c>
    </row>
    <row r="174" spans="1:9" ht="18" customHeight="1" x14ac:dyDescent="0.4">
      <c r="A174" s="16" t="s">
        <v>709</v>
      </c>
      <c r="B174" s="5" t="s">
        <v>173</v>
      </c>
      <c r="C174" s="37">
        <v>3229.57</v>
      </c>
      <c r="D174" s="38">
        <v>69</v>
      </c>
      <c r="E174" s="6">
        <f t="shared" si="21"/>
        <v>222840.33000000002</v>
      </c>
      <c r="F174" s="6">
        <f t="shared" si="22"/>
        <v>15598.823100000003</v>
      </c>
      <c r="G174" s="6">
        <f t="shared" si="23"/>
        <v>238439.15310000003</v>
      </c>
      <c r="I174">
        <v>6904321</v>
      </c>
    </row>
    <row r="175" spans="1:9" ht="18" customHeight="1" x14ac:dyDescent="0.4">
      <c r="A175" s="16" t="s">
        <v>700</v>
      </c>
      <c r="B175" s="5" t="s">
        <v>173</v>
      </c>
      <c r="C175" s="37">
        <v>802.18</v>
      </c>
      <c r="D175" s="38">
        <v>69</v>
      </c>
      <c r="E175" s="6">
        <f t="shared" si="21"/>
        <v>55350.42</v>
      </c>
      <c r="F175" s="6">
        <f t="shared" si="22"/>
        <v>3874.5294000000004</v>
      </c>
      <c r="G175" s="6">
        <f t="shared" si="23"/>
        <v>59224.949399999998</v>
      </c>
      <c r="I175">
        <v>6904337</v>
      </c>
    </row>
    <row r="176" spans="1:9" ht="18" customHeight="1" x14ac:dyDescent="0.4">
      <c r="A176" s="16" t="s">
        <v>701</v>
      </c>
      <c r="B176" s="5" t="s">
        <v>173</v>
      </c>
      <c r="C176" s="37">
        <v>4843.66</v>
      </c>
      <c r="D176" s="38">
        <v>69</v>
      </c>
      <c r="E176" s="6">
        <f t="shared" si="21"/>
        <v>334212.53999999998</v>
      </c>
      <c r="F176" s="6">
        <f t="shared" si="22"/>
        <v>23394.877800000002</v>
      </c>
      <c r="G176" s="6">
        <f t="shared" si="23"/>
        <v>357607.4178</v>
      </c>
      <c r="I176">
        <v>6904351</v>
      </c>
    </row>
    <row r="177" spans="1:9" ht="18" customHeight="1" x14ac:dyDescent="0.4">
      <c r="A177" s="16" t="s">
        <v>687</v>
      </c>
      <c r="B177" s="5" t="s">
        <v>30</v>
      </c>
      <c r="C177" s="37">
        <v>3244.4</v>
      </c>
      <c r="D177" s="38">
        <v>69</v>
      </c>
      <c r="E177" s="6">
        <f t="shared" si="21"/>
        <v>223863.6</v>
      </c>
      <c r="F177" s="6">
        <f t="shared" si="22"/>
        <v>15670.452000000001</v>
      </c>
      <c r="G177" s="6">
        <f t="shared" si="23"/>
        <v>239534.052</v>
      </c>
      <c r="I177">
        <v>6904038</v>
      </c>
    </row>
    <row r="178" spans="1:9" ht="18" customHeight="1" x14ac:dyDescent="0.4">
      <c r="A178" s="16" t="s">
        <v>717</v>
      </c>
      <c r="B178" s="5" t="s">
        <v>30</v>
      </c>
      <c r="C178" s="37">
        <v>2459.5500000000002</v>
      </c>
      <c r="D178" s="38">
        <v>69</v>
      </c>
      <c r="E178" s="6">
        <f t="shared" si="21"/>
        <v>169708.95</v>
      </c>
      <c r="F178" s="6">
        <f t="shared" si="22"/>
        <v>11879.626500000002</v>
      </c>
      <c r="G178" s="6">
        <f t="shared" si="23"/>
        <v>181588.57650000002</v>
      </c>
      <c r="I178">
        <v>6904153</v>
      </c>
    </row>
    <row r="179" spans="1:9" ht="18" customHeight="1" x14ac:dyDescent="0.4">
      <c r="A179" s="16" t="s">
        <v>692</v>
      </c>
      <c r="B179" s="5" t="s">
        <v>30</v>
      </c>
      <c r="C179" s="37">
        <v>1596.5</v>
      </c>
      <c r="D179" s="38">
        <v>69</v>
      </c>
      <c r="E179" s="6">
        <f t="shared" si="21"/>
        <v>110158.5</v>
      </c>
      <c r="F179" s="6">
        <f t="shared" si="22"/>
        <v>7711.0950000000012</v>
      </c>
      <c r="G179" s="6">
        <f t="shared" si="23"/>
        <v>117869.595</v>
      </c>
      <c r="I179">
        <v>6904171</v>
      </c>
    </row>
    <row r="180" spans="1:9" ht="18" customHeight="1" x14ac:dyDescent="0.4">
      <c r="A180" s="16" t="s">
        <v>719</v>
      </c>
      <c r="B180" s="5" t="s">
        <v>30</v>
      </c>
      <c r="C180" s="37">
        <v>2402.35</v>
      </c>
      <c r="D180" s="38">
        <v>69</v>
      </c>
      <c r="E180" s="6">
        <f t="shared" si="21"/>
        <v>165762.15</v>
      </c>
      <c r="F180" s="6">
        <f t="shared" si="22"/>
        <v>11603.3505</v>
      </c>
      <c r="G180" s="6">
        <f t="shared" si="23"/>
        <v>177365.50049999999</v>
      </c>
      <c r="I180">
        <v>6904202</v>
      </c>
    </row>
    <row r="181" spans="1:9" ht="18" customHeight="1" x14ac:dyDescent="0.4">
      <c r="A181" s="16" t="s">
        <v>696</v>
      </c>
      <c r="B181" s="5" t="s">
        <v>30</v>
      </c>
      <c r="C181" s="37">
        <v>3262.2</v>
      </c>
      <c r="D181" s="38">
        <v>69</v>
      </c>
      <c r="E181" s="6">
        <f t="shared" si="21"/>
        <v>225091.8</v>
      </c>
      <c r="F181" s="6">
        <f t="shared" si="22"/>
        <v>15756.426000000001</v>
      </c>
      <c r="G181" s="6">
        <f t="shared" si="23"/>
        <v>240848.226</v>
      </c>
      <c r="I181">
        <v>6904251</v>
      </c>
    </row>
    <row r="182" spans="1:9" ht="18" customHeight="1" x14ac:dyDescent="0.4">
      <c r="A182" s="16" t="s">
        <v>700</v>
      </c>
      <c r="B182" s="5" t="s">
        <v>30</v>
      </c>
      <c r="C182" s="37">
        <v>2386.6</v>
      </c>
      <c r="D182" s="38">
        <v>69</v>
      </c>
      <c r="E182" s="6">
        <f t="shared" si="21"/>
        <v>164675.4</v>
      </c>
      <c r="F182" s="6">
        <f t="shared" si="22"/>
        <v>11527.278</v>
      </c>
      <c r="G182" s="6">
        <f t="shared" si="23"/>
        <v>176202.67799999999</v>
      </c>
      <c r="I182">
        <v>6904337</v>
      </c>
    </row>
    <row r="183" spans="1:9" ht="18" customHeight="1" x14ac:dyDescent="0.4">
      <c r="A183" s="16" t="s">
        <v>701</v>
      </c>
      <c r="B183" s="5" t="s">
        <v>30</v>
      </c>
      <c r="C183" s="37">
        <v>661.6</v>
      </c>
      <c r="D183" s="38">
        <v>69</v>
      </c>
      <c r="E183" s="6">
        <f t="shared" si="21"/>
        <v>45650.400000000001</v>
      </c>
      <c r="F183" s="6">
        <f t="shared" si="22"/>
        <v>3195.5280000000002</v>
      </c>
      <c r="G183" s="6">
        <f t="shared" si="23"/>
        <v>48845.928</v>
      </c>
      <c r="I183">
        <v>6904351</v>
      </c>
    </row>
    <row r="184" spans="1:9" ht="18" customHeight="1" x14ac:dyDescent="0.4">
      <c r="A184" s="16" t="s">
        <v>718</v>
      </c>
      <c r="B184" s="5" t="s">
        <v>31</v>
      </c>
      <c r="C184" s="37">
        <v>3680.05</v>
      </c>
      <c r="D184" s="38">
        <v>69</v>
      </c>
      <c r="E184" s="6">
        <f t="shared" si="21"/>
        <v>253923.45</v>
      </c>
      <c r="F184" s="6">
        <f t="shared" si="22"/>
        <v>17774.641500000002</v>
      </c>
      <c r="G184" s="6">
        <f t="shared" si="23"/>
        <v>271698.09150000004</v>
      </c>
      <c r="I184">
        <v>6904073</v>
      </c>
    </row>
    <row r="185" spans="1:9" ht="18" customHeight="1" x14ac:dyDescent="0.4">
      <c r="A185" s="16" t="s">
        <v>715</v>
      </c>
      <c r="B185" s="5" t="s">
        <v>31</v>
      </c>
      <c r="C185" s="37">
        <v>1855.05</v>
      </c>
      <c r="D185" s="38">
        <v>69</v>
      </c>
      <c r="E185" s="6">
        <f>+C185*D185</f>
        <v>127998.45</v>
      </c>
      <c r="F185" s="6">
        <f>+E185*7%</f>
        <v>8959.8915000000015</v>
      </c>
      <c r="G185" s="6">
        <f>+E185+F185</f>
        <v>136958.34150000001</v>
      </c>
      <c r="I185">
        <v>6904083</v>
      </c>
    </row>
    <row r="186" spans="1:9" ht="18" customHeight="1" x14ac:dyDescent="0.4">
      <c r="A186" s="16" t="s">
        <v>707</v>
      </c>
      <c r="B186" s="5" t="s">
        <v>31</v>
      </c>
      <c r="C186" s="37">
        <v>2745.65</v>
      </c>
      <c r="D186" s="38">
        <v>69</v>
      </c>
      <c r="E186" s="6">
        <f t="shared" si="21"/>
        <v>189449.85</v>
      </c>
      <c r="F186" s="6">
        <f t="shared" si="22"/>
        <v>13261.489500000001</v>
      </c>
      <c r="G186" s="6">
        <f t="shared" si="23"/>
        <v>202711.3395</v>
      </c>
      <c r="I186">
        <v>6904122</v>
      </c>
    </row>
    <row r="187" spans="1:9" ht="18" customHeight="1" x14ac:dyDescent="0.4">
      <c r="A187" s="16" t="s">
        <v>685</v>
      </c>
      <c r="B187" s="5" t="s">
        <v>31</v>
      </c>
      <c r="C187" s="37">
        <v>823.65</v>
      </c>
      <c r="D187" s="38">
        <v>69</v>
      </c>
      <c r="E187" s="6">
        <f t="shared" si="21"/>
        <v>56831.85</v>
      </c>
      <c r="F187" s="6">
        <f t="shared" si="22"/>
        <v>3978.2295000000004</v>
      </c>
      <c r="G187" s="6">
        <f t="shared" si="23"/>
        <v>60810.0795</v>
      </c>
      <c r="I187">
        <v>6904149</v>
      </c>
    </row>
    <row r="188" spans="1:9" ht="18" customHeight="1" x14ac:dyDescent="0.4">
      <c r="A188" s="16" t="s">
        <v>692</v>
      </c>
      <c r="B188" s="5" t="s">
        <v>31</v>
      </c>
      <c r="C188" s="37">
        <v>1378.85</v>
      </c>
      <c r="D188" s="38">
        <v>69</v>
      </c>
      <c r="E188" s="6">
        <f t="shared" si="21"/>
        <v>95140.65</v>
      </c>
      <c r="F188" s="6">
        <f t="shared" si="22"/>
        <v>6659.8455000000004</v>
      </c>
      <c r="G188" s="6">
        <f t="shared" si="23"/>
        <v>101800.49549999999</v>
      </c>
      <c r="I188">
        <v>6904172</v>
      </c>
    </row>
    <row r="189" spans="1:9" ht="18" customHeight="1" x14ac:dyDescent="0.4">
      <c r="A189" s="16" t="s">
        <v>719</v>
      </c>
      <c r="B189" s="5" t="s">
        <v>31</v>
      </c>
      <c r="C189" s="37">
        <v>933.35</v>
      </c>
      <c r="D189" s="38">
        <v>69</v>
      </c>
      <c r="E189" s="6">
        <f>+C189*D189</f>
        <v>64401.15</v>
      </c>
      <c r="F189" s="6">
        <f>+E189*7%</f>
        <v>4508.0805000000009</v>
      </c>
      <c r="G189" s="6">
        <f>+E189+F189</f>
        <v>68909.230500000005</v>
      </c>
      <c r="I189">
        <v>6904202</v>
      </c>
    </row>
    <row r="190" spans="1:9" ht="18" customHeight="1" x14ac:dyDescent="0.4">
      <c r="A190" s="16" t="s">
        <v>709</v>
      </c>
      <c r="B190" s="5" t="s">
        <v>31</v>
      </c>
      <c r="C190" s="37">
        <v>2759.6</v>
      </c>
      <c r="D190" s="38">
        <v>69</v>
      </c>
      <c r="E190" s="6">
        <f>+C190*D190</f>
        <v>190412.4</v>
      </c>
      <c r="F190" s="6">
        <f>+E190*7%</f>
        <v>13328.868</v>
      </c>
      <c r="G190" s="6">
        <f>+E190+F190</f>
        <v>203741.26799999998</v>
      </c>
      <c r="I190">
        <v>6904321</v>
      </c>
    </row>
    <row r="191" spans="1:9" ht="18" customHeight="1" x14ac:dyDescent="0.4">
      <c r="A191" s="16" t="s">
        <v>700</v>
      </c>
      <c r="B191" s="5" t="s">
        <v>31</v>
      </c>
      <c r="C191" s="37">
        <v>2736.4</v>
      </c>
      <c r="D191" s="38">
        <v>69</v>
      </c>
      <c r="E191" s="6">
        <f t="shared" si="21"/>
        <v>188811.6</v>
      </c>
      <c r="F191" s="6">
        <f t="shared" si="22"/>
        <v>13216.812000000002</v>
      </c>
      <c r="G191" s="6">
        <f t="shared" si="23"/>
        <v>202028.41200000001</v>
      </c>
      <c r="I191">
        <v>6904337</v>
      </c>
    </row>
    <row r="192" spans="1:9" ht="18" customHeight="1" x14ac:dyDescent="0.4">
      <c r="A192" s="16" t="s">
        <v>701</v>
      </c>
      <c r="B192" s="5" t="s">
        <v>31</v>
      </c>
      <c r="C192" s="37">
        <v>470.8</v>
      </c>
      <c r="D192" s="38">
        <v>69</v>
      </c>
      <c r="E192" s="6">
        <f t="shared" si="21"/>
        <v>32485.200000000001</v>
      </c>
      <c r="F192" s="6">
        <f t="shared" si="22"/>
        <v>2273.9640000000004</v>
      </c>
      <c r="G192" s="6">
        <f t="shared" si="23"/>
        <v>34759.164000000004</v>
      </c>
      <c r="I192">
        <v>6904351</v>
      </c>
    </row>
    <row r="193" spans="1:9" ht="18" customHeight="1" thickBot="1" x14ac:dyDescent="0.35">
      <c r="A193" s="61"/>
      <c r="B193" s="17" t="s">
        <v>15</v>
      </c>
      <c r="C193" s="18">
        <f>SUM(C152:C192)</f>
        <v>100224.13000000003</v>
      </c>
      <c r="D193" s="66"/>
      <c r="E193" s="20">
        <f>SUM(E152:E192)</f>
        <v>6915464.9700000016</v>
      </c>
      <c r="F193" s="20">
        <f t="shared" ref="F193:G193" si="24">SUM(F152:F192)</f>
        <v>484082.54790000006</v>
      </c>
      <c r="G193" s="20">
        <f t="shared" si="24"/>
        <v>7399547.5179000003</v>
      </c>
    </row>
    <row r="194" spans="1:9" ht="21.75" customHeight="1" thickTop="1" x14ac:dyDescent="0.4">
      <c r="A194" s="21"/>
      <c r="B194" s="22"/>
      <c r="C194" s="23"/>
      <c r="D194" s="140"/>
      <c r="E194" s="25"/>
      <c r="F194" s="25"/>
      <c r="G194" s="25"/>
    </row>
    <row r="195" spans="1:9" ht="23.25" x14ac:dyDescent="0.3">
      <c r="A195" s="359" t="s">
        <v>32</v>
      </c>
      <c r="B195" s="359"/>
      <c r="C195" s="359"/>
      <c r="D195" s="359"/>
      <c r="E195" s="359"/>
      <c r="F195" s="359"/>
      <c r="G195" s="359"/>
    </row>
    <row r="196" spans="1:9" ht="18" customHeight="1" x14ac:dyDescent="0.4">
      <c r="A196" s="57" t="s">
        <v>2</v>
      </c>
      <c r="B196" s="58" t="s">
        <v>3</v>
      </c>
      <c r="C196" s="58" t="s">
        <v>4</v>
      </c>
      <c r="D196" s="64" t="s">
        <v>5</v>
      </c>
      <c r="E196" s="58" t="s">
        <v>6</v>
      </c>
      <c r="F196" s="58" t="s">
        <v>7</v>
      </c>
      <c r="G196" s="58" t="s">
        <v>8</v>
      </c>
    </row>
    <row r="197" spans="1:9" ht="18" customHeight="1" x14ac:dyDescent="0.4">
      <c r="A197" s="4" t="s">
        <v>687</v>
      </c>
      <c r="B197" s="5" t="s">
        <v>224</v>
      </c>
      <c r="C197" s="37">
        <v>398.75</v>
      </c>
      <c r="D197" s="38">
        <v>68</v>
      </c>
      <c r="E197" s="6">
        <f t="shared" ref="E197:E242" si="25">+C197*D197</f>
        <v>27115</v>
      </c>
      <c r="F197" s="6">
        <f t="shared" ref="F197:F242" si="26">+E197*7%</f>
        <v>1898.0500000000002</v>
      </c>
      <c r="G197" s="6">
        <f t="shared" ref="G197:G242" si="27">+E197+F197</f>
        <v>29013.05</v>
      </c>
      <c r="I197">
        <v>6904034</v>
      </c>
    </row>
    <row r="198" spans="1:9" ht="18" customHeight="1" x14ac:dyDescent="0.4">
      <c r="A198" s="4" t="s">
        <v>702</v>
      </c>
      <c r="B198" s="5" t="s">
        <v>224</v>
      </c>
      <c r="C198" s="37">
        <v>1493.8</v>
      </c>
      <c r="D198" s="38">
        <v>68</v>
      </c>
      <c r="E198" s="6">
        <f t="shared" si="25"/>
        <v>101578.4</v>
      </c>
      <c r="F198" s="6">
        <f t="shared" si="26"/>
        <v>7110.4880000000003</v>
      </c>
      <c r="G198" s="6">
        <f t="shared" si="27"/>
        <v>108688.88799999999</v>
      </c>
      <c r="I198">
        <v>6904357</v>
      </c>
    </row>
    <row r="199" spans="1:9" ht="18" customHeight="1" x14ac:dyDescent="0.4">
      <c r="A199" s="4" t="s">
        <v>689</v>
      </c>
      <c r="B199" s="5" t="s">
        <v>491</v>
      </c>
      <c r="C199" s="37">
        <v>850.84</v>
      </c>
      <c r="D199" s="38">
        <v>68</v>
      </c>
      <c r="E199" s="6">
        <f t="shared" si="25"/>
        <v>57857.120000000003</v>
      </c>
      <c r="F199" s="6">
        <f t="shared" si="26"/>
        <v>4049.9984000000004</v>
      </c>
      <c r="G199" s="6">
        <f t="shared" si="27"/>
        <v>61907.118400000007</v>
      </c>
      <c r="I199">
        <v>6904052</v>
      </c>
    </row>
    <row r="200" spans="1:9" ht="18" customHeight="1" x14ac:dyDescent="0.4">
      <c r="A200" s="4" t="s">
        <v>715</v>
      </c>
      <c r="B200" s="5" t="s">
        <v>265</v>
      </c>
      <c r="C200" s="37">
        <v>1045.54</v>
      </c>
      <c r="D200" s="38">
        <v>68</v>
      </c>
      <c r="E200" s="6">
        <f t="shared" ref="E200:E206" si="28">+C200*D200</f>
        <v>71096.72</v>
      </c>
      <c r="F200" s="6">
        <f t="shared" ref="F200:F206" si="29">+E200*7%</f>
        <v>4976.7704000000003</v>
      </c>
      <c r="G200" s="6">
        <f t="shared" ref="G200:G206" si="30">+E200+F200</f>
        <v>76073.490399999995</v>
      </c>
      <c r="I200">
        <v>6904082</v>
      </c>
    </row>
    <row r="201" spans="1:9" ht="18" customHeight="1" x14ac:dyDescent="0.4">
      <c r="A201" s="4" t="s">
        <v>701</v>
      </c>
      <c r="B201" s="5" t="s">
        <v>265</v>
      </c>
      <c r="C201" s="37">
        <v>1884.96</v>
      </c>
      <c r="D201" s="38">
        <v>68</v>
      </c>
      <c r="E201" s="6">
        <f t="shared" si="28"/>
        <v>128177.28</v>
      </c>
      <c r="F201" s="6">
        <f t="shared" si="29"/>
        <v>8972.4096000000009</v>
      </c>
      <c r="G201" s="6">
        <f t="shared" si="30"/>
        <v>137149.68960000001</v>
      </c>
      <c r="I201">
        <v>6904345</v>
      </c>
    </row>
    <row r="202" spans="1:9" ht="18" customHeight="1" x14ac:dyDescent="0.4">
      <c r="A202" s="4" t="s">
        <v>689</v>
      </c>
      <c r="B202" s="5" t="s">
        <v>33</v>
      </c>
      <c r="C202" s="37">
        <v>774.7</v>
      </c>
      <c r="D202" s="38">
        <v>68</v>
      </c>
      <c r="E202" s="6">
        <f t="shared" si="28"/>
        <v>52679.600000000006</v>
      </c>
      <c r="F202" s="6">
        <f t="shared" si="29"/>
        <v>3687.5720000000006</v>
      </c>
      <c r="G202" s="6">
        <f t="shared" si="30"/>
        <v>56367.172000000006</v>
      </c>
      <c r="I202">
        <v>6904056</v>
      </c>
    </row>
    <row r="203" spans="1:9" ht="18" customHeight="1" x14ac:dyDescent="0.4">
      <c r="A203" s="4" t="s">
        <v>689</v>
      </c>
      <c r="B203" s="5" t="s">
        <v>33</v>
      </c>
      <c r="C203" s="37">
        <v>80.45</v>
      </c>
      <c r="D203" s="38">
        <v>56</v>
      </c>
      <c r="E203" s="6">
        <f t="shared" si="28"/>
        <v>4505.2</v>
      </c>
      <c r="F203" s="6">
        <f t="shared" si="29"/>
        <v>315.36400000000003</v>
      </c>
      <c r="G203" s="6">
        <f t="shared" si="30"/>
        <v>4820.5640000000003</v>
      </c>
      <c r="I203">
        <v>6904055</v>
      </c>
    </row>
    <row r="204" spans="1:9" ht="18" customHeight="1" x14ac:dyDescent="0.4">
      <c r="A204" s="4" t="s">
        <v>702</v>
      </c>
      <c r="B204" s="5" t="s">
        <v>33</v>
      </c>
      <c r="C204" s="37">
        <v>598.79999999999995</v>
      </c>
      <c r="D204" s="38">
        <v>68</v>
      </c>
      <c r="E204" s="6">
        <f t="shared" si="28"/>
        <v>40718.399999999994</v>
      </c>
      <c r="F204" s="6">
        <f t="shared" si="29"/>
        <v>2850.288</v>
      </c>
      <c r="G204" s="6">
        <f t="shared" si="30"/>
        <v>43568.687999999995</v>
      </c>
      <c r="I204">
        <v>6904361</v>
      </c>
    </row>
    <row r="205" spans="1:9" ht="18" customHeight="1" x14ac:dyDescent="0.4">
      <c r="A205" s="4" t="s">
        <v>687</v>
      </c>
      <c r="B205" s="278" t="s">
        <v>763</v>
      </c>
      <c r="C205" s="279">
        <v>196.9</v>
      </c>
      <c r="D205" s="280">
        <v>103</v>
      </c>
      <c r="E205" s="6">
        <f t="shared" si="28"/>
        <v>20280.7</v>
      </c>
      <c r="F205" s="6">
        <f t="shared" si="29"/>
        <v>1419.6490000000001</v>
      </c>
      <c r="G205" s="6">
        <f t="shared" si="30"/>
        <v>21700.349000000002</v>
      </c>
      <c r="H205" s="273" t="s">
        <v>392</v>
      </c>
      <c r="I205">
        <v>6904035</v>
      </c>
    </row>
    <row r="206" spans="1:9" ht="18" customHeight="1" x14ac:dyDescent="0.4">
      <c r="A206" s="4" t="s">
        <v>700</v>
      </c>
      <c r="B206" s="278" t="s">
        <v>763</v>
      </c>
      <c r="C206" s="279">
        <v>94.6</v>
      </c>
      <c r="D206" s="280">
        <v>110</v>
      </c>
      <c r="E206" s="6">
        <f t="shared" si="28"/>
        <v>10406</v>
      </c>
      <c r="F206" s="6">
        <f t="shared" si="29"/>
        <v>728.42000000000007</v>
      </c>
      <c r="G206" s="6">
        <f t="shared" si="30"/>
        <v>11134.42</v>
      </c>
      <c r="H206" s="273" t="s">
        <v>392</v>
      </c>
      <c r="I206">
        <v>6904334</v>
      </c>
    </row>
    <row r="207" spans="1:9" ht="18" customHeight="1" x14ac:dyDescent="0.4">
      <c r="A207" s="4" t="s">
        <v>690</v>
      </c>
      <c r="B207" s="275" t="s">
        <v>493</v>
      </c>
      <c r="C207" s="276">
        <v>185.95</v>
      </c>
      <c r="D207" s="277">
        <v>124</v>
      </c>
      <c r="E207" s="6">
        <f t="shared" si="25"/>
        <v>23057.8</v>
      </c>
      <c r="F207" s="6">
        <f t="shared" si="26"/>
        <v>1614.046</v>
      </c>
      <c r="G207" s="6">
        <f t="shared" si="27"/>
        <v>24671.845999999998</v>
      </c>
      <c r="H207" s="273" t="s">
        <v>392</v>
      </c>
      <c r="I207">
        <v>6904095</v>
      </c>
    </row>
    <row r="208" spans="1:9" ht="18" customHeight="1" x14ac:dyDescent="0.4">
      <c r="A208" s="4" t="s">
        <v>709</v>
      </c>
      <c r="B208" s="278" t="s">
        <v>722</v>
      </c>
      <c r="C208" s="279">
        <v>101.66</v>
      </c>
      <c r="D208" s="280">
        <v>110</v>
      </c>
      <c r="E208" s="6">
        <f t="shared" si="25"/>
        <v>11182.6</v>
      </c>
      <c r="F208" s="6">
        <f t="shared" si="26"/>
        <v>782.78200000000015</v>
      </c>
      <c r="G208" s="6">
        <f t="shared" si="27"/>
        <v>11965.382000000001</v>
      </c>
      <c r="H208" s="273" t="s">
        <v>392</v>
      </c>
      <c r="I208">
        <v>6904318</v>
      </c>
    </row>
    <row r="209" spans="1:9" ht="18" customHeight="1" x14ac:dyDescent="0.4">
      <c r="A209" s="4" t="s">
        <v>709</v>
      </c>
      <c r="B209" s="275" t="s">
        <v>189</v>
      </c>
      <c r="C209" s="276">
        <v>183.5</v>
      </c>
      <c r="D209" s="277">
        <v>124</v>
      </c>
      <c r="E209" s="6">
        <f t="shared" si="25"/>
        <v>22754</v>
      </c>
      <c r="F209" s="6">
        <f t="shared" si="26"/>
        <v>1592.7800000000002</v>
      </c>
      <c r="G209" s="6">
        <f t="shared" si="27"/>
        <v>24346.78</v>
      </c>
      <c r="H209" s="273" t="s">
        <v>392</v>
      </c>
      <c r="I209">
        <v>6904318</v>
      </c>
    </row>
    <row r="210" spans="1:9" ht="18" customHeight="1" x14ac:dyDescent="0.4">
      <c r="A210" s="4" t="s">
        <v>700</v>
      </c>
      <c r="B210" s="275" t="s">
        <v>288</v>
      </c>
      <c r="C210" s="276">
        <v>92.2</v>
      </c>
      <c r="D210" s="277">
        <v>132</v>
      </c>
      <c r="E210" s="6">
        <f t="shared" si="25"/>
        <v>12170.4</v>
      </c>
      <c r="F210" s="6">
        <f t="shared" si="26"/>
        <v>851.92800000000011</v>
      </c>
      <c r="G210" s="6">
        <f t="shared" si="27"/>
        <v>13022.328</v>
      </c>
      <c r="H210" s="273" t="s">
        <v>392</v>
      </c>
      <c r="I210">
        <v>6904334</v>
      </c>
    </row>
    <row r="211" spans="1:9" ht="18" customHeight="1" x14ac:dyDescent="0.4">
      <c r="A211" s="4" t="s">
        <v>709</v>
      </c>
      <c r="B211" s="278" t="s">
        <v>287</v>
      </c>
      <c r="C211" s="279">
        <v>182.9</v>
      </c>
      <c r="D211" s="280">
        <v>103</v>
      </c>
      <c r="E211" s="6">
        <f t="shared" si="25"/>
        <v>18838.7</v>
      </c>
      <c r="F211" s="6">
        <f t="shared" si="26"/>
        <v>1318.7090000000003</v>
      </c>
      <c r="G211" s="6">
        <f t="shared" si="27"/>
        <v>20157.409</v>
      </c>
      <c r="H211" s="273" t="s">
        <v>392</v>
      </c>
      <c r="I211">
        <v>6904319</v>
      </c>
    </row>
    <row r="212" spans="1:9" ht="18" customHeight="1" x14ac:dyDescent="0.4">
      <c r="A212" s="4" t="s">
        <v>689</v>
      </c>
      <c r="B212" s="275" t="s">
        <v>764</v>
      </c>
      <c r="C212" s="276">
        <v>84.75</v>
      </c>
      <c r="D212" s="277">
        <v>132</v>
      </c>
      <c r="E212" s="6">
        <f t="shared" si="25"/>
        <v>11187</v>
      </c>
      <c r="F212" s="6">
        <f t="shared" si="26"/>
        <v>783.09</v>
      </c>
      <c r="G212" s="6">
        <f t="shared" si="27"/>
        <v>11970.09</v>
      </c>
      <c r="H212" s="273" t="s">
        <v>392</v>
      </c>
      <c r="I212">
        <v>6904053</v>
      </c>
    </row>
    <row r="213" spans="1:9" ht="18" customHeight="1" x14ac:dyDescent="0.4">
      <c r="A213" s="4" t="s">
        <v>690</v>
      </c>
      <c r="B213" s="275" t="s">
        <v>764</v>
      </c>
      <c r="C213" s="276">
        <v>85.85</v>
      </c>
      <c r="D213" s="277">
        <v>132</v>
      </c>
      <c r="E213" s="6">
        <f t="shared" si="25"/>
        <v>11332.199999999999</v>
      </c>
      <c r="F213" s="6">
        <f t="shared" si="26"/>
        <v>793.25400000000002</v>
      </c>
      <c r="G213" s="6">
        <f t="shared" si="27"/>
        <v>12125.454</v>
      </c>
      <c r="H213" s="273" t="s">
        <v>392</v>
      </c>
      <c r="I213">
        <v>6904094</v>
      </c>
    </row>
    <row r="214" spans="1:9" ht="18" customHeight="1" x14ac:dyDescent="0.4">
      <c r="A214" s="4" t="s">
        <v>700</v>
      </c>
      <c r="B214" s="275" t="s">
        <v>129</v>
      </c>
      <c r="C214" s="276">
        <v>1891.6</v>
      </c>
      <c r="D214" s="277">
        <v>124</v>
      </c>
      <c r="E214" s="6">
        <f t="shared" si="25"/>
        <v>234558.4</v>
      </c>
      <c r="F214" s="6">
        <f t="shared" si="26"/>
        <v>16419.088</v>
      </c>
      <c r="G214" s="6">
        <f t="shared" si="27"/>
        <v>250977.48799999998</v>
      </c>
      <c r="H214" s="273" t="s">
        <v>392</v>
      </c>
      <c r="I214">
        <v>6904333</v>
      </c>
    </row>
    <row r="215" spans="1:9" ht="18" customHeight="1" x14ac:dyDescent="0.4">
      <c r="A215" s="4" t="s">
        <v>700</v>
      </c>
      <c r="B215" s="275" t="s">
        <v>497</v>
      </c>
      <c r="C215" s="276">
        <v>268.8</v>
      </c>
      <c r="D215" s="277">
        <v>124</v>
      </c>
      <c r="E215" s="6">
        <f t="shared" si="25"/>
        <v>33331.200000000004</v>
      </c>
      <c r="F215" s="6">
        <f t="shared" si="26"/>
        <v>2333.1840000000007</v>
      </c>
      <c r="G215" s="6">
        <f t="shared" si="27"/>
        <v>35664.384000000005</v>
      </c>
      <c r="H215" s="273" t="s">
        <v>392</v>
      </c>
      <c r="I215">
        <v>6904333</v>
      </c>
    </row>
    <row r="216" spans="1:9" ht="18" customHeight="1" x14ac:dyDescent="0.4">
      <c r="A216" s="4" t="s">
        <v>715</v>
      </c>
      <c r="B216" s="275" t="s">
        <v>34</v>
      </c>
      <c r="C216" s="276">
        <v>566.45000000000005</v>
      </c>
      <c r="D216" s="277">
        <v>124</v>
      </c>
      <c r="E216" s="6">
        <f t="shared" si="25"/>
        <v>70239.8</v>
      </c>
      <c r="F216" s="6">
        <f t="shared" si="26"/>
        <v>4916.786000000001</v>
      </c>
      <c r="G216" s="6">
        <f t="shared" si="27"/>
        <v>75156.58600000001</v>
      </c>
      <c r="H216" s="273" t="s">
        <v>392</v>
      </c>
      <c r="I216">
        <v>6904081</v>
      </c>
    </row>
    <row r="217" spans="1:9" ht="18" customHeight="1" x14ac:dyDescent="0.4">
      <c r="A217" s="4" t="s">
        <v>696</v>
      </c>
      <c r="B217" s="275" t="s">
        <v>34</v>
      </c>
      <c r="C217" s="276">
        <v>505.4</v>
      </c>
      <c r="D217" s="277">
        <v>124</v>
      </c>
      <c r="E217" s="6">
        <f t="shared" si="25"/>
        <v>62669.599999999999</v>
      </c>
      <c r="F217" s="6">
        <f t="shared" si="26"/>
        <v>4386.8720000000003</v>
      </c>
      <c r="G217" s="6">
        <f t="shared" si="27"/>
        <v>67056.471999999994</v>
      </c>
      <c r="H217" s="273" t="s">
        <v>392</v>
      </c>
      <c r="I217">
        <v>6904267</v>
      </c>
    </row>
    <row r="218" spans="1:9" ht="18" customHeight="1" x14ac:dyDescent="0.4">
      <c r="A218" s="16" t="s">
        <v>715</v>
      </c>
      <c r="B218" s="275" t="s">
        <v>35</v>
      </c>
      <c r="C218" s="276">
        <v>1684.7</v>
      </c>
      <c r="D218" s="277">
        <v>124</v>
      </c>
      <c r="E218" s="6">
        <f t="shared" si="25"/>
        <v>208902.80000000002</v>
      </c>
      <c r="F218" s="6">
        <f t="shared" si="26"/>
        <v>14623.196000000002</v>
      </c>
      <c r="G218" s="6">
        <f t="shared" si="27"/>
        <v>223525.99600000001</v>
      </c>
      <c r="H218" s="273" t="s">
        <v>392</v>
      </c>
      <c r="I218">
        <v>6904081</v>
      </c>
    </row>
    <row r="219" spans="1:9" ht="18" customHeight="1" x14ac:dyDescent="0.4">
      <c r="A219" s="16" t="s">
        <v>696</v>
      </c>
      <c r="B219" s="275" t="s">
        <v>35</v>
      </c>
      <c r="C219" s="276">
        <v>2050.4</v>
      </c>
      <c r="D219" s="277">
        <v>124</v>
      </c>
      <c r="E219" s="6">
        <f t="shared" si="25"/>
        <v>254249.60000000001</v>
      </c>
      <c r="F219" s="6">
        <f t="shared" si="26"/>
        <v>17797.472000000002</v>
      </c>
      <c r="G219" s="6">
        <f t="shared" si="27"/>
        <v>272047.07199999999</v>
      </c>
      <c r="H219" s="273" t="s">
        <v>392</v>
      </c>
      <c r="I219">
        <v>6904267</v>
      </c>
    </row>
    <row r="220" spans="1:9" ht="18" customHeight="1" x14ac:dyDescent="0.4">
      <c r="A220" s="16" t="s">
        <v>701</v>
      </c>
      <c r="B220" s="275" t="s">
        <v>35</v>
      </c>
      <c r="C220" s="276">
        <v>2059.75</v>
      </c>
      <c r="D220" s="277">
        <v>124</v>
      </c>
      <c r="E220" s="6">
        <f t="shared" si="25"/>
        <v>255409</v>
      </c>
      <c r="F220" s="6">
        <f t="shared" si="26"/>
        <v>17878.63</v>
      </c>
      <c r="G220" s="6">
        <f t="shared" si="27"/>
        <v>273287.63</v>
      </c>
      <c r="H220" s="273" t="s">
        <v>392</v>
      </c>
      <c r="I220">
        <v>6904346</v>
      </c>
    </row>
    <row r="221" spans="1:9" ht="18" customHeight="1" x14ac:dyDescent="0.4">
      <c r="A221" s="4" t="s">
        <v>689</v>
      </c>
      <c r="B221" s="275" t="s">
        <v>36</v>
      </c>
      <c r="C221" s="276">
        <v>467.7</v>
      </c>
      <c r="D221" s="277">
        <v>124</v>
      </c>
      <c r="E221" s="6">
        <f t="shared" si="25"/>
        <v>57994.799999999996</v>
      </c>
      <c r="F221" s="6">
        <f t="shared" si="26"/>
        <v>4059.636</v>
      </c>
      <c r="G221" s="6">
        <f t="shared" si="27"/>
        <v>62054.435999999994</v>
      </c>
      <c r="H221" s="273" t="s">
        <v>392</v>
      </c>
      <c r="I221">
        <v>6904051</v>
      </c>
    </row>
    <row r="222" spans="1:9" ht="18" customHeight="1" x14ac:dyDescent="0.4">
      <c r="A222" s="4" t="s">
        <v>707</v>
      </c>
      <c r="B222" s="275" t="s">
        <v>36</v>
      </c>
      <c r="C222" s="276">
        <v>465</v>
      </c>
      <c r="D222" s="277">
        <v>124</v>
      </c>
      <c r="E222" s="6">
        <f t="shared" si="25"/>
        <v>57660</v>
      </c>
      <c r="F222" s="6">
        <f t="shared" si="26"/>
        <v>4036.2000000000003</v>
      </c>
      <c r="G222" s="6">
        <f t="shared" si="27"/>
        <v>61696.2</v>
      </c>
      <c r="H222" s="273" t="s">
        <v>392</v>
      </c>
      <c r="I222">
        <v>6904125</v>
      </c>
    </row>
    <row r="223" spans="1:9" ht="18" customHeight="1" x14ac:dyDescent="0.4">
      <c r="A223" s="4" t="s">
        <v>696</v>
      </c>
      <c r="B223" s="275" t="s">
        <v>36</v>
      </c>
      <c r="C223" s="276">
        <v>1026.6500000000001</v>
      </c>
      <c r="D223" s="277">
        <v>124</v>
      </c>
      <c r="E223" s="6">
        <f t="shared" si="25"/>
        <v>127304.6</v>
      </c>
      <c r="F223" s="6">
        <f t="shared" si="26"/>
        <v>8911.3220000000019</v>
      </c>
      <c r="G223" s="6">
        <f t="shared" si="27"/>
        <v>136215.92200000002</v>
      </c>
      <c r="H223" s="273" t="s">
        <v>392</v>
      </c>
      <c r="I223">
        <v>6904266</v>
      </c>
    </row>
    <row r="224" spans="1:9" ht="18" customHeight="1" x14ac:dyDescent="0.4">
      <c r="A224" s="16" t="s">
        <v>715</v>
      </c>
      <c r="B224" s="275" t="s">
        <v>206</v>
      </c>
      <c r="C224" s="276">
        <v>763.93</v>
      </c>
      <c r="D224" s="277">
        <v>124</v>
      </c>
      <c r="E224" s="6">
        <f t="shared" si="25"/>
        <v>94727.319999999992</v>
      </c>
      <c r="F224" s="6">
        <f t="shared" si="26"/>
        <v>6630.9124000000002</v>
      </c>
      <c r="G224" s="6">
        <f t="shared" si="27"/>
        <v>101358.23239999999</v>
      </c>
      <c r="H224" s="273" t="s">
        <v>392</v>
      </c>
      <c r="I224">
        <v>6904080</v>
      </c>
    </row>
    <row r="225" spans="1:9" ht="18" customHeight="1" x14ac:dyDescent="0.4">
      <c r="A225" s="16" t="s">
        <v>685</v>
      </c>
      <c r="B225" s="275" t="s">
        <v>627</v>
      </c>
      <c r="C225" s="276">
        <v>390.74</v>
      </c>
      <c r="D225" s="277">
        <v>124</v>
      </c>
      <c r="E225" s="6">
        <f t="shared" si="25"/>
        <v>48451.76</v>
      </c>
      <c r="F225" s="6">
        <f t="shared" si="26"/>
        <v>3391.6232000000005</v>
      </c>
      <c r="G225" s="6">
        <f t="shared" si="27"/>
        <v>51843.383200000004</v>
      </c>
      <c r="H225" s="273" t="s">
        <v>392</v>
      </c>
      <c r="I225">
        <v>6904142</v>
      </c>
    </row>
    <row r="226" spans="1:9" ht="18" customHeight="1" x14ac:dyDescent="0.4">
      <c r="A226" s="16" t="s">
        <v>685</v>
      </c>
      <c r="B226" s="275" t="s">
        <v>156</v>
      </c>
      <c r="C226" s="276">
        <v>187.52</v>
      </c>
      <c r="D226" s="277">
        <v>124</v>
      </c>
      <c r="E226" s="6">
        <f t="shared" si="25"/>
        <v>23252.48</v>
      </c>
      <c r="F226" s="6">
        <f t="shared" si="26"/>
        <v>1627.6736000000001</v>
      </c>
      <c r="G226" s="6">
        <f t="shared" si="27"/>
        <v>24880.153599999998</v>
      </c>
      <c r="H226" s="273" t="s">
        <v>392</v>
      </c>
      <c r="I226">
        <v>6904139</v>
      </c>
    </row>
    <row r="227" spans="1:9" ht="18" customHeight="1" x14ac:dyDescent="0.4">
      <c r="A227" s="16" t="s">
        <v>689</v>
      </c>
      <c r="B227" s="275" t="s">
        <v>222</v>
      </c>
      <c r="C227" s="276">
        <v>595.80999999999995</v>
      </c>
      <c r="D227" s="277">
        <v>124</v>
      </c>
      <c r="E227" s="6">
        <f t="shared" si="25"/>
        <v>73880.439999999988</v>
      </c>
      <c r="F227" s="6">
        <f t="shared" si="26"/>
        <v>5171.6307999999999</v>
      </c>
      <c r="G227" s="6">
        <f t="shared" si="27"/>
        <v>79052.070799999987</v>
      </c>
      <c r="H227" s="273" t="s">
        <v>392</v>
      </c>
      <c r="I227">
        <v>6904058</v>
      </c>
    </row>
    <row r="228" spans="1:9" ht="18" customHeight="1" x14ac:dyDescent="0.4">
      <c r="A228" s="16" t="s">
        <v>690</v>
      </c>
      <c r="B228" s="275" t="s">
        <v>141</v>
      </c>
      <c r="C228" s="276">
        <v>1020.83</v>
      </c>
      <c r="D228" s="277">
        <v>124</v>
      </c>
      <c r="E228" s="6">
        <f t="shared" si="25"/>
        <v>126582.92</v>
      </c>
      <c r="F228" s="6">
        <f t="shared" si="26"/>
        <v>8860.8044000000009</v>
      </c>
      <c r="G228" s="6">
        <f t="shared" si="27"/>
        <v>135443.72440000001</v>
      </c>
      <c r="H228" s="273" t="s">
        <v>392</v>
      </c>
      <c r="I228">
        <v>6904093</v>
      </c>
    </row>
    <row r="229" spans="1:9" ht="18" customHeight="1" x14ac:dyDescent="0.4">
      <c r="A229" s="16" t="s">
        <v>715</v>
      </c>
      <c r="B229" s="275" t="s">
        <v>141</v>
      </c>
      <c r="C229" s="276">
        <v>192.47</v>
      </c>
      <c r="D229" s="277">
        <v>124</v>
      </c>
      <c r="E229" s="6">
        <f t="shared" si="25"/>
        <v>23866.28</v>
      </c>
      <c r="F229" s="6">
        <f t="shared" si="26"/>
        <v>1670.6396</v>
      </c>
      <c r="G229" s="6">
        <f t="shared" si="27"/>
        <v>25536.919599999997</v>
      </c>
      <c r="H229" s="273" t="s">
        <v>392</v>
      </c>
      <c r="I229">
        <v>6904079</v>
      </c>
    </row>
    <row r="230" spans="1:9" ht="18" customHeight="1" x14ac:dyDescent="0.4">
      <c r="A230" s="16" t="s">
        <v>685</v>
      </c>
      <c r="B230" s="275" t="s">
        <v>141</v>
      </c>
      <c r="C230" s="276">
        <v>389.59</v>
      </c>
      <c r="D230" s="277">
        <v>124</v>
      </c>
      <c r="E230" s="6">
        <f t="shared" si="25"/>
        <v>48309.159999999996</v>
      </c>
      <c r="F230" s="6">
        <f t="shared" si="26"/>
        <v>3381.6412</v>
      </c>
      <c r="G230" s="6">
        <f t="shared" si="27"/>
        <v>51690.801199999994</v>
      </c>
      <c r="H230" s="273" t="s">
        <v>392</v>
      </c>
      <c r="I230">
        <v>6904143</v>
      </c>
    </row>
    <row r="231" spans="1:9" ht="18" customHeight="1" x14ac:dyDescent="0.4">
      <c r="A231" s="16" t="s">
        <v>689</v>
      </c>
      <c r="B231" s="275" t="s">
        <v>245</v>
      </c>
      <c r="C231" s="276">
        <v>286.27999999999997</v>
      </c>
      <c r="D231" s="277">
        <v>124</v>
      </c>
      <c r="E231" s="6">
        <f t="shared" si="25"/>
        <v>35498.719999999994</v>
      </c>
      <c r="F231" s="6">
        <f t="shared" si="26"/>
        <v>2484.9103999999998</v>
      </c>
      <c r="G231" s="6">
        <f t="shared" si="27"/>
        <v>37983.630399999995</v>
      </c>
      <c r="H231" s="273" t="s">
        <v>392</v>
      </c>
      <c r="I231">
        <v>6904061</v>
      </c>
    </row>
    <row r="232" spans="1:9" ht="18" customHeight="1" x14ac:dyDescent="0.4">
      <c r="A232" s="16" t="s">
        <v>685</v>
      </c>
      <c r="B232" s="275" t="s">
        <v>628</v>
      </c>
      <c r="C232" s="276">
        <v>285.98</v>
      </c>
      <c r="D232" s="277">
        <v>124</v>
      </c>
      <c r="E232" s="6">
        <f t="shared" si="25"/>
        <v>35461.520000000004</v>
      </c>
      <c r="F232" s="6">
        <f t="shared" si="26"/>
        <v>2482.3064000000004</v>
      </c>
      <c r="G232" s="6">
        <f t="shared" si="27"/>
        <v>37943.826400000005</v>
      </c>
      <c r="H232" s="273" t="s">
        <v>392</v>
      </c>
      <c r="I232">
        <v>6904141</v>
      </c>
    </row>
    <row r="233" spans="1:9" ht="18" customHeight="1" x14ac:dyDescent="0.4">
      <c r="A233" s="16" t="s">
        <v>697</v>
      </c>
      <c r="B233" s="275" t="s">
        <v>628</v>
      </c>
      <c r="C233" s="276">
        <v>4503.29</v>
      </c>
      <c r="D233" s="277">
        <v>124</v>
      </c>
      <c r="E233" s="6">
        <f t="shared" si="25"/>
        <v>558407.96</v>
      </c>
      <c r="F233" s="6">
        <f t="shared" si="26"/>
        <v>39088.557200000003</v>
      </c>
      <c r="G233" s="6">
        <f t="shared" si="27"/>
        <v>597496.5172</v>
      </c>
      <c r="H233" s="273" t="s">
        <v>392</v>
      </c>
      <c r="I233">
        <v>6904283</v>
      </c>
    </row>
    <row r="234" spans="1:9" ht="18" customHeight="1" x14ac:dyDescent="0.4">
      <c r="A234" s="16" t="s">
        <v>689</v>
      </c>
      <c r="B234" s="275" t="s">
        <v>193</v>
      </c>
      <c r="C234" s="276">
        <v>1464.7</v>
      </c>
      <c r="D234" s="277">
        <v>123</v>
      </c>
      <c r="E234" s="6">
        <f t="shared" si="25"/>
        <v>180158.1</v>
      </c>
      <c r="F234" s="6">
        <f t="shared" si="26"/>
        <v>12611.067000000001</v>
      </c>
      <c r="G234" s="6">
        <f t="shared" si="27"/>
        <v>192769.16700000002</v>
      </c>
      <c r="H234" s="273" t="s">
        <v>392</v>
      </c>
      <c r="I234">
        <v>6904062</v>
      </c>
    </row>
    <row r="235" spans="1:9" ht="18" customHeight="1" x14ac:dyDescent="0.4">
      <c r="A235" s="4" t="s">
        <v>689</v>
      </c>
      <c r="B235" s="275" t="s">
        <v>205</v>
      </c>
      <c r="C235" s="276">
        <v>875.04</v>
      </c>
      <c r="D235" s="277">
        <v>123</v>
      </c>
      <c r="E235" s="6">
        <f t="shared" si="25"/>
        <v>107629.92</v>
      </c>
      <c r="F235" s="6">
        <f t="shared" si="26"/>
        <v>7534.0944000000009</v>
      </c>
      <c r="G235" s="6">
        <f t="shared" si="27"/>
        <v>115164.0144</v>
      </c>
      <c r="H235" s="273" t="s">
        <v>392</v>
      </c>
      <c r="I235">
        <v>6904063</v>
      </c>
    </row>
    <row r="236" spans="1:9" ht="18" customHeight="1" x14ac:dyDescent="0.4">
      <c r="A236" s="4" t="s">
        <v>689</v>
      </c>
      <c r="B236" s="275" t="s">
        <v>163</v>
      </c>
      <c r="C236" s="276">
        <v>383.59</v>
      </c>
      <c r="D236" s="277">
        <v>124</v>
      </c>
      <c r="E236" s="6">
        <f t="shared" si="25"/>
        <v>47565.159999999996</v>
      </c>
      <c r="F236" s="6">
        <f t="shared" si="26"/>
        <v>3329.5612000000001</v>
      </c>
      <c r="G236" s="6">
        <f t="shared" si="27"/>
        <v>50894.7212</v>
      </c>
      <c r="H236" s="273" t="s">
        <v>392</v>
      </c>
      <c r="I236">
        <v>6904060</v>
      </c>
    </row>
    <row r="237" spans="1:9" ht="18" customHeight="1" x14ac:dyDescent="0.4">
      <c r="A237" s="4" t="s">
        <v>685</v>
      </c>
      <c r="B237" s="275" t="s">
        <v>163</v>
      </c>
      <c r="C237" s="276">
        <v>778.23</v>
      </c>
      <c r="D237" s="277">
        <v>124</v>
      </c>
      <c r="E237" s="6">
        <f t="shared" si="25"/>
        <v>96500.52</v>
      </c>
      <c r="F237" s="6">
        <f t="shared" si="26"/>
        <v>6755.0364000000009</v>
      </c>
      <c r="G237" s="6">
        <f t="shared" si="27"/>
        <v>103255.5564</v>
      </c>
      <c r="H237" s="273" t="s">
        <v>392</v>
      </c>
      <c r="I237">
        <v>6904140</v>
      </c>
    </row>
    <row r="238" spans="1:9" ht="18" customHeight="1" x14ac:dyDescent="0.4">
      <c r="A238" s="16" t="s">
        <v>689</v>
      </c>
      <c r="B238" s="275" t="s">
        <v>40</v>
      </c>
      <c r="C238" s="276">
        <v>488.2</v>
      </c>
      <c r="D238" s="277">
        <v>123</v>
      </c>
      <c r="E238" s="6">
        <f t="shared" si="25"/>
        <v>60048.6</v>
      </c>
      <c r="F238" s="6">
        <f t="shared" si="26"/>
        <v>4203.402</v>
      </c>
      <c r="G238" s="6">
        <f t="shared" si="27"/>
        <v>64252.002</v>
      </c>
      <c r="H238" s="273" t="s">
        <v>392</v>
      </c>
      <c r="I238">
        <v>6904054</v>
      </c>
    </row>
    <row r="239" spans="1:9" ht="18" customHeight="1" x14ac:dyDescent="0.4">
      <c r="A239" s="4" t="s">
        <v>689</v>
      </c>
      <c r="B239" s="275" t="s">
        <v>230</v>
      </c>
      <c r="C239" s="276">
        <v>866.94</v>
      </c>
      <c r="D239" s="277">
        <v>124</v>
      </c>
      <c r="E239" s="6">
        <f t="shared" si="25"/>
        <v>107500.56000000001</v>
      </c>
      <c r="F239" s="6">
        <f t="shared" si="26"/>
        <v>7525.039200000002</v>
      </c>
      <c r="G239" s="6">
        <f t="shared" si="27"/>
        <v>115025.59920000001</v>
      </c>
      <c r="H239" s="273" t="s">
        <v>392</v>
      </c>
      <c r="I239">
        <v>6904059</v>
      </c>
    </row>
    <row r="240" spans="1:9" ht="18" customHeight="1" x14ac:dyDescent="0.4">
      <c r="A240" s="4" t="s">
        <v>708</v>
      </c>
      <c r="B240" s="275" t="s">
        <v>124</v>
      </c>
      <c r="C240" s="276">
        <v>389.09</v>
      </c>
      <c r="D240" s="277">
        <v>124</v>
      </c>
      <c r="E240" s="6">
        <f t="shared" si="25"/>
        <v>48247.159999999996</v>
      </c>
      <c r="F240" s="6">
        <f t="shared" si="26"/>
        <v>3377.3011999999999</v>
      </c>
      <c r="G240" s="6">
        <f t="shared" si="27"/>
        <v>51624.461199999998</v>
      </c>
      <c r="H240" s="273" t="s">
        <v>392</v>
      </c>
      <c r="I240">
        <v>6904222</v>
      </c>
    </row>
    <row r="241" spans="1:9" ht="18" customHeight="1" x14ac:dyDescent="0.4">
      <c r="A241" s="4" t="s">
        <v>685</v>
      </c>
      <c r="B241" s="275" t="s">
        <v>765</v>
      </c>
      <c r="C241" s="276">
        <v>283.43</v>
      </c>
      <c r="D241" s="277">
        <v>123</v>
      </c>
      <c r="E241" s="6">
        <f t="shared" si="25"/>
        <v>34861.89</v>
      </c>
      <c r="F241" s="6">
        <f t="shared" si="26"/>
        <v>2440.3323</v>
      </c>
      <c r="G241" s="6">
        <f t="shared" si="27"/>
        <v>37302.222300000001</v>
      </c>
      <c r="H241" s="273" t="s">
        <v>392</v>
      </c>
      <c r="I241">
        <v>6904144</v>
      </c>
    </row>
    <row r="242" spans="1:9" ht="18" customHeight="1" x14ac:dyDescent="0.4">
      <c r="A242" s="4" t="s">
        <v>689</v>
      </c>
      <c r="B242" s="275" t="s">
        <v>766</v>
      </c>
      <c r="C242" s="276">
        <v>194.37</v>
      </c>
      <c r="D242" s="277">
        <v>124</v>
      </c>
      <c r="E242" s="6">
        <f t="shared" si="25"/>
        <v>24101.88</v>
      </c>
      <c r="F242" s="6">
        <f t="shared" si="26"/>
        <v>1687.1316000000002</v>
      </c>
      <c r="G242" s="6">
        <f t="shared" si="27"/>
        <v>25789.011600000002</v>
      </c>
      <c r="H242" s="273" t="s">
        <v>392</v>
      </c>
      <c r="I242">
        <v>6904069</v>
      </c>
    </row>
    <row r="243" spans="1:9" ht="18" customHeight="1" thickBot="1" x14ac:dyDescent="0.35">
      <c r="A243" s="61"/>
      <c r="B243" s="17" t="s">
        <v>15</v>
      </c>
      <c r="C243" s="18">
        <f>SUM(C197:C242)</f>
        <v>33662.630000000012</v>
      </c>
      <c r="D243" s="66"/>
      <c r="E243" s="20">
        <f>SUM(E197:E242)</f>
        <v>3762309.2700000005</v>
      </c>
      <c r="F243" s="20">
        <f>SUM(F197:F242)</f>
        <v>263361.64890000009</v>
      </c>
      <c r="G243" s="20">
        <f>SUM(G197:G242)</f>
        <v>4025670.9189000009</v>
      </c>
    </row>
    <row r="244" spans="1:9" ht="61.5" customHeight="1" thickTop="1" x14ac:dyDescent="0.3">
      <c r="A244" s="67"/>
      <c r="B244" s="68"/>
      <c r="C244" s="69"/>
      <c r="D244" s="88"/>
      <c r="E244" s="187"/>
      <c r="F244" s="187"/>
      <c r="G244" s="187"/>
    </row>
    <row r="245" spans="1:9" s="30" customFormat="1" ht="23.25" x14ac:dyDescent="0.5">
      <c r="A245" s="359" t="s">
        <v>43</v>
      </c>
      <c r="B245" s="359"/>
      <c r="C245" s="359"/>
      <c r="D245" s="359"/>
      <c r="E245" s="359"/>
      <c r="F245" s="359"/>
      <c r="G245" s="359"/>
    </row>
    <row r="246" spans="1:9" s="30" customFormat="1" ht="18" customHeight="1" x14ac:dyDescent="0.5">
      <c r="A246" s="1" t="s">
        <v>2</v>
      </c>
      <c r="B246" s="2" t="s">
        <v>3</v>
      </c>
      <c r="C246" s="307" t="s">
        <v>44</v>
      </c>
      <c r="D246" s="3" t="s">
        <v>5</v>
      </c>
      <c r="E246" s="2" t="s">
        <v>6</v>
      </c>
      <c r="F246" s="2" t="s">
        <v>7</v>
      </c>
      <c r="G246" s="2" t="s">
        <v>8</v>
      </c>
    </row>
    <row r="247" spans="1:9" ht="18" customHeight="1" x14ac:dyDescent="0.4">
      <c r="A247" s="4" t="s">
        <v>687</v>
      </c>
      <c r="B247" s="5" t="s">
        <v>45</v>
      </c>
      <c r="C247" s="6">
        <v>146400</v>
      </c>
      <c r="D247" s="72">
        <v>0.77</v>
      </c>
      <c r="E247" s="60">
        <f t="shared" ref="E247:E266" si="31">+C247*D247</f>
        <v>112728</v>
      </c>
      <c r="F247" s="60">
        <f t="shared" ref="F247:F266" si="32">+E247*7%</f>
        <v>7890.9600000000009</v>
      </c>
      <c r="G247" s="60">
        <f t="shared" ref="G247:G266" si="33">+E247+F247</f>
        <v>120618.96</v>
      </c>
      <c r="I247">
        <v>6904037</v>
      </c>
    </row>
    <row r="248" spans="1:9" s="30" customFormat="1" ht="18" customHeight="1" x14ac:dyDescent="0.5">
      <c r="A248" s="4" t="s">
        <v>715</v>
      </c>
      <c r="B248" s="5" t="s">
        <v>45</v>
      </c>
      <c r="C248" s="6">
        <v>108000</v>
      </c>
      <c r="D248" s="72">
        <v>0.77</v>
      </c>
      <c r="E248" s="8">
        <f t="shared" si="31"/>
        <v>83160</v>
      </c>
      <c r="F248" s="8">
        <f t="shared" si="32"/>
        <v>5821.2000000000007</v>
      </c>
      <c r="G248" s="8">
        <f t="shared" si="33"/>
        <v>88981.2</v>
      </c>
      <c r="I248" s="30">
        <v>6904077</v>
      </c>
    </row>
    <row r="249" spans="1:9" s="30" customFormat="1" ht="18" customHeight="1" x14ac:dyDescent="0.5">
      <c r="A249" s="11" t="s">
        <v>707</v>
      </c>
      <c r="B249" s="5" t="s">
        <v>45</v>
      </c>
      <c r="C249" s="6">
        <v>216000</v>
      </c>
      <c r="D249" s="72">
        <v>0.77</v>
      </c>
      <c r="E249" s="60">
        <f t="shared" si="31"/>
        <v>166320</v>
      </c>
      <c r="F249" s="60">
        <f t="shared" si="32"/>
        <v>11642.400000000001</v>
      </c>
      <c r="G249" s="60">
        <f t="shared" si="33"/>
        <v>177962.4</v>
      </c>
      <c r="I249" s="30">
        <v>6904116</v>
      </c>
    </row>
    <row r="250" spans="1:9" s="30" customFormat="1" ht="18" customHeight="1" x14ac:dyDescent="0.5">
      <c r="A250" s="11" t="s">
        <v>692</v>
      </c>
      <c r="B250" s="5" t="s">
        <v>45</v>
      </c>
      <c r="C250" s="6">
        <v>108000</v>
      </c>
      <c r="D250" s="72">
        <v>0.77</v>
      </c>
      <c r="E250" s="8">
        <f t="shared" si="31"/>
        <v>83160</v>
      </c>
      <c r="F250" s="8">
        <f t="shared" si="32"/>
        <v>5821.2000000000007</v>
      </c>
      <c r="G250" s="8">
        <f t="shared" si="33"/>
        <v>88981.2</v>
      </c>
      <c r="I250" s="30">
        <v>6904161</v>
      </c>
    </row>
    <row r="251" spans="1:9" s="30" customFormat="1" ht="18" customHeight="1" x14ac:dyDescent="0.5">
      <c r="A251" s="11" t="s">
        <v>694</v>
      </c>
      <c r="B251" s="5" t="s">
        <v>45</v>
      </c>
      <c r="C251" s="6">
        <v>108000</v>
      </c>
      <c r="D251" s="72">
        <v>0.77</v>
      </c>
      <c r="E251" s="8">
        <f t="shared" si="31"/>
        <v>83160</v>
      </c>
      <c r="F251" s="8">
        <f t="shared" si="32"/>
        <v>5821.2000000000007</v>
      </c>
      <c r="G251" s="8">
        <f t="shared" si="33"/>
        <v>88981.2</v>
      </c>
      <c r="I251" s="30">
        <v>6904192</v>
      </c>
    </row>
    <row r="252" spans="1:9" s="30" customFormat="1" ht="18" customHeight="1" x14ac:dyDescent="0.5">
      <c r="A252" s="11" t="s">
        <v>696</v>
      </c>
      <c r="B252" s="5" t="s">
        <v>45</v>
      </c>
      <c r="C252" s="6">
        <v>108000</v>
      </c>
      <c r="D252" s="72">
        <v>0.77</v>
      </c>
      <c r="E252" s="8">
        <f t="shared" si="31"/>
        <v>83160</v>
      </c>
      <c r="F252" s="8">
        <f t="shared" si="32"/>
        <v>5821.2000000000007</v>
      </c>
      <c r="G252" s="8">
        <f t="shared" si="33"/>
        <v>88981.2</v>
      </c>
      <c r="I252" s="30">
        <v>6904258</v>
      </c>
    </row>
    <row r="253" spans="1:9" s="30" customFormat="1" ht="18" customHeight="1" x14ac:dyDescent="0.5">
      <c r="A253" s="11" t="s">
        <v>699</v>
      </c>
      <c r="B253" s="5" t="s">
        <v>45</v>
      </c>
      <c r="C253" s="6">
        <v>108000</v>
      </c>
      <c r="D253" s="72">
        <v>0.9</v>
      </c>
      <c r="E253" s="8">
        <f t="shared" si="31"/>
        <v>97200</v>
      </c>
      <c r="F253" s="8">
        <f t="shared" si="32"/>
        <v>6804.0000000000009</v>
      </c>
      <c r="G253" s="8">
        <f t="shared" si="33"/>
        <v>104004</v>
      </c>
      <c r="I253" s="30">
        <v>6904288</v>
      </c>
    </row>
    <row r="254" spans="1:9" s="30" customFormat="1" ht="18" customHeight="1" x14ac:dyDescent="0.5">
      <c r="A254" s="11" t="s">
        <v>700</v>
      </c>
      <c r="B254" s="5" t="s">
        <v>45</v>
      </c>
      <c r="C254" s="6">
        <v>108000</v>
      </c>
      <c r="D254" s="72">
        <v>0.9</v>
      </c>
      <c r="E254" s="8">
        <f t="shared" si="31"/>
        <v>97200</v>
      </c>
      <c r="F254" s="8">
        <f t="shared" si="32"/>
        <v>6804.0000000000009</v>
      </c>
      <c r="G254" s="8">
        <f t="shared" si="33"/>
        <v>104004</v>
      </c>
      <c r="I254" s="30">
        <v>6904328</v>
      </c>
    </row>
    <row r="255" spans="1:9" s="30" customFormat="1" ht="18" customHeight="1" x14ac:dyDescent="0.5">
      <c r="A255" s="11" t="s">
        <v>687</v>
      </c>
      <c r="B255" s="5" t="s">
        <v>46</v>
      </c>
      <c r="C255" s="60">
        <v>184800</v>
      </c>
      <c r="D255" s="72">
        <v>0.85</v>
      </c>
      <c r="E255" s="8">
        <f t="shared" si="31"/>
        <v>157080</v>
      </c>
      <c r="F255" s="8">
        <f t="shared" si="32"/>
        <v>10995.6</v>
      </c>
      <c r="G255" s="8">
        <f t="shared" si="33"/>
        <v>168075.6</v>
      </c>
      <c r="I255" s="30">
        <v>6904036</v>
      </c>
    </row>
    <row r="256" spans="1:9" s="30" customFormat="1" ht="18" customHeight="1" x14ac:dyDescent="0.5">
      <c r="A256" s="11" t="s">
        <v>689</v>
      </c>
      <c r="B256" s="5" t="s">
        <v>46</v>
      </c>
      <c r="C256" s="60">
        <v>184800</v>
      </c>
      <c r="D256" s="72">
        <v>0.85</v>
      </c>
      <c r="E256" s="8">
        <f t="shared" si="31"/>
        <v>157080</v>
      </c>
      <c r="F256" s="8">
        <f t="shared" si="32"/>
        <v>10995.6</v>
      </c>
      <c r="G256" s="8">
        <f t="shared" si="33"/>
        <v>168075.6</v>
      </c>
      <c r="I256" s="30">
        <v>6904043</v>
      </c>
    </row>
    <row r="257" spans="1:9" s="30" customFormat="1" ht="18" customHeight="1" x14ac:dyDescent="0.5">
      <c r="A257" s="11" t="s">
        <v>715</v>
      </c>
      <c r="B257" s="5" t="s">
        <v>46</v>
      </c>
      <c r="C257" s="60">
        <v>369600</v>
      </c>
      <c r="D257" s="72">
        <v>0.85</v>
      </c>
      <c r="E257" s="8">
        <f t="shared" si="31"/>
        <v>314160</v>
      </c>
      <c r="F257" s="8">
        <f t="shared" si="32"/>
        <v>21991.200000000001</v>
      </c>
      <c r="G257" s="8">
        <f t="shared" si="33"/>
        <v>336151.2</v>
      </c>
      <c r="I257" s="30">
        <v>6904076</v>
      </c>
    </row>
    <row r="258" spans="1:9" s="30" customFormat="1" ht="18" customHeight="1" x14ac:dyDescent="0.5">
      <c r="A258" s="11" t="s">
        <v>723</v>
      </c>
      <c r="B258" s="5" t="s">
        <v>46</v>
      </c>
      <c r="C258" s="60">
        <v>184800</v>
      </c>
      <c r="D258" s="72">
        <v>0.85</v>
      </c>
      <c r="E258" s="8">
        <f t="shared" si="31"/>
        <v>157080</v>
      </c>
      <c r="F258" s="8">
        <f t="shared" si="32"/>
        <v>10995.6</v>
      </c>
      <c r="G258" s="8">
        <f t="shared" si="33"/>
        <v>168075.6</v>
      </c>
      <c r="I258" s="30">
        <v>6904090</v>
      </c>
    </row>
    <row r="259" spans="1:9" s="30" customFormat="1" ht="18" customHeight="1" x14ac:dyDescent="0.5">
      <c r="A259" s="11" t="s">
        <v>685</v>
      </c>
      <c r="B259" s="5" t="s">
        <v>46</v>
      </c>
      <c r="C259" s="60">
        <v>408000</v>
      </c>
      <c r="D259" s="72">
        <v>0.85</v>
      </c>
      <c r="E259" s="8">
        <f t="shared" si="31"/>
        <v>346800</v>
      </c>
      <c r="F259" s="8">
        <f t="shared" si="32"/>
        <v>24276.000000000004</v>
      </c>
      <c r="G259" s="8">
        <f t="shared" si="33"/>
        <v>371076</v>
      </c>
      <c r="I259" s="30">
        <v>6904131</v>
      </c>
    </row>
    <row r="260" spans="1:9" s="30" customFormat="1" ht="18" customHeight="1" x14ac:dyDescent="0.5">
      <c r="A260" s="11" t="s">
        <v>707</v>
      </c>
      <c r="B260" s="5" t="s">
        <v>46</v>
      </c>
      <c r="C260" s="60">
        <v>184800</v>
      </c>
      <c r="D260" s="72">
        <v>0.85</v>
      </c>
      <c r="E260" s="8">
        <f t="shared" si="31"/>
        <v>157080</v>
      </c>
      <c r="F260" s="8">
        <f t="shared" si="32"/>
        <v>10995.6</v>
      </c>
      <c r="G260" s="8">
        <f t="shared" si="33"/>
        <v>168075.6</v>
      </c>
      <c r="I260" s="30">
        <v>6904115</v>
      </c>
    </row>
    <row r="261" spans="1:9" s="30" customFormat="1" ht="18" customHeight="1" x14ac:dyDescent="0.5">
      <c r="A261" s="11" t="s">
        <v>692</v>
      </c>
      <c r="B261" s="5" t="s">
        <v>46</v>
      </c>
      <c r="C261" s="60">
        <v>638400</v>
      </c>
      <c r="D261" s="72">
        <v>0.85</v>
      </c>
      <c r="E261" s="8">
        <f t="shared" si="31"/>
        <v>542640</v>
      </c>
      <c r="F261" s="8">
        <f t="shared" si="32"/>
        <v>37984.800000000003</v>
      </c>
      <c r="G261" s="8">
        <f t="shared" si="33"/>
        <v>580624.80000000005</v>
      </c>
      <c r="I261" s="30">
        <v>6904160</v>
      </c>
    </row>
    <row r="262" spans="1:9" s="30" customFormat="1" ht="18" customHeight="1" x14ac:dyDescent="0.5">
      <c r="A262" s="11" t="s">
        <v>694</v>
      </c>
      <c r="B262" s="5" t="s">
        <v>46</v>
      </c>
      <c r="C262" s="60">
        <v>309600</v>
      </c>
      <c r="D262" s="72">
        <v>0.85</v>
      </c>
      <c r="E262" s="8">
        <f t="shared" si="31"/>
        <v>263160</v>
      </c>
      <c r="F262" s="8">
        <f t="shared" si="32"/>
        <v>18421.2</v>
      </c>
      <c r="G262" s="8">
        <f t="shared" si="33"/>
        <v>281581.2</v>
      </c>
      <c r="I262" s="30">
        <v>6904193</v>
      </c>
    </row>
    <row r="263" spans="1:9" s="30" customFormat="1" ht="18" customHeight="1" x14ac:dyDescent="0.5">
      <c r="A263" s="11" t="s">
        <v>708</v>
      </c>
      <c r="B263" s="5" t="s">
        <v>46</v>
      </c>
      <c r="C263" s="60">
        <v>314400</v>
      </c>
      <c r="D263" s="72">
        <v>0.85</v>
      </c>
      <c r="E263" s="8">
        <f t="shared" si="31"/>
        <v>267240</v>
      </c>
      <c r="F263" s="8">
        <f t="shared" si="32"/>
        <v>18706.800000000003</v>
      </c>
      <c r="G263" s="8">
        <f t="shared" si="33"/>
        <v>285946.8</v>
      </c>
      <c r="I263" s="30">
        <v>6904209</v>
      </c>
    </row>
    <row r="264" spans="1:9" s="30" customFormat="1" ht="18" customHeight="1" x14ac:dyDescent="0.5">
      <c r="A264" s="11" t="s">
        <v>696</v>
      </c>
      <c r="B264" s="5" t="s">
        <v>46</v>
      </c>
      <c r="C264" s="60">
        <v>184800</v>
      </c>
      <c r="D264" s="72">
        <v>0.85</v>
      </c>
      <c r="E264" s="8">
        <f t="shared" si="31"/>
        <v>157080</v>
      </c>
      <c r="F264" s="8">
        <f t="shared" si="32"/>
        <v>10995.6</v>
      </c>
      <c r="G264" s="8">
        <f t="shared" si="33"/>
        <v>168075.6</v>
      </c>
      <c r="I264" s="30">
        <v>6904259</v>
      </c>
    </row>
    <row r="265" spans="1:9" s="30" customFormat="1" ht="18" customHeight="1" x14ac:dyDescent="0.5">
      <c r="A265" s="11" t="s">
        <v>698</v>
      </c>
      <c r="B265" s="5" t="s">
        <v>46</v>
      </c>
      <c r="C265" s="60">
        <v>307200</v>
      </c>
      <c r="D265" s="72">
        <v>1</v>
      </c>
      <c r="E265" s="8">
        <f t="shared" si="31"/>
        <v>307200</v>
      </c>
      <c r="F265" s="8">
        <f t="shared" si="32"/>
        <v>21504.000000000004</v>
      </c>
      <c r="G265" s="8">
        <f t="shared" si="33"/>
        <v>328704</v>
      </c>
      <c r="I265" s="30">
        <v>6904303</v>
      </c>
    </row>
    <row r="266" spans="1:9" s="30" customFormat="1" ht="18" customHeight="1" x14ac:dyDescent="0.5">
      <c r="A266" s="11" t="s">
        <v>700</v>
      </c>
      <c r="B266" s="5" t="s">
        <v>46</v>
      </c>
      <c r="C266" s="60">
        <v>404400</v>
      </c>
      <c r="D266" s="72">
        <v>1</v>
      </c>
      <c r="E266" s="8">
        <f t="shared" si="31"/>
        <v>404400</v>
      </c>
      <c r="F266" s="8">
        <f t="shared" si="32"/>
        <v>28308.000000000004</v>
      </c>
      <c r="G266" s="8">
        <f t="shared" si="33"/>
        <v>432708</v>
      </c>
      <c r="I266" s="30">
        <v>6904329</v>
      </c>
    </row>
    <row r="267" spans="1:9" ht="18" customHeight="1" thickBot="1" x14ac:dyDescent="0.45">
      <c r="A267" s="207"/>
      <c r="B267" s="73" t="s">
        <v>15</v>
      </c>
      <c r="C267" s="43">
        <f>SUM(C247:C266)</f>
        <v>4686000</v>
      </c>
      <c r="D267" s="51"/>
      <c r="E267" s="43">
        <f>SUM(E247:E266)</f>
        <v>4037088</v>
      </c>
      <c r="F267" s="43">
        <f t="shared" ref="F267:G267" si="34">SUM(F247:F266)</f>
        <v>282596.16000000009</v>
      </c>
      <c r="G267" s="43">
        <f t="shared" si="34"/>
        <v>4319684.16</v>
      </c>
    </row>
    <row r="268" spans="1:9" ht="15" customHeight="1" thickTop="1" x14ac:dyDescent="0.4">
      <c r="A268" s="208"/>
      <c r="B268" s="22"/>
      <c r="C268" s="308"/>
      <c r="D268" s="48"/>
      <c r="E268" s="22"/>
      <c r="F268" s="74"/>
      <c r="G268" s="22"/>
    </row>
    <row r="269" spans="1:9" ht="18" customHeight="1" x14ac:dyDescent="0.4">
      <c r="A269" s="1" t="s">
        <v>2</v>
      </c>
      <c r="B269" s="209" t="s">
        <v>3</v>
      </c>
      <c r="C269" s="309" t="s">
        <v>47</v>
      </c>
      <c r="D269" s="310"/>
      <c r="E269" s="54"/>
      <c r="F269" s="54"/>
      <c r="G269" s="54"/>
    </row>
    <row r="270" spans="1:9" s="30" customFormat="1" ht="18" customHeight="1" x14ac:dyDescent="0.5">
      <c r="A270" s="4" t="s">
        <v>687</v>
      </c>
      <c r="B270" s="5" t="s">
        <v>48</v>
      </c>
      <c r="C270" s="6">
        <v>1412.7</v>
      </c>
      <c r="E270"/>
      <c r="F270" s="22"/>
      <c r="G270" s="22"/>
      <c r="I270" s="30">
        <v>6904037</v>
      </c>
    </row>
    <row r="271" spans="1:9" s="30" customFormat="1" ht="18" customHeight="1" x14ac:dyDescent="0.5">
      <c r="A271" s="12" t="s">
        <v>715</v>
      </c>
      <c r="B271" s="5" t="s">
        <v>48</v>
      </c>
      <c r="C271" s="6">
        <v>1080.9000000000001</v>
      </c>
      <c r="E271"/>
      <c r="F271" s="22"/>
      <c r="G271" s="22"/>
      <c r="I271" s="30">
        <v>6904077</v>
      </c>
    </row>
    <row r="272" spans="1:9" s="30" customFormat="1" ht="18" customHeight="1" x14ac:dyDescent="0.5">
      <c r="A272" s="12" t="s">
        <v>707</v>
      </c>
      <c r="B272" s="5" t="s">
        <v>48</v>
      </c>
      <c r="C272" s="6">
        <v>2167.1999999999998</v>
      </c>
      <c r="E272"/>
      <c r="F272" s="22"/>
      <c r="G272" s="22"/>
      <c r="I272" s="30">
        <v>6904116</v>
      </c>
    </row>
    <row r="273" spans="1:9" s="30" customFormat="1" ht="18" customHeight="1" x14ac:dyDescent="0.5">
      <c r="A273" s="11" t="s">
        <v>692</v>
      </c>
      <c r="B273" s="5" t="s">
        <v>48</v>
      </c>
      <c r="C273" s="6">
        <v>1035.7</v>
      </c>
      <c r="F273" s="22"/>
      <c r="G273" s="22"/>
      <c r="I273" s="30">
        <v>6904161</v>
      </c>
    </row>
    <row r="274" spans="1:9" s="30" customFormat="1" ht="18" customHeight="1" x14ac:dyDescent="0.5">
      <c r="A274" s="11" t="s">
        <v>694</v>
      </c>
      <c r="B274" s="5" t="s">
        <v>48</v>
      </c>
      <c r="C274" s="6">
        <v>1059.2</v>
      </c>
      <c r="F274" s="22"/>
      <c r="G274" s="22"/>
      <c r="I274" s="30">
        <v>6904192</v>
      </c>
    </row>
    <row r="275" spans="1:9" s="30" customFormat="1" ht="18" customHeight="1" x14ac:dyDescent="0.5">
      <c r="A275" s="11" t="s">
        <v>696</v>
      </c>
      <c r="B275" s="5" t="s">
        <v>48</v>
      </c>
      <c r="C275" s="6">
        <v>1026.3</v>
      </c>
      <c r="F275" s="22"/>
      <c r="G275" s="22"/>
      <c r="I275" s="30">
        <v>6904258</v>
      </c>
    </row>
    <row r="276" spans="1:9" s="30" customFormat="1" ht="18" customHeight="1" x14ac:dyDescent="0.5">
      <c r="A276" s="11" t="s">
        <v>699</v>
      </c>
      <c r="B276" s="5" t="s">
        <v>48</v>
      </c>
      <c r="C276" s="6">
        <v>1073.9000000000001</v>
      </c>
      <c r="F276" s="22"/>
      <c r="G276" s="22"/>
      <c r="I276" s="30">
        <v>6904288</v>
      </c>
    </row>
    <row r="277" spans="1:9" s="30" customFormat="1" ht="18" customHeight="1" x14ac:dyDescent="0.5">
      <c r="A277" s="11" t="s">
        <v>700</v>
      </c>
      <c r="B277" s="5" t="s">
        <v>48</v>
      </c>
      <c r="C277" s="6">
        <v>1082.0999999999999</v>
      </c>
      <c r="F277" s="22"/>
      <c r="G277" s="22"/>
      <c r="I277" s="30">
        <v>6904328</v>
      </c>
    </row>
    <row r="278" spans="1:9" s="30" customFormat="1" ht="18" customHeight="1" x14ac:dyDescent="0.5">
      <c r="A278" s="11" t="s">
        <v>687</v>
      </c>
      <c r="B278" s="5" t="s">
        <v>49</v>
      </c>
      <c r="C278" s="6">
        <v>2057.4</v>
      </c>
      <c r="D278" s="26"/>
      <c r="F278" s="22"/>
      <c r="G278" s="22"/>
      <c r="I278" s="30">
        <v>6904036</v>
      </c>
    </row>
    <row r="279" spans="1:9" s="30" customFormat="1" ht="18" customHeight="1" x14ac:dyDescent="0.5">
      <c r="A279" s="11" t="s">
        <v>689</v>
      </c>
      <c r="B279" s="5" t="s">
        <v>49</v>
      </c>
      <c r="C279" s="6">
        <v>2070.5</v>
      </c>
      <c r="D279" s="26"/>
      <c r="E279" s="30" t="s">
        <v>211</v>
      </c>
      <c r="F279" s="22"/>
      <c r="G279" s="22"/>
      <c r="I279" s="30">
        <v>6904043</v>
      </c>
    </row>
    <row r="280" spans="1:9" s="30" customFormat="1" ht="18" customHeight="1" x14ac:dyDescent="0.5">
      <c r="A280" s="11" t="s">
        <v>715</v>
      </c>
      <c r="B280" s="5" t="s">
        <v>49</v>
      </c>
      <c r="C280" s="6">
        <v>4207.8</v>
      </c>
      <c r="D280" s="26"/>
      <c r="F280" s="22"/>
      <c r="G280" s="22"/>
      <c r="I280" s="30">
        <v>6904076</v>
      </c>
    </row>
    <row r="281" spans="1:9" s="30" customFormat="1" ht="18" customHeight="1" x14ac:dyDescent="0.5">
      <c r="A281" s="11" t="s">
        <v>690</v>
      </c>
      <c r="B281" s="5" t="s">
        <v>49</v>
      </c>
      <c r="C281" s="6">
        <v>2073.8000000000002</v>
      </c>
      <c r="D281" s="26"/>
      <c r="F281" s="22"/>
      <c r="G281" s="22"/>
      <c r="I281" s="30">
        <v>6904090</v>
      </c>
    </row>
    <row r="282" spans="1:9" s="30" customFormat="1" ht="18" customHeight="1" x14ac:dyDescent="0.5">
      <c r="A282" s="11" t="s">
        <v>685</v>
      </c>
      <c r="B282" s="5" t="s">
        <v>49</v>
      </c>
      <c r="C282" s="6">
        <v>4603.5</v>
      </c>
      <c r="D282" s="26"/>
      <c r="F282" s="22"/>
      <c r="G282" s="22"/>
      <c r="I282" s="30">
        <v>6904131</v>
      </c>
    </row>
    <row r="283" spans="1:9" s="30" customFormat="1" ht="18" customHeight="1" x14ac:dyDescent="0.5">
      <c r="A283" s="11" t="s">
        <v>707</v>
      </c>
      <c r="B283" s="5" t="s">
        <v>49</v>
      </c>
      <c r="C283" s="6">
        <v>2102.9</v>
      </c>
      <c r="D283" s="26"/>
      <c r="F283" s="22"/>
      <c r="G283" s="22"/>
      <c r="I283" s="30">
        <v>6904115</v>
      </c>
    </row>
    <row r="284" spans="1:9" s="30" customFormat="1" ht="18" customHeight="1" x14ac:dyDescent="0.5">
      <c r="A284" s="11" t="s">
        <v>692</v>
      </c>
      <c r="B284" s="5" t="s">
        <v>49</v>
      </c>
      <c r="C284" s="6">
        <v>6972.4</v>
      </c>
      <c r="D284" s="26"/>
      <c r="F284" s="22"/>
      <c r="G284" s="22"/>
      <c r="I284" s="30">
        <v>6904160</v>
      </c>
    </row>
    <row r="285" spans="1:9" s="30" customFormat="1" ht="18" customHeight="1" x14ac:dyDescent="0.5">
      <c r="A285" s="11" t="s">
        <v>694</v>
      </c>
      <c r="B285" s="5" t="s">
        <v>49</v>
      </c>
      <c r="C285" s="6">
        <v>3351.8</v>
      </c>
      <c r="D285" s="26"/>
      <c r="F285" s="22"/>
      <c r="G285" s="22"/>
      <c r="I285" s="30">
        <v>6904193</v>
      </c>
    </row>
    <row r="286" spans="1:9" s="30" customFormat="1" ht="18" customHeight="1" x14ac:dyDescent="0.5">
      <c r="A286" s="11" t="s">
        <v>708</v>
      </c>
      <c r="B286" s="5" t="s">
        <v>49</v>
      </c>
      <c r="C286" s="6">
        <v>3510</v>
      </c>
      <c r="D286" s="26"/>
      <c r="F286" s="22"/>
      <c r="G286" s="22"/>
      <c r="I286" s="30">
        <v>6904209</v>
      </c>
    </row>
    <row r="287" spans="1:9" s="30" customFormat="1" ht="18" customHeight="1" x14ac:dyDescent="0.5">
      <c r="A287" s="11" t="s">
        <v>696</v>
      </c>
      <c r="B287" s="5" t="s">
        <v>49</v>
      </c>
      <c r="C287" s="6">
        <v>2012.1</v>
      </c>
      <c r="D287" s="26"/>
      <c r="F287" s="22"/>
      <c r="G287" s="22"/>
      <c r="I287" s="30">
        <v>6904259</v>
      </c>
    </row>
    <row r="288" spans="1:9" s="30" customFormat="1" ht="18" customHeight="1" x14ac:dyDescent="0.5">
      <c r="A288" s="11" t="s">
        <v>698</v>
      </c>
      <c r="B288" s="5" t="s">
        <v>49</v>
      </c>
      <c r="C288" s="6">
        <v>3355.3</v>
      </c>
      <c r="D288" s="26"/>
      <c r="F288" s="22"/>
      <c r="G288" s="22"/>
      <c r="I288" s="30">
        <v>6904303</v>
      </c>
    </row>
    <row r="289" spans="1:9" s="30" customFormat="1" ht="18" customHeight="1" x14ac:dyDescent="0.5">
      <c r="A289" s="11" t="s">
        <v>700</v>
      </c>
      <c r="B289" s="5" t="s">
        <v>49</v>
      </c>
      <c r="C289" s="6">
        <v>4417.5</v>
      </c>
      <c r="D289" s="26"/>
      <c r="F289" s="22"/>
      <c r="G289" s="22"/>
      <c r="I289" s="30">
        <v>6904329</v>
      </c>
    </row>
    <row r="290" spans="1:9" s="30" customFormat="1" ht="17.25" customHeight="1" thickBot="1" x14ac:dyDescent="0.55000000000000004">
      <c r="A290" s="75"/>
      <c r="B290" s="76" t="s">
        <v>50</v>
      </c>
      <c r="C290" s="77">
        <f>SUM(C270:C289)</f>
        <v>50673.000000000007</v>
      </c>
      <c r="E290" s="22"/>
      <c r="F290" s="22"/>
      <c r="G290" s="22"/>
    </row>
    <row r="291" spans="1:9" s="30" customFormat="1" ht="18" customHeight="1" thickTop="1" x14ac:dyDescent="0.5">
      <c r="A291" s="78"/>
      <c r="B291" s="79"/>
      <c r="C291" s="80"/>
      <c r="E291" s="22"/>
      <c r="F291" s="22"/>
      <c r="G291" s="22"/>
    </row>
    <row r="292" spans="1:9" ht="23.25" x14ac:dyDescent="0.5">
      <c r="A292" s="358" t="s">
        <v>51</v>
      </c>
      <c r="B292" s="358"/>
      <c r="C292" s="358"/>
      <c r="D292" s="358"/>
      <c r="E292" s="358"/>
      <c r="F292" s="358"/>
      <c r="G292" s="358"/>
    </row>
    <row r="293" spans="1:9" s="26" customFormat="1" ht="18" customHeight="1" x14ac:dyDescent="0.45">
      <c r="A293" s="57" t="s">
        <v>2</v>
      </c>
      <c r="B293" s="58" t="s">
        <v>3</v>
      </c>
      <c r="C293" s="58" t="s">
        <v>4</v>
      </c>
      <c r="D293" s="59" t="s">
        <v>5</v>
      </c>
      <c r="E293" s="58" t="s">
        <v>6</v>
      </c>
      <c r="F293" s="58" t="s">
        <v>7</v>
      </c>
      <c r="G293" s="58" t="s">
        <v>8</v>
      </c>
    </row>
    <row r="294" spans="1:9" s="26" customFormat="1" ht="18" customHeight="1" x14ac:dyDescent="0.45">
      <c r="A294" s="81" t="s">
        <v>707</v>
      </c>
      <c r="B294" s="5" t="s">
        <v>195</v>
      </c>
      <c r="C294" s="82">
        <v>647.5</v>
      </c>
      <c r="D294" s="83">
        <v>70</v>
      </c>
      <c r="E294" s="8">
        <f>+C294*D294</f>
        <v>45325</v>
      </c>
      <c r="F294" s="8">
        <f>+E294*7%</f>
        <v>3172.7500000000005</v>
      </c>
      <c r="G294" s="8">
        <f>+E294+F294</f>
        <v>48497.75</v>
      </c>
      <c r="I294" s="26">
        <v>6904120</v>
      </c>
    </row>
    <row r="295" spans="1:9" s="26" customFormat="1" ht="18" customHeight="1" x14ac:dyDescent="0.45">
      <c r="A295" s="81" t="s">
        <v>699</v>
      </c>
      <c r="B295" s="5" t="s">
        <v>195</v>
      </c>
      <c r="C295" s="82">
        <v>990.5</v>
      </c>
      <c r="D295" s="83">
        <v>70</v>
      </c>
      <c r="E295" s="8">
        <f>+C295*D295</f>
        <v>69335</v>
      </c>
      <c r="F295" s="8">
        <f>+E295*7%</f>
        <v>4853.4500000000007</v>
      </c>
      <c r="G295" s="8">
        <f>+E295+F295</f>
        <v>74188.45</v>
      </c>
      <c r="I295" s="26">
        <v>6904294</v>
      </c>
    </row>
    <row r="296" spans="1:9" s="26" customFormat="1" ht="18" customHeight="1" x14ac:dyDescent="0.45">
      <c r="A296" s="81" t="s">
        <v>715</v>
      </c>
      <c r="B296" s="5" t="s">
        <v>52</v>
      </c>
      <c r="C296" s="82">
        <v>1004.7</v>
      </c>
      <c r="D296" s="83">
        <v>56</v>
      </c>
      <c r="E296" s="8">
        <f>+C296*D296</f>
        <v>56263.200000000004</v>
      </c>
      <c r="F296" s="8">
        <f>+E296*7%</f>
        <v>3938.4240000000009</v>
      </c>
      <c r="G296" s="8">
        <f>+E296+F296</f>
        <v>60201.624000000003</v>
      </c>
      <c r="I296" s="26">
        <v>6904075</v>
      </c>
    </row>
    <row r="297" spans="1:9" s="26" customFormat="1" ht="18" customHeight="1" x14ac:dyDescent="0.45">
      <c r="A297" s="81" t="s">
        <v>699</v>
      </c>
      <c r="B297" s="5" t="s">
        <v>52</v>
      </c>
      <c r="C297" s="82">
        <v>928.9</v>
      </c>
      <c r="D297" s="83">
        <v>70</v>
      </c>
      <c r="E297" s="8">
        <f>+C297*D297</f>
        <v>65023</v>
      </c>
      <c r="F297" s="8">
        <f>+E297*7%</f>
        <v>4551.6100000000006</v>
      </c>
      <c r="G297" s="8">
        <f>+E297+F297</f>
        <v>69574.61</v>
      </c>
      <c r="I297" s="26">
        <v>6904292</v>
      </c>
    </row>
    <row r="298" spans="1:9" s="26" customFormat="1" ht="18" customHeight="1" x14ac:dyDescent="0.45">
      <c r="A298" s="81" t="s">
        <v>699</v>
      </c>
      <c r="B298" s="5" t="s">
        <v>566</v>
      </c>
      <c r="C298" s="82">
        <v>990.55</v>
      </c>
      <c r="D298" s="83">
        <v>70</v>
      </c>
      <c r="E298" s="8">
        <f>+C298*D298</f>
        <v>69338.5</v>
      </c>
      <c r="F298" s="8">
        <f>+E298*7%</f>
        <v>4853.6950000000006</v>
      </c>
      <c r="G298" s="8">
        <f>+E298+F298</f>
        <v>74192.195000000007</v>
      </c>
      <c r="I298" s="26">
        <v>6904293</v>
      </c>
    </row>
    <row r="299" spans="1:9" s="26" customFormat="1" ht="17.25" customHeight="1" thickBot="1" x14ac:dyDescent="0.5">
      <c r="A299" s="84"/>
      <c r="B299" s="17" t="s">
        <v>15</v>
      </c>
      <c r="C299" s="18">
        <f>SUM(C294:C298)</f>
        <v>4562.1499999999996</v>
      </c>
      <c r="D299" s="19"/>
      <c r="E299" s="18">
        <f>SUM(E294:E298)</f>
        <v>305284.7</v>
      </c>
      <c r="F299" s="18">
        <f t="shared" ref="F299:G299" si="35">SUM(F294:F298)</f>
        <v>21369.929000000004</v>
      </c>
      <c r="G299" s="18">
        <f t="shared" si="35"/>
        <v>326654.62900000002</v>
      </c>
    </row>
    <row r="300" spans="1:9" s="30" customFormat="1" ht="18" customHeight="1" thickTop="1" x14ac:dyDescent="0.5">
      <c r="A300" s="78"/>
      <c r="B300" s="79"/>
      <c r="C300" s="80"/>
      <c r="E300" s="22"/>
      <c r="F300" s="22"/>
      <c r="G300" s="22"/>
    </row>
    <row r="301" spans="1:9" ht="23.25" x14ac:dyDescent="0.5">
      <c r="A301" s="358" t="s">
        <v>500</v>
      </c>
      <c r="B301" s="358"/>
      <c r="C301" s="358"/>
      <c r="D301" s="358"/>
      <c r="E301" s="358"/>
      <c r="F301" s="358"/>
      <c r="G301" s="358"/>
    </row>
    <row r="302" spans="1:9" s="26" customFormat="1" ht="18" customHeight="1" x14ac:dyDescent="0.45">
      <c r="A302" s="57" t="s">
        <v>2</v>
      </c>
      <c r="B302" s="58" t="s">
        <v>3</v>
      </c>
      <c r="C302" s="58" t="s">
        <v>4</v>
      </c>
      <c r="D302" s="59" t="s">
        <v>5</v>
      </c>
      <c r="E302" s="58" t="s">
        <v>6</v>
      </c>
      <c r="F302" s="58" t="s">
        <v>7</v>
      </c>
      <c r="G302" s="58" t="s">
        <v>8</v>
      </c>
    </row>
    <row r="303" spans="1:9" s="26" customFormat="1" ht="18" customHeight="1" x14ac:dyDescent="0.45">
      <c r="A303" s="81" t="s">
        <v>708</v>
      </c>
      <c r="B303" s="5" t="s">
        <v>195</v>
      </c>
      <c r="C303" s="82">
        <v>990.05</v>
      </c>
      <c r="D303" s="83">
        <v>70</v>
      </c>
      <c r="E303" s="8">
        <f>+C303*D303</f>
        <v>69303.5</v>
      </c>
      <c r="F303" s="8">
        <f>+E303*7%</f>
        <v>4851.2450000000008</v>
      </c>
      <c r="G303" s="8">
        <f>+E303+F303</f>
        <v>74154.744999999995</v>
      </c>
      <c r="I303" s="26">
        <v>6904221</v>
      </c>
    </row>
    <row r="304" spans="1:9" s="26" customFormat="1" ht="18" customHeight="1" x14ac:dyDescent="0.45">
      <c r="A304" s="81" t="s">
        <v>708</v>
      </c>
      <c r="B304" s="5" t="s">
        <v>52</v>
      </c>
      <c r="C304" s="82">
        <v>994.05</v>
      </c>
      <c r="D304" s="83">
        <v>70</v>
      </c>
      <c r="E304" s="8">
        <f t="shared" ref="E304:E305" si="36">+C304*D304</f>
        <v>69583.5</v>
      </c>
      <c r="F304" s="8">
        <f t="shared" ref="F304:F305" si="37">+E304*7%</f>
        <v>4870.8450000000003</v>
      </c>
      <c r="G304" s="8">
        <f t="shared" ref="G304:G305" si="38">+E304+F304</f>
        <v>74454.345000000001</v>
      </c>
      <c r="I304" s="26">
        <v>6904219</v>
      </c>
    </row>
    <row r="305" spans="1:9" s="26" customFormat="1" ht="18" customHeight="1" x14ac:dyDescent="0.45">
      <c r="A305" s="81" t="s">
        <v>708</v>
      </c>
      <c r="B305" s="5" t="s">
        <v>566</v>
      </c>
      <c r="C305" s="82">
        <v>996.45</v>
      </c>
      <c r="D305" s="83">
        <v>70</v>
      </c>
      <c r="E305" s="8">
        <f t="shared" si="36"/>
        <v>69751.5</v>
      </c>
      <c r="F305" s="8">
        <f t="shared" si="37"/>
        <v>4882.6050000000005</v>
      </c>
      <c r="G305" s="8">
        <f t="shared" si="38"/>
        <v>74634.104999999996</v>
      </c>
      <c r="I305" s="26">
        <v>6904220</v>
      </c>
    </row>
    <row r="306" spans="1:9" s="26" customFormat="1" ht="17.25" customHeight="1" thickBot="1" x14ac:dyDescent="0.5">
      <c r="A306" s="84"/>
      <c r="B306" s="17" t="s">
        <v>15</v>
      </c>
      <c r="C306" s="18">
        <f>SUM(C303:C305)</f>
        <v>2980.55</v>
      </c>
      <c r="D306" s="19"/>
      <c r="E306" s="18">
        <f>SUM(E303:E305)</f>
        <v>208638.5</v>
      </c>
      <c r="F306" s="18">
        <f t="shared" ref="F306:G306" si="39">SUM(F303:F305)</f>
        <v>14604.695</v>
      </c>
      <c r="G306" s="18">
        <f t="shared" si="39"/>
        <v>223243.19500000001</v>
      </c>
    </row>
    <row r="307" spans="1:9" s="26" customFormat="1" ht="13.5" customHeight="1" thickTop="1" x14ac:dyDescent="0.45">
      <c r="A307" s="85"/>
      <c r="B307" s="68"/>
      <c r="C307" s="69"/>
      <c r="D307" s="70"/>
      <c r="E307" s="69"/>
      <c r="F307" s="69"/>
      <c r="G307" s="69"/>
    </row>
    <row r="308" spans="1:9" ht="23.25" x14ac:dyDescent="0.5">
      <c r="A308" s="358" t="s">
        <v>53</v>
      </c>
      <c r="B308" s="358"/>
      <c r="C308" s="358"/>
      <c r="D308" s="358"/>
      <c r="E308" s="358"/>
      <c r="F308" s="358"/>
      <c r="G308" s="358"/>
    </row>
    <row r="309" spans="1:9" s="26" customFormat="1" ht="18" customHeight="1" x14ac:dyDescent="0.45">
      <c r="A309" s="57" t="s">
        <v>2</v>
      </c>
      <c r="B309" s="58" t="s">
        <v>3</v>
      </c>
      <c r="C309" s="58" t="s">
        <v>4</v>
      </c>
      <c r="D309" s="64" t="s">
        <v>5</v>
      </c>
      <c r="E309" s="58" t="s">
        <v>6</v>
      </c>
      <c r="F309" s="58" t="s">
        <v>7</v>
      </c>
      <c r="G309" s="58" t="s">
        <v>8</v>
      </c>
    </row>
    <row r="310" spans="1:9" s="26" customFormat="1" ht="18" customHeight="1" x14ac:dyDescent="0.45">
      <c r="A310" s="65" t="s">
        <v>707</v>
      </c>
      <c r="B310" s="5" t="s">
        <v>54</v>
      </c>
      <c r="C310" s="86">
        <v>2033.9</v>
      </c>
      <c r="D310" s="87">
        <v>72.5</v>
      </c>
      <c r="E310" s="37">
        <f>+C310*D310</f>
        <v>147457.75</v>
      </c>
      <c r="F310" s="37">
        <f>+E310*7%</f>
        <v>10322.042500000001</v>
      </c>
      <c r="G310" s="37">
        <f>+E310+F310</f>
        <v>157779.79250000001</v>
      </c>
      <c r="I310" s="26">
        <v>6904113</v>
      </c>
    </row>
    <row r="311" spans="1:9" s="26" customFormat="1" ht="18" customHeight="1" x14ac:dyDescent="0.45">
      <c r="A311" s="65" t="s">
        <v>700</v>
      </c>
      <c r="B311" s="5" t="s">
        <v>54</v>
      </c>
      <c r="C311" s="86">
        <v>2879.8</v>
      </c>
      <c r="D311" s="87">
        <v>72.5</v>
      </c>
      <c r="E311" s="37">
        <f>+C311*D311</f>
        <v>208785.5</v>
      </c>
      <c r="F311" s="37">
        <f>+E311*7%</f>
        <v>14614.985000000001</v>
      </c>
      <c r="G311" s="37">
        <f>+E311+F311</f>
        <v>223400.48499999999</v>
      </c>
      <c r="I311" s="26">
        <v>6904324</v>
      </c>
    </row>
    <row r="312" spans="1:9" s="26" customFormat="1" ht="17.25" customHeight="1" thickBot="1" x14ac:dyDescent="0.5">
      <c r="A312" s="84"/>
      <c r="B312" s="17" t="s">
        <v>15</v>
      </c>
      <c r="C312" s="18">
        <f>SUM(C310:C311)</f>
        <v>4913.7000000000007</v>
      </c>
      <c r="D312" s="66"/>
      <c r="E312" s="18">
        <f>SUM(E310:E311)</f>
        <v>356243.25</v>
      </c>
      <c r="F312" s="18">
        <f t="shared" ref="F312:G312" si="40">SUM(F310:F311)</f>
        <v>24937.027500000004</v>
      </c>
      <c r="G312" s="18">
        <f t="shared" si="40"/>
        <v>381180.27749999997</v>
      </c>
      <c r="I312" s="26" t="s">
        <v>211</v>
      </c>
    </row>
    <row r="313" spans="1:9" s="26" customFormat="1" ht="15" customHeight="1" thickTop="1" x14ac:dyDescent="0.45">
      <c r="A313" s="85"/>
      <c r="B313" s="68"/>
      <c r="C313" s="69"/>
      <c r="D313" s="88"/>
      <c r="E313" s="69"/>
      <c r="F313" s="69"/>
      <c r="G313" s="69"/>
    </row>
    <row r="314" spans="1:9" ht="23.25" x14ac:dyDescent="0.5">
      <c r="A314" s="358" t="s">
        <v>55</v>
      </c>
      <c r="B314" s="358"/>
      <c r="C314" s="358"/>
      <c r="D314" s="358"/>
      <c r="E314" s="358"/>
      <c r="F314" s="358"/>
      <c r="G314" s="358"/>
    </row>
    <row r="315" spans="1:9" s="26" customFormat="1" ht="18" customHeight="1" x14ac:dyDescent="0.45">
      <c r="A315" s="57" t="s">
        <v>2</v>
      </c>
      <c r="B315" s="58" t="s">
        <v>3</v>
      </c>
      <c r="C315" s="58" t="s">
        <v>4</v>
      </c>
      <c r="D315" s="64" t="s">
        <v>5</v>
      </c>
      <c r="E315" s="58" t="s">
        <v>6</v>
      </c>
      <c r="F315" s="58" t="s">
        <v>7</v>
      </c>
      <c r="G315" s="58" t="s">
        <v>8</v>
      </c>
    </row>
    <row r="316" spans="1:9" s="26" customFormat="1" ht="18" customHeight="1" x14ac:dyDescent="0.45">
      <c r="A316" s="16" t="s">
        <v>690</v>
      </c>
      <c r="B316" s="5" t="s">
        <v>54</v>
      </c>
      <c r="C316" s="86">
        <v>2068.5500000000002</v>
      </c>
      <c r="D316" s="87">
        <v>71.5</v>
      </c>
      <c r="E316" s="37">
        <f t="shared" ref="E316:E318" si="41">+C316*D316</f>
        <v>147901.32500000001</v>
      </c>
      <c r="F316" s="37">
        <f t="shared" ref="F316:F318" si="42">+E316*7%</f>
        <v>10353.092750000002</v>
      </c>
      <c r="G316" s="37">
        <f t="shared" ref="G316:G318" si="43">+E316+F316</f>
        <v>158254.41775000002</v>
      </c>
      <c r="I316" s="26">
        <v>6904089</v>
      </c>
    </row>
    <row r="317" spans="1:9" s="26" customFormat="1" ht="18" customHeight="1" x14ac:dyDescent="0.45">
      <c r="A317" s="16" t="s">
        <v>692</v>
      </c>
      <c r="B317" s="5" t="s">
        <v>54</v>
      </c>
      <c r="C317" s="86">
        <v>3126.6</v>
      </c>
      <c r="D317" s="87">
        <v>71.5</v>
      </c>
      <c r="E317" s="37">
        <f t="shared" si="41"/>
        <v>223551.9</v>
      </c>
      <c r="F317" s="37">
        <f t="shared" si="42"/>
        <v>15648.633000000002</v>
      </c>
      <c r="G317" s="37">
        <f t="shared" si="43"/>
        <v>239200.533</v>
      </c>
      <c r="I317" s="26">
        <v>6904154</v>
      </c>
    </row>
    <row r="318" spans="1:9" s="26" customFormat="1" ht="18" customHeight="1" x14ac:dyDescent="0.45">
      <c r="A318" s="16" t="s">
        <v>697</v>
      </c>
      <c r="B318" s="5" t="s">
        <v>54</v>
      </c>
      <c r="C318" s="86">
        <v>1804.3</v>
      </c>
      <c r="D318" s="87">
        <v>71.5</v>
      </c>
      <c r="E318" s="37">
        <f t="shared" si="41"/>
        <v>129007.45</v>
      </c>
      <c r="F318" s="37">
        <f t="shared" si="42"/>
        <v>9030.5215000000007</v>
      </c>
      <c r="G318" s="37">
        <f t="shared" si="43"/>
        <v>138037.97149999999</v>
      </c>
      <c r="I318" s="26">
        <v>6904274</v>
      </c>
    </row>
    <row r="319" spans="1:9" s="26" customFormat="1" ht="17.25" customHeight="1" thickBot="1" x14ac:dyDescent="0.5">
      <c r="A319" s="84"/>
      <c r="B319" s="17" t="s">
        <v>15</v>
      </c>
      <c r="C319" s="18">
        <f>SUM(C316:C318)</f>
        <v>6999.45</v>
      </c>
      <c r="D319" s="66"/>
      <c r="E319" s="18">
        <f>SUM(E316:E318)</f>
        <v>500460.67499999999</v>
      </c>
      <c r="F319" s="18">
        <f t="shared" ref="F319:G319" si="44">SUM(F316:F318)</f>
        <v>35032.247250000008</v>
      </c>
      <c r="G319" s="18">
        <f t="shared" si="44"/>
        <v>535492.92225000006</v>
      </c>
    </row>
    <row r="320" spans="1:9" s="26" customFormat="1" ht="17.25" customHeight="1" thickTop="1" x14ac:dyDescent="0.45">
      <c r="A320" s="85"/>
      <c r="B320" s="68"/>
      <c r="C320" s="69"/>
      <c r="D320" s="88"/>
      <c r="E320" s="69"/>
      <c r="F320" s="69"/>
      <c r="G320" s="69"/>
    </row>
    <row r="321" spans="1:9" ht="23.25" x14ac:dyDescent="0.5">
      <c r="A321" s="358" t="s">
        <v>140</v>
      </c>
      <c r="B321" s="358"/>
      <c r="C321" s="358"/>
      <c r="D321" s="358"/>
      <c r="E321" s="358"/>
      <c r="F321" s="358"/>
      <c r="G321" s="358"/>
    </row>
    <row r="322" spans="1:9" s="26" customFormat="1" ht="18" customHeight="1" x14ac:dyDescent="0.45">
      <c r="A322" s="57" t="s">
        <v>2</v>
      </c>
      <c r="B322" s="58" t="s">
        <v>3</v>
      </c>
      <c r="C322" s="58" t="s">
        <v>4</v>
      </c>
      <c r="D322" s="64" t="s">
        <v>5</v>
      </c>
      <c r="E322" s="58" t="s">
        <v>6</v>
      </c>
      <c r="F322" s="58" t="s">
        <v>7</v>
      </c>
      <c r="G322" s="58" t="s">
        <v>8</v>
      </c>
    </row>
    <row r="323" spans="1:9" s="26" customFormat="1" ht="18" customHeight="1" x14ac:dyDescent="0.45">
      <c r="A323" s="16" t="s">
        <v>687</v>
      </c>
      <c r="B323" s="5" t="s">
        <v>54</v>
      </c>
      <c r="C323" s="86">
        <v>4711.95</v>
      </c>
      <c r="D323" s="87">
        <v>72.5</v>
      </c>
      <c r="E323" s="37">
        <f t="shared" ref="E323:E324" si="45">+C323*D323</f>
        <v>341616.375</v>
      </c>
      <c r="F323" s="37">
        <f t="shared" ref="F323:F324" si="46">+E323*7%</f>
        <v>23913.146250000002</v>
      </c>
      <c r="G323" s="37">
        <f t="shared" ref="G323:G324" si="47">+E323+F323</f>
        <v>365529.52124999999</v>
      </c>
      <c r="I323" s="26">
        <v>6904025</v>
      </c>
    </row>
    <row r="324" spans="1:9" s="26" customFormat="1" ht="18" customHeight="1" x14ac:dyDescent="0.45">
      <c r="A324" s="16" t="s">
        <v>696</v>
      </c>
      <c r="B324" s="5" t="s">
        <v>54</v>
      </c>
      <c r="C324" s="86">
        <v>2742.4</v>
      </c>
      <c r="D324" s="87">
        <v>72.5</v>
      </c>
      <c r="E324" s="37">
        <f t="shared" si="45"/>
        <v>198824</v>
      </c>
      <c r="F324" s="37">
        <f t="shared" si="46"/>
        <v>13917.680000000002</v>
      </c>
      <c r="G324" s="37">
        <f t="shared" si="47"/>
        <v>212741.68</v>
      </c>
      <c r="I324" s="26">
        <v>6904253</v>
      </c>
    </row>
    <row r="325" spans="1:9" s="26" customFormat="1" ht="17.25" customHeight="1" thickBot="1" x14ac:dyDescent="0.5">
      <c r="A325" s="84"/>
      <c r="B325" s="17" t="s">
        <v>15</v>
      </c>
      <c r="C325" s="18">
        <f>SUM(C323:C324)</f>
        <v>7454.35</v>
      </c>
      <c r="D325" s="66"/>
      <c r="E325" s="18">
        <f>SUM(E323:E324)</f>
        <v>540440.375</v>
      </c>
      <c r="F325" s="18">
        <f t="shared" ref="F325:G325" si="48">SUM(F323:F324)</f>
        <v>37830.826250000006</v>
      </c>
      <c r="G325" s="18">
        <f t="shared" si="48"/>
        <v>578271.20124999993</v>
      </c>
    </row>
    <row r="326" spans="1:9" s="26" customFormat="1" ht="17.25" customHeight="1" thickTop="1" x14ac:dyDescent="0.45">
      <c r="A326" s="85"/>
      <c r="B326" s="68"/>
      <c r="C326" s="69"/>
      <c r="D326" s="88"/>
      <c r="E326" s="69"/>
      <c r="F326" s="69"/>
      <c r="G326" s="69"/>
    </row>
    <row r="327" spans="1:9" ht="23.25" x14ac:dyDescent="0.5">
      <c r="A327" s="358" t="s">
        <v>502</v>
      </c>
      <c r="B327" s="358"/>
      <c r="C327" s="358"/>
      <c r="D327" s="358"/>
      <c r="E327" s="358"/>
      <c r="F327" s="358"/>
      <c r="G327" s="358"/>
    </row>
    <row r="328" spans="1:9" s="26" customFormat="1" ht="18" customHeight="1" x14ac:dyDescent="0.45">
      <c r="A328" s="57" t="s">
        <v>2</v>
      </c>
      <c r="B328" s="58" t="s">
        <v>3</v>
      </c>
      <c r="C328" s="58" t="s">
        <v>4</v>
      </c>
      <c r="D328" s="64" t="s">
        <v>5</v>
      </c>
      <c r="E328" s="58" t="s">
        <v>6</v>
      </c>
      <c r="F328" s="58" t="s">
        <v>7</v>
      </c>
      <c r="G328" s="58" t="s">
        <v>8</v>
      </c>
    </row>
    <row r="329" spans="1:9" s="26" customFormat="1" ht="18" customHeight="1" x14ac:dyDescent="0.45">
      <c r="A329" s="16" t="s">
        <v>692</v>
      </c>
      <c r="B329" s="5" t="s">
        <v>54</v>
      </c>
      <c r="C329" s="86">
        <v>2626.2</v>
      </c>
      <c r="D329" s="87">
        <v>71.5</v>
      </c>
      <c r="E329" s="37">
        <f t="shared" ref="E329:E330" si="49">+C329*D329</f>
        <v>187773.3</v>
      </c>
      <c r="F329" s="37">
        <f t="shared" ref="F329:F330" si="50">+E329*7%</f>
        <v>13144.131000000001</v>
      </c>
      <c r="G329" s="37">
        <f t="shared" ref="G329:G330" si="51">+E329+F329</f>
        <v>200917.43099999998</v>
      </c>
      <c r="I329" s="26">
        <v>6904155</v>
      </c>
    </row>
    <row r="330" spans="1:9" s="26" customFormat="1" ht="18" customHeight="1" x14ac:dyDescent="0.45">
      <c r="A330" s="16" t="s">
        <v>695</v>
      </c>
      <c r="B330" s="5" t="s">
        <v>54</v>
      </c>
      <c r="C330" s="86">
        <v>2346.15</v>
      </c>
      <c r="D330" s="87">
        <v>71.5</v>
      </c>
      <c r="E330" s="37">
        <f t="shared" si="49"/>
        <v>167749.72500000001</v>
      </c>
      <c r="F330" s="37">
        <f t="shared" si="50"/>
        <v>11742.480750000001</v>
      </c>
      <c r="G330" s="37">
        <f t="shared" si="51"/>
        <v>179492.20574999999</v>
      </c>
      <c r="I330" s="26">
        <v>6904225</v>
      </c>
    </row>
    <row r="331" spans="1:9" s="26" customFormat="1" ht="17.25" customHeight="1" thickBot="1" x14ac:dyDescent="0.5">
      <c r="A331" s="84"/>
      <c r="B331" s="17" t="s">
        <v>15</v>
      </c>
      <c r="C331" s="18">
        <f>SUM(C329:C330)</f>
        <v>4972.3500000000004</v>
      </c>
      <c r="D331" s="66"/>
      <c r="E331" s="18">
        <f>SUM(E329:E330)</f>
        <v>355523.02500000002</v>
      </c>
      <c r="F331" s="18">
        <f t="shared" ref="F331:G331" si="52">SUM(F329:F330)</f>
        <v>24886.611750000004</v>
      </c>
      <c r="G331" s="18">
        <f t="shared" si="52"/>
        <v>380409.63674999995</v>
      </c>
    </row>
    <row r="332" spans="1:9" s="26" customFormat="1" ht="17.25" customHeight="1" thickTop="1" x14ac:dyDescent="0.45">
      <c r="A332" s="85"/>
      <c r="B332" s="68"/>
      <c r="C332" s="69"/>
      <c r="D332" s="88"/>
      <c r="E332" s="69"/>
      <c r="F332" s="69"/>
      <c r="G332" s="69"/>
    </row>
    <row r="333" spans="1:9" ht="23.25" x14ac:dyDescent="0.3">
      <c r="A333" s="359" t="s">
        <v>56</v>
      </c>
      <c r="B333" s="359"/>
      <c r="C333" s="359"/>
      <c r="D333" s="359"/>
      <c r="E333" s="359"/>
      <c r="F333" s="359"/>
      <c r="G333" s="359"/>
    </row>
    <row r="334" spans="1:9" ht="18" customHeight="1" x14ac:dyDescent="0.3">
      <c r="A334" s="1" t="s">
        <v>2</v>
      </c>
      <c r="B334" s="2" t="s">
        <v>3</v>
      </c>
      <c r="C334" s="2" t="s">
        <v>4</v>
      </c>
      <c r="D334" s="3" t="s">
        <v>5</v>
      </c>
      <c r="E334" s="2" t="s">
        <v>6</v>
      </c>
      <c r="F334" s="2" t="s">
        <v>7</v>
      </c>
      <c r="G334" s="2" t="s">
        <v>8</v>
      </c>
    </row>
    <row r="335" spans="1:9" ht="18" customHeight="1" x14ac:dyDescent="0.4">
      <c r="A335" s="16" t="s">
        <v>701</v>
      </c>
      <c r="B335" s="5" t="s">
        <v>58</v>
      </c>
      <c r="C335" s="6">
        <v>1988.8</v>
      </c>
      <c r="D335" s="72">
        <v>68.5</v>
      </c>
      <c r="E335" s="60">
        <f t="shared" ref="E335:E336" si="53">+C335*D335</f>
        <v>136232.79999999999</v>
      </c>
      <c r="F335" s="60">
        <f t="shared" ref="F335:F336" si="54">+E335*7%</f>
        <v>9536.2960000000003</v>
      </c>
      <c r="G335" s="60">
        <f t="shared" ref="G335:G336" si="55">+E335+F335</f>
        <v>145769.09599999999</v>
      </c>
      <c r="I335">
        <v>6904347</v>
      </c>
    </row>
    <row r="336" spans="1:9" ht="18" customHeight="1" x14ac:dyDescent="0.4">
      <c r="A336" s="16" t="s">
        <v>701</v>
      </c>
      <c r="B336" s="5" t="s">
        <v>201</v>
      </c>
      <c r="C336" s="6">
        <v>501</v>
      </c>
      <c r="D336" s="72">
        <v>123</v>
      </c>
      <c r="E336" s="60">
        <f t="shared" si="53"/>
        <v>61623</v>
      </c>
      <c r="F336" s="60">
        <f t="shared" si="54"/>
        <v>4313.6100000000006</v>
      </c>
      <c r="G336" s="60">
        <f t="shared" si="55"/>
        <v>65936.61</v>
      </c>
      <c r="I336">
        <v>6904348</v>
      </c>
    </row>
    <row r="337" spans="1:9" s="30" customFormat="1" ht="18" customHeight="1" thickBot="1" x14ac:dyDescent="0.55000000000000004">
      <c r="A337" s="16"/>
      <c r="B337" s="73" t="s">
        <v>15</v>
      </c>
      <c r="C337" s="89">
        <f>SUM(C335:C336)</f>
        <v>2489.8000000000002</v>
      </c>
      <c r="D337" s="51"/>
      <c r="E337" s="89">
        <f>SUM(E335:E336)</f>
        <v>197855.8</v>
      </c>
      <c r="F337" s="89">
        <f t="shared" ref="F337:G337" si="56">SUM(F335:F336)</f>
        <v>13849.906000000001</v>
      </c>
      <c r="G337" s="89">
        <f t="shared" si="56"/>
        <v>211705.70600000001</v>
      </c>
    </row>
    <row r="338" spans="1:9" s="30" customFormat="1" ht="18" customHeight="1" thickTop="1" x14ac:dyDescent="0.5">
      <c r="A338" s="90"/>
      <c r="B338" s="91"/>
      <c r="C338" s="92"/>
      <c r="D338" s="93"/>
      <c r="E338" s="92"/>
      <c r="F338" s="92"/>
      <c r="G338" s="92"/>
    </row>
    <row r="339" spans="1:9" ht="23.25" x14ac:dyDescent="0.3">
      <c r="A339" s="362" t="s">
        <v>59</v>
      </c>
      <c r="B339" s="362"/>
      <c r="C339" s="362"/>
      <c r="D339" s="362"/>
      <c r="E339" s="362"/>
      <c r="F339" s="362"/>
      <c r="G339" s="362"/>
    </row>
    <row r="340" spans="1:9" ht="18" customHeight="1" x14ac:dyDescent="0.3">
      <c r="A340" s="94" t="s">
        <v>2</v>
      </c>
      <c r="B340" s="95" t="s">
        <v>3</v>
      </c>
      <c r="C340" s="95" t="s">
        <v>4</v>
      </c>
      <c r="D340" s="3" t="s">
        <v>5</v>
      </c>
      <c r="E340" s="95" t="s">
        <v>6</v>
      </c>
      <c r="F340" s="95" t="s">
        <v>7</v>
      </c>
      <c r="G340" s="95" t="s">
        <v>8</v>
      </c>
    </row>
    <row r="341" spans="1:9" ht="18" customHeight="1" x14ac:dyDescent="0.4">
      <c r="A341" s="96" t="s">
        <v>708</v>
      </c>
      <c r="B341" s="5" t="s">
        <v>60</v>
      </c>
      <c r="C341" s="97">
        <v>1066.25</v>
      </c>
      <c r="D341" s="83">
        <v>77</v>
      </c>
      <c r="E341" s="60">
        <f>+C341*D341</f>
        <v>82101.25</v>
      </c>
      <c r="F341" s="60">
        <f>+E341*7%</f>
        <v>5747.0875000000005</v>
      </c>
      <c r="G341" s="60">
        <f>+E341+F341</f>
        <v>87848.337499999994</v>
      </c>
      <c r="I341">
        <v>6904224</v>
      </c>
    </row>
    <row r="342" spans="1:9" ht="18" customHeight="1" x14ac:dyDescent="0.4">
      <c r="A342" s="96" t="s">
        <v>708</v>
      </c>
      <c r="B342" s="5" t="s">
        <v>60</v>
      </c>
      <c r="C342" s="97">
        <v>1515.7</v>
      </c>
      <c r="D342" s="83">
        <v>95</v>
      </c>
      <c r="E342" s="60">
        <f>+C342*D342</f>
        <v>143991.5</v>
      </c>
      <c r="F342" s="60">
        <f>+E342*7%</f>
        <v>10079.405000000001</v>
      </c>
      <c r="G342" s="60">
        <f>+E342+F342</f>
        <v>154070.905</v>
      </c>
      <c r="I342">
        <v>6904224</v>
      </c>
    </row>
    <row r="343" spans="1:9" ht="18" customHeight="1" thickBot="1" x14ac:dyDescent="0.35">
      <c r="A343" s="98"/>
      <c r="B343" s="28" t="s">
        <v>15</v>
      </c>
      <c r="C343" s="99">
        <f>SUM(C341:C342)</f>
        <v>2581.9499999999998</v>
      </c>
      <c r="D343" s="19"/>
      <c r="E343" s="100">
        <f>SUM(E341:E342)</f>
        <v>226092.75</v>
      </c>
      <c r="F343" s="100">
        <f t="shared" ref="F343:G343" si="57">SUM(F341:F342)</f>
        <v>15826.4925</v>
      </c>
      <c r="G343" s="100">
        <f t="shared" si="57"/>
        <v>241919.24249999999</v>
      </c>
    </row>
    <row r="344" spans="1:9" ht="13.5" customHeight="1" thickTop="1" x14ac:dyDescent="0.4">
      <c r="A344" s="101"/>
      <c r="B344" s="53"/>
      <c r="C344" s="102"/>
      <c r="D344" s="48"/>
      <c r="E344" s="103"/>
      <c r="F344" s="103"/>
      <c r="G344" s="103"/>
    </row>
    <row r="345" spans="1:9" ht="23.25" x14ac:dyDescent="0.3">
      <c r="A345" s="359" t="s">
        <v>61</v>
      </c>
      <c r="B345" s="359"/>
      <c r="C345" s="359"/>
      <c r="D345" s="359"/>
      <c r="E345" s="359"/>
      <c r="F345" s="359"/>
      <c r="G345" s="359"/>
    </row>
    <row r="346" spans="1:9" ht="18" customHeight="1" x14ac:dyDescent="0.4">
      <c r="A346" s="57" t="s">
        <v>2</v>
      </c>
      <c r="B346" s="58" t="s">
        <v>3</v>
      </c>
      <c r="C346" s="2" t="s">
        <v>62</v>
      </c>
      <c r="D346" s="59" t="s">
        <v>5</v>
      </c>
      <c r="E346" s="58" t="s">
        <v>6</v>
      </c>
      <c r="F346" s="58" t="s">
        <v>7</v>
      </c>
      <c r="G346" s="58" t="s">
        <v>8</v>
      </c>
    </row>
    <row r="347" spans="1:9" ht="18" customHeight="1" x14ac:dyDescent="0.4">
      <c r="A347" s="16" t="s">
        <v>690</v>
      </c>
      <c r="B347" s="5" t="s">
        <v>63</v>
      </c>
      <c r="C347" s="6">
        <v>1000</v>
      </c>
      <c r="D347" s="72">
        <v>74</v>
      </c>
      <c r="E347" s="60">
        <f>+C347*D347</f>
        <v>74000</v>
      </c>
      <c r="F347" s="60">
        <f>+E347*7%</f>
        <v>5180.0000000000009</v>
      </c>
      <c r="G347" s="60">
        <f>+E347+F347</f>
        <v>79180</v>
      </c>
      <c r="I347">
        <v>6904091</v>
      </c>
    </row>
    <row r="348" spans="1:9" ht="18" customHeight="1" x14ac:dyDescent="0.4">
      <c r="A348" s="16" t="s">
        <v>690</v>
      </c>
      <c r="B348" s="5" t="s">
        <v>63</v>
      </c>
      <c r="C348" s="6">
        <v>800</v>
      </c>
      <c r="D348" s="72">
        <v>89</v>
      </c>
      <c r="E348" s="60">
        <f>+C348*D348</f>
        <v>71200</v>
      </c>
      <c r="F348" s="60">
        <f>+E348*7%</f>
        <v>4984.0000000000009</v>
      </c>
      <c r="G348" s="60">
        <f>+E348+F348</f>
        <v>76184</v>
      </c>
      <c r="I348">
        <v>6904091</v>
      </c>
    </row>
    <row r="349" spans="1:9" ht="18" customHeight="1" thickBot="1" x14ac:dyDescent="0.35">
      <c r="A349" s="84"/>
      <c r="B349" s="17" t="s">
        <v>15</v>
      </c>
      <c r="C349" s="18">
        <f>SUM(C347:C348)</f>
        <v>1800</v>
      </c>
      <c r="D349" s="19"/>
      <c r="E349" s="18">
        <f>SUM(E347:E348)</f>
        <v>145200</v>
      </c>
      <c r="F349" s="18">
        <f t="shared" ref="F349:G349" si="58">SUM(F347:F348)</f>
        <v>10164.000000000002</v>
      </c>
      <c r="G349" s="18">
        <f t="shared" si="58"/>
        <v>155364</v>
      </c>
    </row>
    <row r="350" spans="1:9" ht="13.5" customHeight="1" thickTop="1" x14ac:dyDescent="0.3">
      <c r="A350" s="85"/>
      <c r="B350" s="68"/>
      <c r="C350" s="69"/>
      <c r="D350" s="70"/>
      <c r="E350" s="69"/>
      <c r="F350" s="69"/>
      <c r="G350" s="69"/>
    </row>
    <row r="351" spans="1:9" s="108" customFormat="1" ht="18" customHeight="1" thickBot="1" x14ac:dyDescent="0.45">
      <c r="A351" s="104"/>
      <c r="B351" s="105" t="s">
        <v>63</v>
      </c>
      <c r="C351" s="69">
        <f>C349</f>
        <v>1800</v>
      </c>
      <c r="D351" s="106">
        <v>1.1080000000000001</v>
      </c>
      <c r="E351" s="107">
        <f>+C351*D351</f>
        <v>1994.4</v>
      </c>
      <c r="G351" s="109"/>
    </row>
    <row r="352" spans="1:9" ht="14.25" customHeight="1" thickTop="1" x14ac:dyDescent="0.3">
      <c r="A352" s="85"/>
      <c r="B352" s="68"/>
      <c r="C352" s="69"/>
      <c r="D352" s="70"/>
      <c r="E352" s="69"/>
      <c r="F352" s="69"/>
      <c r="G352" s="69"/>
    </row>
    <row r="353" spans="1:9" s="30" customFormat="1" ht="23.25" x14ac:dyDescent="0.5">
      <c r="A353" s="360" t="s">
        <v>64</v>
      </c>
      <c r="B353" s="360"/>
      <c r="C353" s="360"/>
      <c r="D353" s="360"/>
      <c r="E353" s="360"/>
      <c r="F353" s="360"/>
      <c r="G353" s="360"/>
    </row>
    <row r="354" spans="1:9" s="30" customFormat="1" ht="18" customHeight="1" x14ac:dyDescent="0.5">
      <c r="A354" s="114" t="s">
        <v>2</v>
      </c>
      <c r="B354" s="115" t="s">
        <v>3</v>
      </c>
      <c r="C354" s="95" t="s">
        <v>4</v>
      </c>
      <c r="D354" s="206" t="s">
        <v>5</v>
      </c>
      <c r="E354" s="115" t="s">
        <v>6</v>
      </c>
      <c r="F354" s="115" t="s">
        <v>7</v>
      </c>
      <c r="G354" s="115" t="s">
        <v>8</v>
      </c>
    </row>
    <row r="355" spans="1:9" s="30" customFormat="1" ht="18" customHeight="1" x14ac:dyDescent="0.5">
      <c r="A355" s="16" t="s">
        <v>708</v>
      </c>
      <c r="B355" s="5" t="s">
        <v>724</v>
      </c>
      <c r="C355" s="6">
        <v>1942.5</v>
      </c>
      <c r="D355" s="7">
        <v>68.5</v>
      </c>
      <c r="E355" s="6">
        <f t="shared" ref="E355:E360" si="59">+C355*D355</f>
        <v>133061.25</v>
      </c>
      <c r="F355" s="6">
        <f t="shared" ref="F355:F360" si="60">+E355*7%</f>
        <v>9314.2875000000004</v>
      </c>
      <c r="G355" s="6">
        <f t="shared" ref="G355:G360" si="61">+E355+F355</f>
        <v>142375.53750000001</v>
      </c>
      <c r="I355" s="30">
        <v>6904211</v>
      </c>
    </row>
    <row r="356" spans="1:9" s="30" customFormat="1" ht="18" customHeight="1" x14ac:dyDescent="0.5">
      <c r="A356" s="16" t="s">
        <v>689</v>
      </c>
      <c r="B356" s="5" t="s">
        <v>504</v>
      </c>
      <c r="C356" s="6">
        <v>258.25</v>
      </c>
      <c r="D356" s="7">
        <v>52</v>
      </c>
      <c r="E356" s="6">
        <f t="shared" si="59"/>
        <v>13429</v>
      </c>
      <c r="F356" s="6">
        <f t="shared" si="60"/>
        <v>940.03000000000009</v>
      </c>
      <c r="G356" s="6">
        <f t="shared" si="61"/>
        <v>14369.03</v>
      </c>
      <c r="I356" s="30">
        <v>6904050</v>
      </c>
    </row>
    <row r="357" spans="1:9" s="30" customFormat="1" ht="18" customHeight="1" x14ac:dyDescent="0.5">
      <c r="A357" s="16" t="s">
        <v>696</v>
      </c>
      <c r="B357" s="5" t="s">
        <v>725</v>
      </c>
      <c r="C357" s="6">
        <v>2835.4</v>
      </c>
      <c r="D357" s="7">
        <v>68.5</v>
      </c>
      <c r="E357" s="6">
        <f t="shared" si="59"/>
        <v>194224.9</v>
      </c>
      <c r="F357" s="6">
        <f t="shared" si="60"/>
        <v>13595.743</v>
      </c>
      <c r="G357" s="6">
        <f t="shared" si="61"/>
        <v>207820.64299999998</v>
      </c>
      <c r="I357" s="30">
        <v>6904264</v>
      </c>
    </row>
    <row r="358" spans="1:9" s="30" customFormat="1" ht="18" customHeight="1" x14ac:dyDescent="0.5">
      <c r="A358" s="16" t="s">
        <v>689</v>
      </c>
      <c r="B358" s="5" t="s">
        <v>505</v>
      </c>
      <c r="C358" s="6">
        <v>977.7</v>
      </c>
      <c r="D358" s="7">
        <v>52</v>
      </c>
      <c r="E358" s="6">
        <f t="shared" si="59"/>
        <v>50840.4</v>
      </c>
      <c r="F358" s="6">
        <f t="shared" si="60"/>
        <v>3558.8280000000004</v>
      </c>
      <c r="G358" s="6">
        <f t="shared" si="61"/>
        <v>54399.228000000003</v>
      </c>
      <c r="I358" s="30">
        <v>6904044</v>
      </c>
    </row>
    <row r="359" spans="1:9" s="30" customFormat="1" ht="18" customHeight="1" x14ac:dyDescent="0.5">
      <c r="A359" s="16" t="s">
        <v>692</v>
      </c>
      <c r="B359" s="5" t="s">
        <v>505</v>
      </c>
      <c r="C359" s="6">
        <v>591.45000000000005</v>
      </c>
      <c r="D359" s="7">
        <v>68.5</v>
      </c>
      <c r="E359" s="6">
        <f t="shared" si="59"/>
        <v>40514.325000000004</v>
      </c>
      <c r="F359" s="6">
        <f t="shared" si="60"/>
        <v>2836.0027500000006</v>
      </c>
      <c r="G359" s="6">
        <f t="shared" si="61"/>
        <v>43350.327750000004</v>
      </c>
      <c r="I359" s="30">
        <v>6904162</v>
      </c>
    </row>
    <row r="360" spans="1:9" s="30" customFormat="1" ht="18" customHeight="1" x14ac:dyDescent="0.5">
      <c r="A360" s="16" t="s">
        <v>702</v>
      </c>
      <c r="B360" s="5" t="s">
        <v>505</v>
      </c>
      <c r="C360" s="6">
        <v>1293.95</v>
      </c>
      <c r="D360" s="7">
        <v>68.5</v>
      </c>
      <c r="E360" s="6">
        <f t="shared" si="59"/>
        <v>88635.574999999997</v>
      </c>
      <c r="F360" s="6">
        <f t="shared" si="60"/>
        <v>6204.4902500000007</v>
      </c>
      <c r="G360" s="6">
        <f t="shared" si="61"/>
        <v>94840.06525</v>
      </c>
      <c r="I360" s="30">
        <v>6904359</v>
      </c>
    </row>
    <row r="361" spans="1:9" ht="18" customHeight="1" thickBot="1" x14ac:dyDescent="0.35">
      <c r="A361" s="116"/>
      <c r="B361" s="17" t="s">
        <v>15</v>
      </c>
      <c r="C361" s="18">
        <f>SUM(C355:C360)</f>
        <v>7899.2499999999991</v>
      </c>
      <c r="D361" s="66"/>
      <c r="E361" s="20">
        <f>SUM(E355:E360)</f>
        <v>520705.45000000007</v>
      </c>
      <c r="F361" s="20">
        <f>SUM(F355:F360)</f>
        <v>36449.381500000003</v>
      </c>
      <c r="G361" s="20">
        <f>SUM(G355:G360)</f>
        <v>557154.83149999997</v>
      </c>
    </row>
    <row r="362" spans="1:9" s="30" customFormat="1" ht="15.75" customHeight="1" thickTop="1" x14ac:dyDescent="0.5">
      <c r="A362" s="110"/>
      <c r="B362" s="111"/>
      <c r="C362" s="112"/>
      <c r="D362" s="88"/>
      <c r="E362" s="340"/>
      <c r="F362" s="340"/>
      <c r="G362" s="340"/>
    </row>
    <row r="363" spans="1:9" s="30" customFormat="1" ht="23.25" x14ac:dyDescent="0.5">
      <c r="A363" s="360" t="s">
        <v>64</v>
      </c>
      <c r="B363" s="360"/>
      <c r="C363" s="360"/>
      <c r="D363" s="360"/>
      <c r="E363" s="360"/>
      <c r="F363" s="360"/>
      <c r="G363" s="360"/>
    </row>
    <row r="364" spans="1:9" s="30" customFormat="1" ht="18" customHeight="1" x14ac:dyDescent="0.5">
      <c r="A364" s="114" t="s">
        <v>2</v>
      </c>
      <c r="B364" s="115" t="s">
        <v>3</v>
      </c>
      <c r="C364" s="95" t="s">
        <v>65</v>
      </c>
      <c r="D364" s="3" t="s">
        <v>5</v>
      </c>
      <c r="E364" s="115" t="s">
        <v>6</v>
      </c>
      <c r="F364" s="115" t="s">
        <v>7</v>
      </c>
      <c r="G364" s="115" t="s">
        <v>8</v>
      </c>
    </row>
    <row r="365" spans="1:9" ht="18" customHeight="1" x14ac:dyDescent="0.4">
      <c r="A365" s="16" t="s">
        <v>708</v>
      </c>
      <c r="B365" s="5" t="s">
        <v>251</v>
      </c>
      <c r="C365" s="37">
        <v>32736</v>
      </c>
      <c r="D365" s="51">
        <v>1.53</v>
      </c>
      <c r="E365" s="8">
        <f t="shared" ref="E365:E374" si="62">+C365*D365</f>
        <v>50086.080000000002</v>
      </c>
      <c r="F365" s="8">
        <f t="shared" ref="F365:F374" si="63">+E365*7%</f>
        <v>3506.0256000000004</v>
      </c>
      <c r="G365" s="122">
        <f t="shared" ref="G365:G373" si="64">SUM(E365:F365)</f>
        <v>53592.105600000003</v>
      </c>
      <c r="I365">
        <v>6904213</v>
      </c>
    </row>
    <row r="366" spans="1:9" ht="18" customHeight="1" x14ac:dyDescent="0.4">
      <c r="A366" s="16" t="s">
        <v>708</v>
      </c>
      <c r="B366" s="5" t="s">
        <v>180</v>
      </c>
      <c r="C366" s="37">
        <v>32736</v>
      </c>
      <c r="D366" s="51">
        <v>1.53</v>
      </c>
      <c r="E366" s="8">
        <f t="shared" si="62"/>
        <v>50086.080000000002</v>
      </c>
      <c r="F366" s="8">
        <f t="shared" si="63"/>
        <v>3506.0256000000004</v>
      </c>
      <c r="G366" s="122">
        <f t="shared" si="64"/>
        <v>53592.105600000003</v>
      </c>
      <c r="I366">
        <v>6904212</v>
      </c>
    </row>
    <row r="367" spans="1:9" ht="18" customHeight="1" x14ac:dyDescent="0.4">
      <c r="A367" s="16" t="s">
        <v>708</v>
      </c>
      <c r="B367" s="5" t="s">
        <v>509</v>
      </c>
      <c r="C367" s="37">
        <v>32736</v>
      </c>
      <c r="D367" s="51">
        <v>1.53</v>
      </c>
      <c r="E367" s="8">
        <f t="shared" si="62"/>
        <v>50086.080000000002</v>
      </c>
      <c r="F367" s="8">
        <f t="shared" si="63"/>
        <v>3506.0256000000004</v>
      </c>
      <c r="G367" s="122">
        <f t="shared" si="64"/>
        <v>53592.105600000003</v>
      </c>
      <c r="I367">
        <v>6904213</v>
      </c>
    </row>
    <row r="368" spans="1:9" ht="18" customHeight="1" x14ac:dyDescent="0.4">
      <c r="A368" s="16" t="s">
        <v>703</v>
      </c>
      <c r="B368" s="5" t="s">
        <v>66</v>
      </c>
      <c r="C368" s="37">
        <v>128580</v>
      </c>
      <c r="D368" s="51">
        <v>1.38</v>
      </c>
      <c r="E368" s="8">
        <f t="shared" si="62"/>
        <v>177440.4</v>
      </c>
      <c r="F368" s="8">
        <f t="shared" si="63"/>
        <v>12420.828000000001</v>
      </c>
      <c r="G368" s="122">
        <f t="shared" si="64"/>
        <v>189861.228</v>
      </c>
      <c r="I368">
        <v>6904005</v>
      </c>
    </row>
    <row r="369" spans="1:9" ht="18" customHeight="1" x14ac:dyDescent="0.4">
      <c r="A369" s="16" t="s">
        <v>689</v>
      </c>
      <c r="B369" s="5" t="s">
        <v>66</v>
      </c>
      <c r="C369" s="37">
        <v>150010</v>
      </c>
      <c r="D369" s="51">
        <v>1.38</v>
      </c>
      <c r="E369" s="8">
        <f t="shared" si="62"/>
        <v>207013.8</v>
      </c>
      <c r="F369" s="8">
        <f t="shared" si="63"/>
        <v>14490.966</v>
      </c>
      <c r="G369" s="122">
        <f t="shared" si="64"/>
        <v>221504.766</v>
      </c>
      <c r="I369">
        <v>6904045</v>
      </c>
    </row>
    <row r="370" spans="1:9" ht="18" customHeight="1" x14ac:dyDescent="0.4">
      <c r="A370" s="16" t="s">
        <v>726</v>
      </c>
      <c r="B370" s="5" t="s">
        <v>66</v>
      </c>
      <c r="C370" s="37">
        <v>128580</v>
      </c>
      <c r="D370" s="51">
        <v>1.38</v>
      </c>
      <c r="E370" s="8">
        <f t="shared" si="62"/>
        <v>177440.4</v>
      </c>
      <c r="F370" s="8">
        <f t="shared" si="63"/>
        <v>12420.828000000001</v>
      </c>
      <c r="G370" s="122">
        <f t="shared" si="64"/>
        <v>189861.228</v>
      </c>
      <c r="I370">
        <v>6904078</v>
      </c>
    </row>
    <row r="371" spans="1:9" ht="18" customHeight="1" x14ac:dyDescent="0.4">
      <c r="A371" s="16" t="s">
        <v>691</v>
      </c>
      <c r="B371" s="5" t="s">
        <v>66</v>
      </c>
      <c r="C371" s="37">
        <v>107150</v>
      </c>
      <c r="D371" s="51">
        <v>1.38</v>
      </c>
      <c r="E371" s="8">
        <f t="shared" si="62"/>
        <v>147867</v>
      </c>
      <c r="F371" s="8">
        <f t="shared" si="63"/>
        <v>10350.69</v>
      </c>
      <c r="G371" s="122">
        <f t="shared" si="64"/>
        <v>158217.69</v>
      </c>
      <c r="I371">
        <v>6904096</v>
      </c>
    </row>
    <row r="372" spans="1:9" ht="18" customHeight="1" x14ac:dyDescent="0.4">
      <c r="A372" s="16" t="s">
        <v>701</v>
      </c>
      <c r="B372" s="5" t="s">
        <v>66</v>
      </c>
      <c r="C372" s="37">
        <v>107150</v>
      </c>
      <c r="D372" s="51">
        <v>1.38</v>
      </c>
      <c r="E372" s="8">
        <f t="shared" si="62"/>
        <v>147867</v>
      </c>
      <c r="F372" s="8">
        <f t="shared" si="63"/>
        <v>10350.69</v>
      </c>
      <c r="G372" s="122">
        <f t="shared" si="64"/>
        <v>158217.69</v>
      </c>
      <c r="I372">
        <v>6904343</v>
      </c>
    </row>
    <row r="373" spans="1:9" ht="18" customHeight="1" x14ac:dyDescent="0.4">
      <c r="A373" s="16" t="s">
        <v>702</v>
      </c>
      <c r="B373" s="5" t="s">
        <v>66</v>
      </c>
      <c r="C373" s="37">
        <v>107150</v>
      </c>
      <c r="D373" s="51">
        <v>1.38</v>
      </c>
      <c r="E373" s="8">
        <f t="shared" si="62"/>
        <v>147867</v>
      </c>
      <c r="F373" s="8">
        <f t="shared" si="63"/>
        <v>10350.69</v>
      </c>
      <c r="G373" s="122">
        <f t="shared" si="64"/>
        <v>158217.69</v>
      </c>
      <c r="I373">
        <v>6904358</v>
      </c>
    </row>
    <row r="374" spans="1:9" ht="18" customHeight="1" x14ac:dyDescent="0.4">
      <c r="A374" s="16" t="s">
        <v>708</v>
      </c>
      <c r="B374" s="5" t="s">
        <v>635</v>
      </c>
      <c r="C374" s="37">
        <v>2885</v>
      </c>
      <c r="D374" s="51">
        <v>1.31</v>
      </c>
      <c r="E374" s="8">
        <f t="shared" si="62"/>
        <v>3779.3500000000004</v>
      </c>
      <c r="F374" s="8">
        <f t="shared" si="63"/>
        <v>264.55450000000008</v>
      </c>
      <c r="G374" s="8">
        <f t="shared" ref="G374" si="65">+E374+F374</f>
        <v>4043.9045000000006</v>
      </c>
      <c r="I374">
        <v>6904214</v>
      </c>
    </row>
    <row r="375" spans="1:9" ht="18" customHeight="1" thickBot="1" x14ac:dyDescent="0.35">
      <c r="A375" s="116"/>
      <c r="B375" s="17" t="s">
        <v>15</v>
      </c>
      <c r="C375" s="18">
        <f>SUM(C365:C374)</f>
        <v>829713</v>
      </c>
      <c r="D375" s="19"/>
      <c r="E375" s="62">
        <f>SUM(E365:E374)</f>
        <v>1159533.19</v>
      </c>
      <c r="F375" s="62">
        <f t="shared" ref="F375:G375" si="66">SUM(F365:F374)</f>
        <v>81167.323300000004</v>
      </c>
      <c r="G375" s="62">
        <f t="shared" si="66"/>
        <v>1240700.5133</v>
      </c>
    </row>
    <row r="376" spans="1:9" ht="15.75" customHeight="1" thickTop="1" x14ac:dyDescent="0.3">
      <c r="A376" s="121"/>
      <c r="B376" s="68"/>
      <c r="C376" s="69"/>
      <c r="D376" s="70"/>
      <c r="E376" s="70"/>
      <c r="F376" s="71"/>
      <c r="G376" s="71"/>
    </row>
    <row r="377" spans="1:9" s="30" customFormat="1" ht="18" customHeight="1" x14ac:dyDescent="0.5">
      <c r="A377" s="117"/>
      <c r="B377" s="118" t="s">
        <v>3</v>
      </c>
      <c r="C377" s="73" t="s">
        <v>4</v>
      </c>
      <c r="F377"/>
      <c r="G377"/>
      <c r="H377"/>
    </row>
    <row r="378" spans="1:9" ht="18" customHeight="1" x14ac:dyDescent="0.4">
      <c r="A378" s="16" t="s">
        <v>708</v>
      </c>
      <c r="B378" s="275" t="s">
        <v>251</v>
      </c>
      <c r="C378" s="276">
        <v>438</v>
      </c>
      <c r="D378" s="93"/>
      <c r="E378" s="120"/>
      <c r="F378" s="120"/>
      <c r="G378" s="123"/>
      <c r="H378" s="273" t="s">
        <v>392</v>
      </c>
      <c r="I378">
        <v>6904213</v>
      </c>
    </row>
    <row r="379" spans="1:9" ht="18" customHeight="1" x14ac:dyDescent="0.4">
      <c r="A379" s="16" t="s">
        <v>708</v>
      </c>
      <c r="B379" s="275" t="s">
        <v>180</v>
      </c>
      <c r="C379" s="276">
        <v>442</v>
      </c>
      <c r="D379" s="93"/>
      <c r="E379" s="120"/>
      <c r="F379" s="120"/>
      <c r="G379" s="123"/>
      <c r="H379" s="273" t="s">
        <v>392</v>
      </c>
      <c r="I379">
        <v>6904212</v>
      </c>
    </row>
    <row r="380" spans="1:9" ht="18" customHeight="1" x14ac:dyDescent="0.4">
      <c r="A380" s="16" t="s">
        <v>708</v>
      </c>
      <c r="B380" s="275" t="s">
        <v>509</v>
      </c>
      <c r="C380" s="276">
        <v>434.45</v>
      </c>
      <c r="D380" s="93"/>
      <c r="E380" s="120"/>
      <c r="F380" s="120"/>
      <c r="G380" s="123"/>
      <c r="H380" s="273" t="s">
        <v>392</v>
      </c>
      <c r="I380">
        <v>6904213</v>
      </c>
    </row>
    <row r="381" spans="1:9" ht="18" customHeight="1" x14ac:dyDescent="0.4">
      <c r="A381" s="16" t="s">
        <v>703</v>
      </c>
      <c r="B381" s="275" t="s">
        <v>66</v>
      </c>
      <c r="C381" s="276">
        <v>2396.5</v>
      </c>
      <c r="D381" s="93"/>
      <c r="E381" s="120"/>
      <c r="F381" s="120"/>
      <c r="G381" s="123"/>
      <c r="H381" s="273" t="s">
        <v>392</v>
      </c>
      <c r="I381">
        <v>6904005</v>
      </c>
    </row>
    <row r="382" spans="1:9" ht="18" customHeight="1" x14ac:dyDescent="0.4">
      <c r="A382" s="16" t="s">
        <v>689</v>
      </c>
      <c r="B382" s="275" t="s">
        <v>66</v>
      </c>
      <c r="C382" s="276">
        <v>2767.5</v>
      </c>
      <c r="D382" s="93"/>
      <c r="E382" s="120"/>
      <c r="F382" s="120"/>
      <c r="G382" s="123"/>
      <c r="H382" s="273" t="s">
        <v>392</v>
      </c>
      <c r="I382">
        <v>6904045</v>
      </c>
    </row>
    <row r="383" spans="1:9" ht="18" customHeight="1" x14ac:dyDescent="0.4">
      <c r="A383" s="16" t="s">
        <v>715</v>
      </c>
      <c r="B383" s="275" t="s">
        <v>66</v>
      </c>
      <c r="C383" s="276">
        <v>2388</v>
      </c>
      <c r="D383" s="93"/>
      <c r="E383" s="120"/>
      <c r="F383" s="120"/>
      <c r="G383" s="123"/>
      <c r="H383" s="273" t="s">
        <v>392</v>
      </c>
      <c r="I383">
        <v>6904078</v>
      </c>
    </row>
    <row r="384" spans="1:9" ht="18" customHeight="1" x14ac:dyDescent="0.4">
      <c r="A384" s="16" t="s">
        <v>691</v>
      </c>
      <c r="B384" s="275" t="s">
        <v>66</v>
      </c>
      <c r="C384" s="276">
        <v>1989.65</v>
      </c>
      <c r="D384" s="93"/>
      <c r="E384" s="120"/>
      <c r="F384" s="120"/>
      <c r="G384" s="123"/>
      <c r="H384" s="273" t="s">
        <v>392</v>
      </c>
      <c r="I384">
        <v>6904096</v>
      </c>
    </row>
    <row r="385" spans="1:9" ht="18" customHeight="1" x14ac:dyDescent="0.4">
      <c r="A385" s="16" t="s">
        <v>701</v>
      </c>
      <c r="B385" s="275" t="s">
        <v>66</v>
      </c>
      <c r="C385" s="276">
        <v>1982.1</v>
      </c>
      <c r="D385" s="93"/>
      <c r="E385" s="120"/>
      <c r="F385" s="120"/>
      <c r="G385" s="123"/>
      <c r="H385" s="273" t="s">
        <v>392</v>
      </c>
      <c r="I385">
        <v>6904343</v>
      </c>
    </row>
    <row r="386" spans="1:9" ht="18" customHeight="1" x14ac:dyDescent="0.4">
      <c r="A386" s="16" t="s">
        <v>702</v>
      </c>
      <c r="B386" s="275" t="s">
        <v>66</v>
      </c>
      <c r="C386" s="276">
        <v>1978.25</v>
      </c>
      <c r="D386" s="93"/>
      <c r="E386" s="120"/>
      <c r="F386" s="120"/>
      <c r="G386" s="123"/>
      <c r="H386" s="273" t="s">
        <v>392</v>
      </c>
      <c r="I386">
        <v>6904358</v>
      </c>
    </row>
    <row r="387" spans="1:9" ht="18" customHeight="1" x14ac:dyDescent="0.45">
      <c r="A387" s="16" t="s">
        <v>708</v>
      </c>
      <c r="B387" s="330" t="s">
        <v>635</v>
      </c>
      <c r="C387" s="344">
        <v>41.7</v>
      </c>
      <c r="D387" s="26"/>
      <c r="H387" s="273" t="s">
        <v>392</v>
      </c>
      <c r="I387">
        <v>6904214</v>
      </c>
    </row>
    <row r="388" spans="1:9" ht="18" customHeight="1" thickBot="1" x14ac:dyDescent="0.35">
      <c r="A388" s="116"/>
      <c r="B388" s="17" t="s">
        <v>15</v>
      </c>
      <c r="C388" s="124">
        <f>SUM(C378:C387)</f>
        <v>14858.150000000001</v>
      </c>
    </row>
    <row r="389" spans="1:9" ht="18" customHeight="1" thickTop="1" x14ac:dyDescent="0.3">
      <c r="A389" s="121"/>
      <c r="B389" s="68"/>
      <c r="C389" s="125"/>
    </row>
    <row r="390" spans="1:9" ht="23.25" x14ac:dyDescent="0.3">
      <c r="A390" s="359" t="s">
        <v>67</v>
      </c>
      <c r="B390" s="359"/>
      <c r="C390" s="359"/>
      <c r="D390" s="359"/>
      <c r="E390" s="359"/>
      <c r="F390" s="359"/>
      <c r="G390" s="359"/>
    </row>
    <row r="391" spans="1:9" ht="18" customHeight="1" x14ac:dyDescent="0.4">
      <c r="A391" s="57" t="s">
        <v>2</v>
      </c>
      <c r="B391" s="58" t="s">
        <v>3</v>
      </c>
      <c r="C391" s="58" t="s">
        <v>4</v>
      </c>
      <c r="D391" s="59" t="s">
        <v>5</v>
      </c>
      <c r="E391" s="58" t="s">
        <v>6</v>
      </c>
      <c r="F391" s="58" t="s">
        <v>7</v>
      </c>
      <c r="G391" s="58" t="s">
        <v>8</v>
      </c>
    </row>
    <row r="392" spans="1:9" ht="18" customHeight="1" x14ac:dyDescent="0.4">
      <c r="A392" s="16" t="s">
        <v>703</v>
      </c>
      <c r="B392" s="5" t="s">
        <v>68</v>
      </c>
      <c r="C392" s="86">
        <v>960.85</v>
      </c>
      <c r="D392" s="87">
        <v>75</v>
      </c>
      <c r="E392" s="8">
        <f t="shared" ref="E392:E417" si="67">+C392*D392</f>
        <v>72063.75</v>
      </c>
      <c r="F392" s="8">
        <f t="shared" ref="F392:F417" si="68">+E392*7%</f>
        <v>5044.4625000000005</v>
      </c>
      <c r="G392" s="8">
        <f t="shared" ref="G392:G417" si="69">+E392+F392</f>
        <v>77108.212499999994</v>
      </c>
      <c r="I392">
        <v>6904022</v>
      </c>
    </row>
    <row r="393" spans="1:9" ht="18" customHeight="1" x14ac:dyDescent="0.4">
      <c r="A393" s="16" t="s">
        <v>703</v>
      </c>
      <c r="B393" s="5" t="s">
        <v>68</v>
      </c>
      <c r="C393" s="86">
        <v>94.85</v>
      </c>
      <c r="D393" s="38">
        <v>75</v>
      </c>
      <c r="E393" s="8">
        <f>+C393*D393</f>
        <v>7113.75</v>
      </c>
      <c r="F393" s="8">
        <f>+E393*7%</f>
        <v>497.96250000000003</v>
      </c>
      <c r="G393" s="8">
        <f>+E393+F393</f>
        <v>7611.7124999999996</v>
      </c>
      <c r="I393">
        <v>6904021</v>
      </c>
    </row>
    <row r="394" spans="1:9" ht="18" customHeight="1" x14ac:dyDescent="0.4">
      <c r="A394" s="16" t="s">
        <v>708</v>
      </c>
      <c r="B394" s="5" t="s">
        <v>68</v>
      </c>
      <c r="C394" s="86">
        <v>998.35</v>
      </c>
      <c r="D394" s="87">
        <v>75</v>
      </c>
      <c r="E394" s="8">
        <f t="shared" si="67"/>
        <v>74876.25</v>
      </c>
      <c r="F394" s="8">
        <f t="shared" si="68"/>
        <v>5241.3375000000005</v>
      </c>
      <c r="G394" s="8">
        <f t="shared" si="69"/>
        <v>80117.587499999994</v>
      </c>
      <c r="I394">
        <v>6904218</v>
      </c>
    </row>
    <row r="395" spans="1:9" ht="18" customHeight="1" x14ac:dyDescent="0.4">
      <c r="A395" s="16" t="s">
        <v>703</v>
      </c>
      <c r="B395" s="5" t="s">
        <v>69</v>
      </c>
      <c r="C395" s="86">
        <v>106.6</v>
      </c>
      <c r="D395" s="87">
        <v>75</v>
      </c>
      <c r="E395" s="8">
        <f t="shared" si="67"/>
        <v>7995</v>
      </c>
      <c r="F395" s="8">
        <f t="shared" si="68"/>
        <v>559.65000000000009</v>
      </c>
      <c r="G395" s="8">
        <f t="shared" si="69"/>
        <v>8554.65</v>
      </c>
      <c r="I395">
        <v>6904016</v>
      </c>
    </row>
    <row r="396" spans="1:9" ht="18" customHeight="1" x14ac:dyDescent="0.4">
      <c r="A396" s="16" t="s">
        <v>703</v>
      </c>
      <c r="B396" s="5" t="s">
        <v>69</v>
      </c>
      <c r="C396" s="86">
        <v>418.2</v>
      </c>
      <c r="D396" s="87">
        <v>75</v>
      </c>
      <c r="E396" s="8">
        <f t="shared" si="67"/>
        <v>31365</v>
      </c>
      <c r="F396" s="8">
        <f t="shared" si="68"/>
        <v>2195.5500000000002</v>
      </c>
      <c r="G396" s="8">
        <f t="shared" si="69"/>
        <v>33560.550000000003</v>
      </c>
      <c r="I396">
        <v>6904012</v>
      </c>
    </row>
    <row r="397" spans="1:9" ht="18" customHeight="1" x14ac:dyDescent="0.4">
      <c r="A397" s="16" t="s">
        <v>697</v>
      </c>
      <c r="B397" s="5" t="s">
        <v>69</v>
      </c>
      <c r="C397" s="86">
        <v>314.95</v>
      </c>
      <c r="D397" s="87">
        <v>75</v>
      </c>
      <c r="E397" s="8">
        <f t="shared" si="67"/>
        <v>23621.25</v>
      </c>
      <c r="F397" s="8">
        <f t="shared" si="68"/>
        <v>1653.4875000000002</v>
      </c>
      <c r="G397" s="8">
        <f t="shared" si="69"/>
        <v>25274.737499999999</v>
      </c>
      <c r="I397">
        <v>6904280</v>
      </c>
    </row>
    <row r="398" spans="1:9" ht="18" customHeight="1" x14ac:dyDescent="0.4">
      <c r="A398" s="16" t="s">
        <v>703</v>
      </c>
      <c r="B398" s="5" t="s">
        <v>70</v>
      </c>
      <c r="C398" s="86">
        <v>208.9</v>
      </c>
      <c r="D398" s="87">
        <v>78</v>
      </c>
      <c r="E398" s="8">
        <f t="shared" si="67"/>
        <v>16294.2</v>
      </c>
      <c r="F398" s="8">
        <f t="shared" si="68"/>
        <v>1140.5940000000001</v>
      </c>
      <c r="G398" s="8">
        <f t="shared" si="69"/>
        <v>17434.794000000002</v>
      </c>
      <c r="I398">
        <v>6904022</v>
      </c>
    </row>
    <row r="399" spans="1:9" ht="18" customHeight="1" x14ac:dyDescent="0.4">
      <c r="A399" s="16" t="s">
        <v>703</v>
      </c>
      <c r="B399" s="5" t="s">
        <v>70</v>
      </c>
      <c r="C399" s="86">
        <v>207.6</v>
      </c>
      <c r="D399" s="87">
        <v>75</v>
      </c>
      <c r="E399" s="8">
        <f t="shared" si="67"/>
        <v>15570</v>
      </c>
      <c r="F399" s="8">
        <f t="shared" si="68"/>
        <v>1089.9000000000001</v>
      </c>
      <c r="G399" s="8">
        <f t="shared" si="69"/>
        <v>16659.900000000001</v>
      </c>
      <c r="I399">
        <v>6904019</v>
      </c>
    </row>
    <row r="400" spans="1:9" ht="18" customHeight="1" x14ac:dyDescent="0.4">
      <c r="A400" s="16" t="s">
        <v>703</v>
      </c>
      <c r="B400" s="5" t="s">
        <v>70</v>
      </c>
      <c r="C400" s="86">
        <v>518.20000000000005</v>
      </c>
      <c r="D400" s="87">
        <v>75</v>
      </c>
      <c r="E400" s="8">
        <f t="shared" si="67"/>
        <v>38865</v>
      </c>
      <c r="F400" s="8">
        <f t="shared" si="68"/>
        <v>2720.55</v>
      </c>
      <c r="G400" s="8">
        <f t="shared" si="69"/>
        <v>41585.550000000003</v>
      </c>
      <c r="I400">
        <v>6904015</v>
      </c>
    </row>
    <row r="401" spans="1:9" ht="18" customHeight="1" x14ac:dyDescent="0.4">
      <c r="A401" s="16" t="s">
        <v>708</v>
      </c>
      <c r="B401" s="5" t="s">
        <v>70</v>
      </c>
      <c r="C401" s="86">
        <v>207.65</v>
      </c>
      <c r="D401" s="87">
        <v>78</v>
      </c>
      <c r="E401" s="8">
        <f t="shared" si="67"/>
        <v>16196.7</v>
      </c>
      <c r="F401" s="8">
        <f t="shared" si="68"/>
        <v>1133.7690000000002</v>
      </c>
      <c r="G401" s="8">
        <f t="shared" si="69"/>
        <v>17330.469000000001</v>
      </c>
      <c r="I401">
        <v>6904217</v>
      </c>
    </row>
    <row r="402" spans="1:9" ht="18" customHeight="1" x14ac:dyDescent="0.4">
      <c r="A402" s="16" t="s">
        <v>697</v>
      </c>
      <c r="B402" s="5" t="s">
        <v>70</v>
      </c>
      <c r="C402" s="86">
        <v>832.05</v>
      </c>
      <c r="D402" s="87">
        <v>75</v>
      </c>
      <c r="E402" s="8">
        <f t="shared" si="67"/>
        <v>62403.75</v>
      </c>
      <c r="F402" s="8">
        <f t="shared" si="68"/>
        <v>4368.2625000000007</v>
      </c>
      <c r="G402" s="8">
        <f t="shared" si="69"/>
        <v>66772.012499999997</v>
      </c>
      <c r="I402">
        <v>6904285</v>
      </c>
    </row>
    <row r="403" spans="1:9" ht="18" customHeight="1" x14ac:dyDescent="0.4">
      <c r="A403" s="16" t="s">
        <v>709</v>
      </c>
      <c r="B403" s="5" t="s">
        <v>70</v>
      </c>
      <c r="C403" s="86">
        <v>210.4</v>
      </c>
      <c r="D403" s="87">
        <v>75</v>
      </c>
      <c r="E403" s="8">
        <f t="shared" si="67"/>
        <v>15780</v>
      </c>
      <c r="F403" s="8">
        <f t="shared" si="68"/>
        <v>1104.6000000000001</v>
      </c>
      <c r="G403" s="8">
        <f t="shared" si="69"/>
        <v>16884.599999999999</v>
      </c>
      <c r="I403">
        <v>6904314</v>
      </c>
    </row>
    <row r="404" spans="1:9" ht="18" customHeight="1" x14ac:dyDescent="0.4">
      <c r="A404" s="16" t="s">
        <v>703</v>
      </c>
      <c r="B404" s="5" t="s">
        <v>71</v>
      </c>
      <c r="C404" s="86">
        <v>100.4</v>
      </c>
      <c r="D404" s="87">
        <v>75</v>
      </c>
      <c r="E404" s="8">
        <f t="shared" si="67"/>
        <v>7530</v>
      </c>
      <c r="F404" s="8">
        <f t="shared" si="68"/>
        <v>527.1</v>
      </c>
      <c r="G404" s="8">
        <f t="shared" si="69"/>
        <v>8057.1</v>
      </c>
      <c r="I404">
        <v>6904021</v>
      </c>
    </row>
    <row r="405" spans="1:9" ht="18" customHeight="1" x14ac:dyDescent="0.4">
      <c r="A405" s="16" t="s">
        <v>703</v>
      </c>
      <c r="B405" s="5" t="s">
        <v>71</v>
      </c>
      <c r="C405" s="86">
        <v>207.25</v>
      </c>
      <c r="D405" s="87">
        <v>75</v>
      </c>
      <c r="E405" s="8">
        <f t="shared" si="67"/>
        <v>15543.75</v>
      </c>
      <c r="F405" s="8">
        <f t="shared" si="68"/>
        <v>1088.0625</v>
      </c>
      <c r="G405" s="8">
        <f t="shared" si="69"/>
        <v>16631.8125</v>
      </c>
      <c r="I405">
        <v>6904015</v>
      </c>
    </row>
    <row r="406" spans="1:9" ht="18" customHeight="1" x14ac:dyDescent="0.4">
      <c r="A406" s="16" t="s">
        <v>703</v>
      </c>
      <c r="B406" s="5" t="s">
        <v>71</v>
      </c>
      <c r="C406" s="86">
        <v>1178.5999999999999</v>
      </c>
      <c r="D406" s="87">
        <v>74</v>
      </c>
      <c r="E406" s="8">
        <f t="shared" si="67"/>
        <v>87216.4</v>
      </c>
      <c r="F406" s="8">
        <f t="shared" si="68"/>
        <v>6105.1480000000001</v>
      </c>
      <c r="G406" s="8">
        <f t="shared" si="69"/>
        <v>93321.547999999995</v>
      </c>
      <c r="I406">
        <v>6904013</v>
      </c>
    </row>
    <row r="407" spans="1:9" ht="18" customHeight="1" x14ac:dyDescent="0.4">
      <c r="A407" s="16" t="s">
        <v>697</v>
      </c>
      <c r="B407" s="5" t="s">
        <v>71</v>
      </c>
      <c r="C407" s="86">
        <v>1285.55</v>
      </c>
      <c r="D407" s="87">
        <v>75</v>
      </c>
      <c r="E407" s="8">
        <f t="shared" si="67"/>
        <v>96416.25</v>
      </c>
      <c r="F407" s="8">
        <f t="shared" si="68"/>
        <v>6749.1375000000007</v>
      </c>
      <c r="G407" s="8">
        <f t="shared" si="69"/>
        <v>103165.3875</v>
      </c>
      <c r="I407">
        <v>6904279</v>
      </c>
    </row>
    <row r="408" spans="1:9" ht="18" customHeight="1" x14ac:dyDescent="0.4">
      <c r="A408" s="16" t="s">
        <v>709</v>
      </c>
      <c r="B408" s="5" t="s">
        <v>71</v>
      </c>
      <c r="C408" s="86">
        <v>104.35</v>
      </c>
      <c r="D408" s="87">
        <v>75</v>
      </c>
      <c r="E408" s="8">
        <f t="shared" si="67"/>
        <v>7826.25</v>
      </c>
      <c r="F408" s="8">
        <f t="shared" si="68"/>
        <v>547.83750000000009</v>
      </c>
      <c r="G408" s="8">
        <f t="shared" si="69"/>
        <v>8374.0874999999996</v>
      </c>
      <c r="I408">
        <v>6904313</v>
      </c>
    </row>
    <row r="409" spans="1:9" ht="18" customHeight="1" x14ac:dyDescent="0.4">
      <c r="A409" s="16" t="s">
        <v>709</v>
      </c>
      <c r="B409" s="5" t="s">
        <v>72</v>
      </c>
      <c r="C409" s="86">
        <v>101.6</v>
      </c>
      <c r="D409" s="87">
        <v>75</v>
      </c>
      <c r="E409" s="8">
        <f t="shared" si="67"/>
        <v>7620</v>
      </c>
      <c r="F409" s="8">
        <f t="shared" si="68"/>
        <v>533.40000000000009</v>
      </c>
      <c r="G409" s="8">
        <f t="shared" si="69"/>
        <v>8153.4</v>
      </c>
      <c r="I409">
        <v>6904315</v>
      </c>
    </row>
    <row r="410" spans="1:9" ht="18" customHeight="1" x14ac:dyDescent="0.4">
      <c r="A410" s="16" t="s">
        <v>703</v>
      </c>
      <c r="B410" s="5" t="s">
        <v>73</v>
      </c>
      <c r="C410" s="86">
        <v>523.4</v>
      </c>
      <c r="D410" s="87">
        <v>75</v>
      </c>
      <c r="E410" s="8">
        <f t="shared" si="67"/>
        <v>39255</v>
      </c>
      <c r="F410" s="8">
        <f t="shared" si="68"/>
        <v>2747.8500000000004</v>
      </c>
      <c r="G410" s="8">
        <f t="shared" si="69"/>
        <v>42002.85</v>
      </c>
      <c r="I410">
        <v>6904014</v>
      </c>
    </row>
    <row r="411" spans="1:9" ht="18" customHeight="1" x14ac:dyDescent="0.4">
      <c r="A411" s="16" t="s">
        <v>708</v>
      </c>
      <c r="B411" s="5" t="s">
        <v>73</v>
      </c>
      <c r="C411" s="86">
        <v>311.64999999999998</v>
      </c>
      <c r="D411" s="87">
        <v>75</v>
      </c>
      <c r="E411" s="8">
        <f t="shared" si="67"/>
        <v>23373.75</v>
      </c>
      <c r="F411" s="8">
        <f t="shared" si="68"/>
        <v>1636.1625000000001</v>
      </c>
      <c r="G411" s="8">
        <f t="shared" si="69"/>
        <v>25009.912499999999</v>
      </c>
      <c r="I411">
        <v>6904216</v>
      </c>
    </row>
    <row r="412" spans="1:9" ht="18" customHeight="1" x14ac:dyDescent="0.4">
      <c r="A412" s="16" t="s">
        <v>709</v>
      </c>
      <c r="B412" s="5" t="s">
        <v>73</v>
      </c>
      <c r="C412" s="86">
        <v>271.39999999999998</v>
      </c>
      <c r="D412" s="87">
        <v>87</v>
      </c>
      <c r="E412" s="8">
        <f t="shared" si="67"/>
        <v>23611.8</v>
      </c>
      <c r="F412" s="8">
        <f t="shared" si="68"/>
        <v>1652.826</v>
      </c>
      <c r="G412" s="8">
        <f t="shared" si="69"/>
        <v>25264.626</v>
      </c>
      <c r="I412">
        <v>6904310</v>
      </c>
    </row>
    <row r="413" spans="1:9" ht="18" customHeight="1" x14ac:dyDescent="0.4">
      <c r="A413" s="16" t="s">
        <v>709</v>
      </c>
      <c r="B413" s="5" t="s">
        <v>73</v>
      </c>
      <c r="C413" s="86">
        <v>238.05</v>
      </c>
      <c r="D413" s="87">
        <v>75</v>
      </c>
      <c r="E413" s="8">
        <f t="shared" si="67"/>
        <v>17853.75</v>
      </c>
      <c r="F413" s="8">
        <f t="shared" si="68"/>
        <v>1249.7625</v>
      </c>
      <c r="G413" s="8">
        <f t="shared" si="69"/>
        <v>19103.512500000001</v>
      </c>
      <c r="I413">
        <v>6904309</v>
      </c>
    </row>
    <row r="414" spans="1:9" ht="18" customHeight="1" x14ac:dyDescent="0.4">
      <c r="A414" s="16" t="s">
        <v>703</v>
      </c>
      <c r="B414" s="5" t="s">
        <v>511</v>
      </c>
      <c r="C414" s="86">
        <v>76.75</v>
      </c>
      <c r="D414" s="87">
        <v>80</v>
      </c>
      <c r="E414" s="8">
        <f t="shared" si="67"/>
        <v>6140</v>
      </c>
      <c r="F414" s="8">
        <f t="shared" si="68"/>
        <v>429.80000000000007</v>
      </c>
      <c r="G414" s="8">
        <f t="shared" si="69"/>
        <v>6569.8</v>
      </c>
      <c r="I414">
        <v>6904016</v>
      </c>
    </row>
    <row r="415" spans="1:9" ht="18" customHeight="1" x14ac:dyDescent="0.4">
      <c r="A415" s="16" t="s">
        <v>703</v>
      </c>
      <c r="B415" s="5" t="s">
        <v>74</v>
      </c>
      <c r="C415" s="86">
        <v>47.55</v>
      </c>
      <c r="D415" s="87">
        <v>80</v>
      </c>
      <c r="E415" s="8">
        <f t="shared" si="67"/>
        <v>3804</v>
      </c>
      <c r="F415" s="8">
        <f t="shared" si="68"/>
        <v>266.28000000000003</v>
      </c>
      <c r="G415" s="8">
        <f t="shared" si="69"/>
        <v>4070.28</v>
      </c>
      <c r="I415">
        <v>6904020</v>
      </c>
    </row>
    <row r="416" spans="1:9" ht="18" customHeight="1" x14ac:dyDescent="0.4">
      <c r="A416" s="16" t="s">
        <v>709</v>
      </c>
      <c r="B416" s="5" t="s">
        <v>74</v>
      </c>
      <c r="C416" s="86">
        <v>29.6</v>
      </c>
      <c r="D416" s="87">
        <v>80</v>
      </c>
      <c r="E416" s="8">
        <f t="shared" si="67"/>
        <v>2368</v>
      </c>
      <c r="F416" s="8">
        <f t="shared" si="68"/>
        <v>165.76000000000002</v>
      </c>
      <c r="G416" s="8">
        <f t="shared" si="69"/>
        <v>2533.7600000000002</v>
      </c>
      <c r="I416">
        <v>6904312</v>
      </c>
    </row>
    <row r="417" spans="1:9" ht="18" customHeight="1" x14ac:dyDescent="0.4">
      <c r="A417" s="16" t="s">
        <v>709</v>
      </c>
      <c r="B417" s="5" t="s">
        <v>176</v>
      </c>
      <c r="C417" s="86">
        <v>19.05</v>
      </c>
      <c r="D417" s="87">
        <v>80</v>
      </c>
      <c r="E417" s="8">
        <f t="shared" si="67"/>
        <v>1524</v>
      </c>
      <c r="F417" s="8">
        <f t="shared" si="68"/>
        <v>106.68</v>
      </c>
      <c r="G417" s="8">
        <f t="shared" si="69"/>
        <v>1630.68</v>
      </c>
      <c r="I417">
        <v>6904311</v>
      </c>
    </row>
    <row r="418" spans="1:9" ht="18" customHeight="1" thickBot="1" x14ac:dyDescent="0.35">
      <c r="A418" s="84"/>
      <c r="B418" s="17" t="s">
        <v>15</v>
      </c>
      <c r="C418" s="18">
        <f>SUM(C392:C417)</f>
        <v>9573.7999999999975</v>
      </c>
      <c r="D418" s="19"/>
      <c r="E418" s="18">
        <f>SUM(E392:E417)</f>
        <v>722227.60000000009</v>
      </c>
      <c r="F418" s="18">
        <f t="shared" ref="F418:G418" si="70">SUM(F392:F417)</f>
        <v>50555.932000000001</v>
      </c>
      <c r="G418" s="18">
        <f t="shared" si="70"/>
        <v>772783.53200000001</v>
      </c>
    </row>
    <row r="419" spans="1:9" ht="11.25" customHeight="1" thickTop="1" x14ac:dyDescent="0.4">
      <c r="A419" s="21"/>
      <c r="B419" s="22"/>
      <c r="C419" s="23"/>
      <c r="D419" s="24"/>
      <c r="E419" s="23"/>
      <c r="F419" s="25"/>
      <c r="G419" s="23"/>
    </row>
    <row r="420" spans="1:9" ht="23.25" x14ac:dyDescent="0.5">
      <c r="A420" s="361" t="s">
        <v>75</v>
      </c>
      <c r="B420" s="361"/>
      <c r="C420" s="361"/>
      <c r="D420" s="361"/>
      <c r="E420" s="361"/>
      <c r="F420" s="361"/>
      <c r="G420" s="361"/>
    </row>
    <row r="421" spans="1:9" ht="18" customHeight="1" x14ac:dyDescent="0.3">
      <c r="A421" s="94" t="s">
        <v>2</v>
      </c>
      <c r="B421" s="95" t="s">
        <v>3</v>
      </c>
      <c r="C421" s="95" t="s">
        <v>4</v>
      </c>
      <c r="D421" s="3" t="s">
        <v>5</v>
      </c>
      <c r="E421" s="95" t="s">
        <v>6</v>
      </c>
      <c r="F421" s="95" t="s">
        <v>7</v>
      </c>
      <c r="G421" s="95" t="s">
        <v>8</v>
      </c>
    </row>
    <row r="422" spans="1:9" ht="18" customHeight="1" x14ac:dyDescent="0.4">
      <c r="A422" s="127" t="s">
        <v>691</v>
      </c>
      <c r="B422" s="5" t="s">
        <v>727</v>
      </c>
      <c r="C422" s="128">
        <v>296.60000000000002</v>
      </c>
      <c r="D422" s="40">
        <v>79.5</v>
      </c>
      <c r="E422" s="6">
        <f t="shared" ref="E422" si="71">+C422*D422</f>
        <v>23579.7</v>
      </c>
      <c r="F422" s="6">
        <f t="shared" ref="F422" si="72">+E422*7%</f>
        <v>1650.5790000000002</v>
      </c>
      <c r="G422" s="6">
        <f t="shared" ref="G422" si="73">+E422+F422</f>
        <v>25230.279000000002</v>
      </c>
      <c r="I422">
        <v>6904101</v>
      </c>
    </row>
    <row r="423" spans="1:9" ht="18" customHeight="1" thickBot="1" x14ac:dyDescent="0.35">
      <c r="A423" s="131"/>
      <c r="B423" s="95" t="s">
        <v>15</v>
      </c>
      <c r="C423" s="132">
        <f>SUM(C422:C422)</f>
        <v>296.60000000000002</v>
      </c>
      <c r="D423" s="133"/>
      <c r="E423" s="134">
        <f>SUM(E422:E422)</f>
        <v>23579.7</v>
      </c>
      <c r="F423" s="134">
        <f t="shared" ref="F423:G423" si="74">SUM(F422:F422)</f>
        <v>1650.5790000000002</v>
      </c>
      <c r="G423" s="134">
        <f t="shared" si="74"/>
        <v>25230.279000000002</v>
      </c>
    </row>
    <row r="424" spans="1:9" ht="18" customHeight="1" thickTop="1" x14ac:dyDescent="0.3">
      <c r="A424" s="126"/>
      <c r="B424" s="111"/>
      <c r="C424" s="112"/>
      <c r="D424" s="119"/>
      <c r="E424" s="113"/>
      <c r="F424" s="113"/>
      <c r="G424" s="113"/>
    </row>
    <row r="425" spans="1:9" ht="23.25" x14ac:dyDescent="0.5">
      <c r="A425" s="361" t="s">
        <v>75</v>
      </c>
      <c r="B425" s="361"/>
      <c r="C425" s="361"/>
      <c r="D425" s="361"/>
      <c r="E425" s="361"/>
      <c r="F425" s="361"/>
      <c r="G425" s="361"/>
    </row>
    <row r="426" spans="1:9" ht="18" customHeight="1" x14ac:dyDescent="0.3">
      <c r="A426" s="94" t="s">
        <v>2</v>
      </c>
      <c r="B426" s="95" t="s">
        <v>3</v>
      </c>
      <c r="C426" s="95" t="s">
        <v>76</v>
      </c>
      <c r="D426" s="3" t="s">
        <v>5</v>
      </c>
      <c r="E426" s="95" t="s">
        <v>6</v>
      </c>
      <c r="F426" s="95" t="s">
        <v>7</v>
      </c>
      <c r="G426" s="95" t="s">
        <v>8</v>
      </c>
    </row>
    <row r="427" spans="1:9" ht="18" customHeight="1" x14ac:dyDescent="0.4">
      <c r="A427" s="127" t="s">
        <v>703</v>
      </c>
      <c r="B427" s="5" t="s">
        <v>77</v>
      </c>
      <c r="C427" s="128">
        <v>100</v>
      </c>
      <c r="D427" s="40">
        <v>674</v>
      </c>
      <c r="E427" s="6">
        <f t="shared" ref="E427:E431" si="75">+C427*D427</f>
        <v>67400</v>
      </c>
      <c r="F427" s="6">
        <f t="shared" ref="F427:F431" si="76">+E427*7%</f>
        <v>4718</v>
      </c>
      <c r="G427" s="6">
        <f t="shared" ref="G427:G431" si="77">+E427+F427</f>
        <v>72118</v>
      </c>
      <c r="I427">
        <v>6904010</v>
      </c>
    </row>
    <row r="428" spans="1:9" ht="18" customHeight="1" x14ac:dyDescent="0.4">
      <c r="A428" s="127" t="s">
        <v>703</v>
      </c>
      <c r="B428" s="129" t="s">
        <v>78</v>
      </c>
      <c r="C428" s="130">
        <v>2</v>
      </c>
      <c r="D428" s="19">
        <v>852</v>
      </c>
      <c r="E428" s="60">
        <f t="shared" si="75"/>
        <v>1704</v>
      </c>
      <c r="F428" s="60">
        <f t="shared" si="76"/>
        <v>119.28000000000002</v>
      </c>
      <c r="G428" s="60">
        <f t="shared" si="77"/>
        <v>1823.28</v>
      </c>
      <c r="I428">
        <v>6904011</v>
      </c>
    </row>
    <row r="429" spans="1:9" ht="18" customHeight="1" x14ac:dyDescent="0.4">
      <c r="A429" s="127" t="s">
        <v>691</v>
      </c>
      <c r="B429" s="129" t="s">
        <v>78</v>
      </c>
      <c r="C429" s="130">
        <v>179</v>
      </c>
      <c r="D429" s="19">
        <v>674</v>
      </c>
      <c r="E429" s="60">
        <f t="shared" si="75"/>
        <v>120646</v>
      </c>
      <c r="F429" s="60">
        <f t="shared" si="76"/>
        <v>8445.2200000000012</v>
      </c>
      <c r="G429" s="60">
        <f t="shared" si="77"/>
        <v>129091.22</v>
      </c>
      <c r="I429">
        <v>6904103</v>
      </c>
    </row>
    <row r="430" spans="1:9" ht="18" customHeight="1" x14ac:dyDescent="0.4">
      <c r="A430" s="127" t="s">
        <v>691</v>
      </c>
      <c r="B430" s="129" t="s">
        <v>78</v>
      </c>
      <c r="C430" s="130">
        <v>16</v>
      </c>
      <c r="D430" s="19">
        <v>852</v>
      </c>
      <c r="E430" s="60">
        <f t="shared" si="75"/>
        <v>13632</v>
      </c>
      <c r="F430" s="60">
        <f t="shared" si="76"/>
        <v>954.24000000000012</v>
      </c>
      <c r="G430" s="60">
        <f t="shared" si="77"/>
        <v>14586.24</v>
      </c>
      <c r="I430">
        <v>6904102</v>
      </c>
    </row>
    <row r="431" spans="1:9" ht="18" customHeight="1" x14ac:dyDescent="0.4">
      <c r="A431" s="127" t="s">
        <v>696</v>
      </c>
      <c r="B431" s="129" t="s">
        <v>78</v>
      </c>
      <c r="C431" s="130">
        <v>80</v>
      </c>
      <c r="D431" s="19">
        <v>852</v>
      </c>
      <c r="E431" s="60">
        <f t="shared" si="75"/>
        <v>68160</v>
      </c>
      <c r="F431" s="60">
        <f t="shared" si="76"/>
        <v>4771.2000000000007</v>
      </c>
      <c r="G431" s="60">
        <f t="shared" si="77"/>
        <v>72931.199999999997</v>
      </c>
      <c r="I431">
        <v>6904257</v>
      </c>
    </row>
    <row r="432" spans="1:9" ht="18" customHeight="1" thickBot="1" x14ac:dyDescent="0.35">
      <c r="A432" s="131"/>
      <c r="B432" s="95" t="s">
        <v>15</v>
      </c>
      <c r="C432" s="132">
        <f>SUM(C427:C431)</f>
        <v>377</v>
      </c>
      <c r="D432" s="133"/>
      <c r="E432" s="134">
        <f>SUM(E427:E431)</f>
        <v>271542</v>
      </c>
      <c r="F432" s="134">
        <f t="shared" ref="F432:G432" si="78">SUM(F427:F431)</f>
        <v>19007.940000000002</v>
      </c>
      <c r="G432" s="134">
        <f t="shared" si="78"/>
        <v>290549.94</v>
      </c>
    </row>
    <row r="433" spans="1:9" ht="18" customHeight="1" thickTop="1" x14ac:dyDescent="0.3">
      <c r="A433" s="126"/>
      <c r="B433" s="111"/>
      <c r="C433" s="112"/>
      <c r="D433" s="119"/>
      <c r="E433" s="113"/>
      <c r="F433" s="113"/>
      <c r="G433" s="113"/>
    </row>
    <row r="434" spans="1:9" ht="18" customHeight="1" x14ac:dyDescent="0.3">
      <c r="A434" s="27" t="s">
        <v>2</v>
      </c>
      <c r="B434" s="28" t="s">
        <v>3</v>
      </c>
      <c r="C434" s="28" t="s">
        <v>79</v>
      </c>
      <c r="D434" s="119"/>
      <c r="E434" s="111"/>
      <c r="F434" s="111"/>
      <c r="G434" s="111"/>
    </row>
    <row r="435" spans="1:9" ht="18" customHeight="1" x14ac:dyDescent="0.4">
      <c r="A435" s="127" t="s">
        <v>703</v>
      </c>
      <c r="B435" s="5" t="s">
        <v>80</v>
      </c>
      <c r="C435" s="128">
        <v>1164.6500000000001</v>
      </c>
      <c r="D435" s="88"/>
      <c r="E435" s="135"/>
      <c r="F435" s="111"/>
      <c r="G435" s="135"/>
      <c r="I435">
        <v>6904010</v>
      </c>
    </row>
    <row r="436" spans="1:9" ht="18" customHeight="1" x14ac:dyDescent="0.4">
      <c r="A436" s="127" t="s">
        <v>703</v>
      </c>
      <c r="B436" s="5" t="s">
        <v>80</v>
      </c>
      <c r="C436" s="136">
        <v>23.6</v>
      </c>
      <c r="D436" s="70"/>
      <c r="E436" s="120"/>
      <c r="F436" s="120"/>
      <c r="G436" s="120"/>
      <c r="I436">
        <v>6904011</v>
      </c>
    </row>
    <row r="437" spans="1:9" ht="18" customHeight="1" x14ac:dyDescent="0.4">
      <c r="A437" s="127" t="s">
        <v>691</v>
      </c>
      <c r="B437" s="5" t="s">
        <v>80</v>
      </c>
      <c r="C437" s="136">
        <v>2094.4</v>
      </c>
      <c r="D437" s="70"/>
      <c r="E437" s="120"/>
      <c r="F437" s="120"/>
      <c r="G437" s="120"/>
      <c r="I437">
        <v>6904103</v>
      </c>
    </row>
    <row r="438" spans="1:9" ht="18" customHeight="1" x14ac:dyDescent="0.4">
      <c r="A438" s="127" t="s">
        <v>691</v>
      </c>
      <c r="B438" s="5" t="s">
        <v>80</v>
      </c>
      <c r="C438" s="136">
        <v>185.65</v>
      </c>
      <c r="D438" s="70"/>
      <c r="E438" s="120"/>
      <c r="F438" s="120"/>
      <c r="G438" s="120"/>
      <c r="I438">
        <v>6904102</v>
      </c>
    </row>
    <row r="439" spans="1:9" ht="18" customHeight="1" x14ac:dyDescent="0.4">
      <c r="A439" s="127" t="s">
        <v>696</v>
      </c>
      <c r="B439" s="5" t="s">
        <v>80</v>
      </c>
      <c r="C439" s="136">
        <v>943</v>
      </c>
      <c r="D439" s="70"/>
      <c r="E439" s="120"/>
      <c r="F439" s="120"/>
      <c r="G439" s="120"/>
      <c r="I439">
        <v>6904257</v>
      </c>
    </row>
    <row r="440" spans="1:9" ht="18" customHeight="1" thickBot="1" x14ac:dyDescent="0.35">
      <c r="A440" s="131"/>
      <c r="B440" s="95" t="s">
        <v>15</v>
      </c>
      <c r="C440" s="132">
        <f>SUM(C435:C439)</f>
        <v>4411.3</v>
      </c>
      <c r="D440" s="119"/>
      <c r="E440" s="113"/>
      <c r="F440" s="113"/>
      <c r="G440" s="113"/>
    </row>
    <row r="441" spans="1:9" ht="18" customHeight="1" thickTop="1" x14ac:dyDescent="0.3">
      <c r="A441" s="126"/>
      <c r="B441" s="111"/>
      <c r="C441" s="112"/>
      <c r="D441" s="119"/>
      <c r="E441" s="113"/>
      <c r="F441" s="113"/>
      <c r="G441" s="113"/>
    </row>
    <row r="442" spans="1:9" ht="23.25" x14ac:dyDescent="0.3">
      <c r="A442" s="359" t="s">
        <v>81</v>
      </c>
      <c r="B442" s="359"/>
      <c r="C442" s="359"/>
      <c r="D442" s="359"/>
      <c r="E442" s="359"/>
      <c r="F442" s="359"/>
      <c r="G442" s="359"/>
    </row>
    <row r="443" spans="1:9" ht="18" customHeight="1" x14ac:dyDescent="0.3">
      <c r="A443" s="1" t="s">
        <v>2</v>
      </c>
      <c r="B443" s="2" t="s">
        <v>3</v>
      </c>
      <c r="C443" s="2" t="s">
        <v>4</v>
      </c>
      <c r="D443" s="3" t="s">
        <v>5</v>
      </c>
      <c r="E443" s="2" t="s">
        <v>6</v>
      </c>
      <c r="F443" s="2" t="s">
        <v>7</v>
      </c>
      <c r="G443" s="2" t="s">
        <v>8</v>
      </c>
    </row>
    <row r="444" spans="1:9" ht="18" customHeight="1" x14ac:dyDescent="0.4">
      <c r="A444" s="4" t="s">
        <v>695</v>
      </c>
      <c r="B444" s="5" t="s">
        <v>83</v>
      </c>
      <c r="C444" s="128">
        <v>202.15</v>
      </c>
      <c r="D444" s="40">
        <v>74</v>
      </c>
      <c r="E444" s="6">
        <f t="shared" ref="E444:E447" si="79">+C444*D444</f>
        <v>14959.1</v>
      </c>
      <c r="F444" s="60">
        <f t="shared" ref="F444:F447" si="80">+E444*7%</f>
        <v>1047.1370000000002</v>
      </c>
      <c r="G444" s="60">
        <f t="shared" ref="G444:G447" si="81">+E444+F444</f>
        <v>16006.237000000001</v>
      </c>
      <c r="I444">
        <v>6904226</v>
      </c>
    </row>
    <row r="445" spans="1:9" ht="18" customHeight="1" x14ac:dyDescent="0.4">
      <c r="A445" s="4" t="s">
        <v>695</v>
      </c>
      <c r="B445" s="5" t="s">
        <v>83</v>
      </c>
      <c r="C445" s="128">
        <v>177.85</v>
      </c>
      <c r="D445" s="40">
        <v>74</v>
      </c>
      <c r="E445" s="6">
        <f t="shared" si="79"/>
        <v>13160.9</v>
      </c>
      <c r="F445" s="60">
        <f t="shared" si="80"/>
        <v>921.26300000000003</v>
      </c>
      <c r="G445" s="60">
        <f t="shared" si="81"/>
        <v>14082.163</v>
      </c>
      <c r="I445">
        <v>6904227</v>
      </c>
    </row>
    <row r="446" spans="1:9" ht="18" customHeight="1" x14ac:dyDescent="0.4">
      <c r="A446" s="4" t="s">
        <v>703</v>
      </c>
      <c r="B446" s="5" t="s">
        <v>266</v>
      </c>
      <c r="C446" s="128">
        <v>200.3</v>
      </c>
      <c r="D446" s="40">
        <v>74</v>
      </c>
      <c r="E446" s="6">
        <f t="shared" si="79"/>
        <v>14822.2</v>
      </c>
      <c r="F446" s="60">
        <f t="shared" si="80"/>
        <v>1037.5540000000001</v>
      </c>
      <c r="G446" s="60">
        <f t="shared" si="81"/>
        <v>15859.754000000001</v>
      </c>
      <c r="I446">
        <v>6904006</v>
      </c>
    </row>
    <row r="447" spans="1:9" ht="18" customHeight="1" x14ac:dyDescent="0.4">
      <c r="A447" s="4" t="s">
        <v>703</v>
      </c>
      <c r="B447" s="5" t="s">
        <v>282</v>
      </c>
      <c r="C447" s="128">
        <v>186.15</v>
      </c>
      <c r="D447" s="40">
        <v>100</v>
      </c>
      <c r="E447" s="6">
        <f t="shared" si="79"/>
        <v>18615</v>
      </c>
      <c r="F447" s="60">
        <f t="shared" si="80"/>
        <v>1303.0500000000002</v>
      </c>
      <c r="G447" s="60">
        <f t="shared" si="81"/>
        <v>19918.05</v>
      </c>
      <c r="I447">
        <v>6904007</v>
      </c>
    </row>
    <row r="448" spans="1:9" ht="18" customHeight="1" thickBot="1" x14ac:dyDescent="0.35">
      <c r="A448" s="61"/>
      <c r="B448" s="137" t="s">
        <v>15</v>
      </c>
      <c r="C448" s="18">
        <f>SUM(C444:C447)</f>
        <v>766.44999999999993</v>
      </c>
      <c r="D448" s="66"/>
      <c r="E448" s="18">
        <f>SUM(E444:E447)</f>
        <v>61557.2</v>
      </c>
      <c r="F448" s="18">
        <f t="shared" ref="F448:G448" si="82">SUM(F444:F447)</f>
        <v>4309.0040000000008</v>
      </c>
      <c r="G448" s="18">
        <f t="shared" si="82"/>
        <v>65866.203999999998</v>
      </c>
    </row>
    <row r="449" spans="1:9" ht="15" customHeight="1" thickTop="1" x14ac:dyDescent="0.4">
      <c r="A449" s="21"/>
      <c r="B449" s="22"/>
      <c r="C449" s="23"/>
      <c r="D449" s="24"/>
      <c r="E449" s="23"/>
      <c r="F449" s="23"/>
      <c r="G449" s="23"/>
    </row>
    <row r="450" spans="1:9" ht="23.25" x14ac:dyDescent="0.3">
      <c r="A450" s="362" t="s">
        <v>84</v>
      </c>
      <c r="B450" s="362"/>
      <c r="C450" s="362"/>
      <c r="D450" s="362"/>
      <c r="E450" s="362"/>
      <c r="F450" s="362"/>
      <c r="G450" s="362"/>
    </row>
    <row r="451" spans="1:9" ht="18" customHeight="1" x14ac:dyDescent="0.3">
      <c r="A451" s="1" t="s">
        <v>2</v>
      </c>
      <c r="B451" s="2" t="s">
        <v>3</v>
      </c>
      <c r="C451" s="2" t="s">
        <v>4</v>
      </c>
      <c r="D451" s="3" t="s">
        <v>5</v>
      </c>
      <c r="E451" s="2" t="s">
        <v>6</v>
      </c>
      <c r="F451" s="2" t="s">
        <v>7</v>
      </c>
      <c r="G451" s="2" t="s">
        <v>8</v>
      </c>
    </row>
    <row r="452" spans="1:9" ht="18" customHeight="1" x14ac:dyDescent="0.4">
      <c r="A452" s="11" t="s">
        <v>693</v>
      </c>
      <c r="B452" s="5" t="s">
        <v>258</v>
      </c>
      <c r="C452" s="138">
        <v>2089.25</v>
      </c>
      <c r="D452" s="40">
        <v>65</v>
      </c>
      <c r="E452" s="6">
        <f t="shared" ref="E452:E454" si="83">+C452*D452</f>
        <v>135801.25</v>
      </c>
      <c r="F452" s="60">
        <f t="shared" ref="F452:F454" si="84">+E452*7%</f>
        <v>9506.0875000000015</v>
      </c>
      <c r="G452" s="60">
        <f t="shared" ref="G452:G454" si="85">+E452+F452</f>
        <v>145307.33749999999</v>
      </c>
      <c r="I452">
        <v>6904173</v>
      </c>
    </row>
    <row r="453" spans="1:9" ht="18" customHeight="1" x14ac:dyDescent="0.4">
      <c r="A453" s="11" t="s">
        <v>697</v>
      </c>
      <c r="B453" s="5" t="s">
        <v>258</v>
      </c>
      <c r="C453" s="138">
        <v>2568.0500000000002</v>
      </c>
      <c r="D453" s="40">
        <v>65</v>
      </c>
      <c r="E453" s="6">
        <f t="shared" si="83"/>
        <v>166923.25</v>
      </c>
      <c r="F453" s="60">
        <f t="shared" si="84"/>
        <v>11684.627500000001</v>
      </c>
      <c r="G453" s="60">
        <f t="shared" si="85"/>
        <v>178607.8775</v>
      </c>
      <c r="I453">
        <v>6904275</v>
      </c>
    </row>
    <row r="454" spans="1:9" ht="18" customHeight="1" x14ac:dyDescent="0.4">
      <c r="A454" s="11" t="s">
        <v>700</v>
      </c>
      <c r="B454" s="5" t="s">
        <v>258</v>
      </c>
      <c r="C454" s="138">
        <v>1325.95</v>
      </c>
      <c r="D454" s="40">
        <v>65</v>
      </c>
      <c r="E454" s="6">
        <f t="shared" si="83"/>
        <v>86186.75</v>
      </c>
      <c r="F454" s="60">
        <f t="shared" si="84"/>
        <v>6033.0725000000002</v>
      </c>
      <c r="G454" s="60">
        <f t="shared" si="85"/>
        <v>92219.822499999995</v>
      </c>
      <c r="I454">
        <v>6904330</v>
      </c>
    </row>
    <row r="455" spans="1:9" ht="18" customHeight="1" thickBot="1" x14ac:dyDescent="0.35">
      <c r="A455" s="139"/>
      <c r="B455" s="17" t="s">
        <v>15</v>
      </c>
      <c r="C455" s="18">
        <f>SUM(C452:C454)</f>
        <v>5983.25</v>
      </c>
      <c r="D455" s="141"/>
      <c r="E455" s="18">
        <f>SUM(E452:E454)</f>
        <v>388911.25</v>
      </c>
      <c r="F455" s="18">
        <f t="shared" ref="F455:G455" si="86">SUM(F452:F454)</f>
        <v>27223.787500000006</v>
      </c>
      <c r="G455" s="18">
        <f t="shared" si="86"/>
        <v>416135.03749999998</v>
      </c>
    </row>
    <row r="456" spans="1:9" ht="18" customHeight="1" thickTop="1" x14ac:dyDescent="0.4">
      <c r="A456" s="21"/>
      <c r="B456" s="22"/>
      <c r="C456" s="23"/>
      <c r="D456" s="140"/>
      <c r="E456" s="23"/>
      <c r="F456" s="25"/>
      <c r="G456" s="23"/>
    </row>
    <row r="457" spans="1:9" ht="23.25" x14ac:dyDescent="0.3">
      <c r="A457" s="359" t="s">
        <v>517</v>
      </c>
      <c r="B457" s="359"/>
      <c r="C457" s="359"/>
      <c r="D457" s="359"/>
      <c r="E457" s="359"/>
      <c r="F457" s="359"/>
      <c r="G457" s="359"/>
    </row>
    <row r="458" spans="1:9" ht="18" customHeight="1" x14ac:dyDescent="0.3">
      <c r="A458" s="1" t="s">
        <v>2</v>
      </c>
      <c r="B458" s="2" t="s">
        <v>3</v>
      </c>
      <c r="C458" s="2" t="s">
        <v>4</v>
      </c>
      <c r="D458" s="3" t="s">
        <v>5</v>
      </c>
      <c r="E458" s="2" t="s">
        <v>6</v>
      </c>
      <c r="F458" s="2" t="s">
        <v>7</v>
      </c>
      <c r="G458" s="2" t="s">
        <v>8</v>
      </c>
    </row>
    <row r="459" spans="1:9" ht="18" customHeight="1" x14ac:dyDescent="0.4">
      <c r="A459" s="81" t="s">
        <v>703</v>
      </c>
      <c r="B459" s="5" t="s">
        <v>728</v>
      </c>
      <c r="C459" s="128">
        <v>247.05</v>
      </c>
      <c r="D459" s="40">
        <v>67</v>
      </c>
      <c r="E459" s="6">
        <f>+C459*D459</f>
        <v>16552.350000000002</v>
      </c>
      <c r="F459" s="60">
        <f>+E459*7%</f>
        <v>1158.6645000000003</v>
      </c>
      <c r="G459" s="60">
        <f>+E459+F459</f>
        <v>17711.014500000001</v>
      </c>
      <c r="I459">
        <v>6904008</v>
      </c>
    </row>
    <row r="460" spans="1:9" ht="18" customHeight="1" x14ac:dyDescent="0.4">
      <c r="A460" s="81" t="s">
        <v>695</v>
      </c>
      <c r="B460" s="5" t="s">
        <v>728</v>
      </c>
      <c r="C460" s="128">
        <v>307.8</v>
      </c>
      <c r="D460" s="40">
        <v>67</v>
      </c>
      <c r="E460" s="6">
        <f>+C460*D460</f>
        <v>20622.600000000002</v>
      </c>
      <c r="F460" s="60">
        <f>+E460*7%</f>
        <v>1443.5820000000003</v>
      </c>
      <c r="G460" s="60">
        <f>+E460+F460</f>
        <v>22066.182000000001</v>
      </c>
      <c r="I460">
        <v>6904231</v>
      </c>
    </row>
    <row r="461" spans="1:9" ht="18" customHeight="1" thickBot="1" x14ac:dyDescent="0.45">
      <c r="A461" s="61"/>
      <c r="B461" s="137" t="s">
        <v>15</v>
      </c>
      <c r="C461" s="43">
        <f>SUM(C459:C460)</f>
        <v>554.85</v>
      </c>
      <c r="D461" s="51"/>
      <c r="E461" s="89">
        <f>SUM(E459:E460)</f>
        <v>37174.950000000004</v>
      </c>
      <c r="F461" s="89">
        <f t="shared" ref="F461:G461" si="87">SUM(F459:F460)</f>
        <v>2602.2465000000007</v>
      </c>
      <c r="G461" s="89">
        <f t="shared" si="87"/>
        <v>39777.196500000005</v>
      </c>
    </row>
    <row r="462" spans="1:9" ht="18" customHeight="1" thickTop="1" x14ac:dyDescent="0.4">
      <c r="A462" s="21"/>
      <c r="B462" s="22"/>
      <c r="C462" s="23"/>
      <c r="D462" s="140"/>
      <c r="E462" s="23"/>
      <c r="F462" s="25"/>
      <c r="G462" s="23"/>
    </row>
    <row r="463" spans="1:9" ht="23.25" x14ac:dyDescent="0.3">
      <c r="A463" s="359" t="s">
        <v>517</v>
      </c>
      <c r="B463" s="359"/>
      <c r="C463" s="359"/>
      <c r="D463" s="359"/>
      <c r="E463" s="359"/>
      <c r="F463" s="359"/>
      <c r="G463" s="359"/>
    </row>
    <row r="464" spans="1:9" ht="18" customHeight="1" x14ac:dyDescent="0.3">
      <c r="A464" s="1" t="s">
        <v>2</v>
      </c>
      <c r="B464" s="2" t="s">
        <v>3</v>
      </c>
      <c r="C464" s="2" t="s">
        <v>92</v>
      </c>
      <c r="D464" s="3" t="s">
        <v>5</v>
      </c>
      <c r="E464" s="2" t="s">
        <v>6</v>
      </c>
      <c r="F464" s="2" t="s">
        <v>7</v>
      </c>
      <c r="G464" s="2" t="s">
        <v>8</v>
      </c>
    </row>
    <row r="465" spans="1:9" ht="18" customHeight="1" x14ac:dyDescent="0.4">
      <c r="A465" s="81" t="s">
        <v>707</v>
      </c>
      <c r="B465" s="5" t="s">
        <v>729</v>
      </c>
      <c r="C465" s="128">
        <v>5000</v>
      </c>
      <c r="D465" s="40">
        <v>9.25</v>
      </c>
      <c r="E465" s="6">
        <f>+C465*D465</f>
        <v>46250</v>
      </c>
      <c r="F465" s="60">
        <f>+E465*7%</f>
        <v>3237.5000000000005</v>
      </c>
      <c r="G465" s="60">
        <f>+E465+F465</f>
        <v>49487.5</v>
      </c>
      <c r="I465">
        <v>6904118</v>
      </c>
    </row>
    <row r="466" spans="1:9" ht="18" customHeight="1" x14ac:dyDescent="0.4">
      <c r="A466" s="81" t="s">
        <v>695</v>
      </c>
      <c r="B466" s="5" t="s">
        <v>518</v>
      </c>
      <c r="C466" s="128">
        <v>5000</v>
      </c>
      <c r="D466" s="40">
        <v>8.25</v>
      </c>
      <c r="E466" s="6">
        <f>+C466*D466</f>
        <v>41250</v>
      </c>
      <c r="F466" s="60">
        <f>+E466*7%</f>
        <v>2887.5000000000005</v>
      </c>
      <c r="G466" s="60">
        <f>+E466+F466</f>
        <v>44137.5</v>
      </c>
      <c r="I466">
        <v>6904230</v>
      </c>
    </row>
    <row r="467" spans="1:9" ht="18" customHeight="1" x14ac:dyDescent="0.4">
      <c r="A467" s="81" t="s">
        <v>709</v>
      </c>
      <c r="B467" s="5" t="s">
        <v>518</v>
      </c>
      <c r="C467" s="128">
        <v>5000</v>
      </c>
      <c r="D467" s="40">
        <v>8.25</v>
      </c>
      <c r="E467" s="6">
        <f>+C467*D467</f>
        <v>41250</v>
      </c>
      <c r="F467" s="60">
        <f>+E467*7%</f>
        <v>2887.5000000000005</v>
      </c>
      <c r="G467" s="60">
        <f>+E467+F467</f>
        <v>44137.5</v>
      </c>
      <c r="I467">
        <v>6904317</v>
      </c>
    </row>
    <row r="468" spans="1:9" ht="18" customHeight="1" x14ac:dyDescent="0.4">
      <c r="A468" s="81" t="s">
        <v>700</v>
      </c>
      <c r="B468" s="5" t="s">
        <v>518</v>
      </c>
      <c r="C468" s="128">
        <v>5000</v>
      </c>
      <c r="D468" s="40">
        <v>8.25</v>
      </c>
      <c r="E468" s="6">
        <f>+C468*D468</f>
        <v>41250</v>
      </c>
      <c r="F468" s="60">
        <f>+E468*7%</f>
        <v>2887.5000000000005</v>
      </c>
      <c r="G468" s="60">
        <f>+E468+F468</f>
        <v>44137.5</v>
      </c>
      <c r="I468">
        <v>6904332</v>
      </c>
    </row>
    <row r="469" spans="1:9" ht="18" customHeight="1" thickBot="1" x14ac:dyDescent="0.45">
      <c r="A469" s="61"/>
      <c r="B469" s="137" t="s">
        <v>15</v>
      </c>
      <c r="C469" s="43">
        <f>SUM(C465:C468)</f>
        <v>20000</v>
      </c>
      <c r="D469" s="51"/>
      <c r="E469" s="89">
        <f>SUM(E465:E468)</f>
        <v>170000</v>
      </c>
      <c r="F469" s="89">
        <f t="shared" ref="F469:G469" si="88">SUM(F465:F468)</f>
        <v>11900.000000000002</v>
      </c>
      <c r="G469" s="89">
        <f t="shared" si="88"/>
        <v>181900</v>
      </c>
    </row>
    <row r="470" spans="1:9" ht="12.75" customHeight="1" thickTop="1" x14ac:dyDescent="0.4">
      <c r="A470" s="21"/>
      <c r="B470" s="22"/>
      <c r="C470" s="23"/>
      <c r="D470" s="24"/>
      <c r="E470" s="23"/>
      <c r="F470" s="23"/>
      <c r="G470" s="23"/>
    </row>
    <row r="471" spans="1:9" s="108" customFormat="1" ht="18" customHeight="1" thickBot="1" x14ac:dyDescent="0.45">
      <c r="A471" s="143"/>
      <c r="B471" s="106" t="s">
        <v>558</v>
      </c>
      <c r="C471" s="203">
        <v>0</v>
      </c>
      <c r="D471" s="144">
        <v>0.23580000000000001</v>
      </c>
      <c r="E471" s="189">
        <f>+C471*D471</f>
        <v>0</v>
      </c>
      <c r="F471" s="145">
        <f>SUM(E471:E473)</f>
        <v>3253</v>
      </c>
      <c r="G471" s="316"/>
    </row>
    <row r="472" spans="1:9" s="108" customFormat="1" ht="18" customHeight="1" thickTop="1" x14ac:dyDescent="0.4">
      <c r="A472" s="143"/>
      <c r="B472" s="106" t="s">
        <v>559</v>
      </c>
      <c r="C472" s="203">
        <f>C466+C467+C468</f>
        <v>15000</v>
      </c>
      <c r="D472" s="144">
        <v>0.16500000000000001</v>
      </c>
      <c r="E472" s="189">
        <f>+C472*D472</f>
        <v>2475</v>
      </c>
      <c r="F472" s="146"/>
      <c r="G472" s="316"/>
    </row>
    <row r="473" spans="1:9" s="108" customFormat="1" ht="18" customHeight="1" x14ac:dyDescent="0.4">
      <c r="A473" s="143"/>
      <c r="B473" s="106" t="s">
        <v>560</v>
      </c>
      <c r="C473" s="203">
        <f>C465</f>
        <v>5000</v>
      </c>
      <c r="D473" s="55">
        <v>0.15559999999999999</v>
      </c>
      <c r="E473" s="189">
        <f>+C473*D473</f>
        <v>777.99999999999989</v>
      </c>
      <c r="F473" s="54"/>
      <c r="G473" s="316"/>
    </row>
    <row r="474" spans="1:9" s="108" customFormat="1" ht="12" customHeight="1" x14ac:dyDescent="0.4">
      <c r="A474" s="143"/>
      <c r="B474" s="106"/>
      <c r="C474" s="203"/>
      <c r="D474" s="55"/>
      <c r="E474" s="189"/>
      <c r="F474" s="54"/>
      <c r="G474" s="316"/>
    </row>
    <row r="475" spans="1:9" ht="23.25" x14ac:dyDescent="0.3">
      <c r="A475" s="359" t="s">
        <v>87</v>
      </c>
      <c r="B475" s="359"/>
      <c r="C475" s="359"/>
      <c r="D475" s="359"/>
      <c r="E475" s="359"/>
      <c r="F475" s="359"/>
      <c r="G475" s="359"/>
    </row>
    <row r="476" spans="1:9" ht="18" customHeight="1" x14ac:dyDescent="0.4">
      <c r="A476" s="57" t="s">
        <v>2</v>
      </c>
      <c r="B476" s="58" t="s">
        <v>3</v>
      </c>
      <c r="C476" s="2" t="s">
        <v>4</v>
      </c>
      <c r="D476" s="59" t="s">
        <v>5</v>
      </c>
      <c r="E476" s="58" t="s">
        <v>6</v>
      </c>
      <c r="F476" s="58" t="s">
        <v>7</v>
      </c>
      <c r="G476" s="58" t="s">
        <v>8</v>
      </c>
    </row>
    <row r="477" spans="1:9" ht="18" customHeight="1" x14ac:dyDescent="0.4">
      <c r="A477" s="16" t="s">
        <v>704</v>
      </c>
      <c r="B477" s="5" t="s">
        <v>90</v>
      </c>
      <c r="C477" s="37">
        <v>509.45</v>
      </c>
      <c r="D477" s="51">
        <v>70</v>
      </c>
      <c r="E477" s="60">
        <f t="shared" ref="E477:E481" si="89">+C477*D477</f>
        <v>35661.5</v>
      </c>
      <c r="F477" s="60">
        <f t="shared" ref="F477:F481" si="90">+E477*7%</f>
        <v>2496.3050000000003</v>
      </c>
      <c r="G477" s="60">
        <f t="shared" ref="G477:G481" si="91">+E477+F477</f>
        <v>38157.805</v>
      </c>
      <c r="I477">
        <v>6904071</v>
      </c>
    </row>
    <row r="478" spans="1:9" ht="18" customHeight="1" x14ac:dyDescent="0.4">
      <c r="A478" s="16" t="s">
        <v>707</v>
      </c>
      <c r="B478" s="5" t="s">
        <v>90</v>
      </c>
      <c r="C478" s="37">
        <v>499.35</v>
      </c>
      <c r="D478" s="51">
        <v>70</v>
      </c>
      <c r="E478" s="60">
        <f t="shared" si="89"/>
        <v>34954.5</v>
      </c>
      <c r="F478" s="60">
        <f t="shared" si="90"/>
        <v>2446.8150000000001</v>
      </c>
      <c r="G478" s="60">
        <f t="shared" si="91"/>
        <v>37401.315000000002</v>
      </c>
      <c r="I478">
        <v>6904119</v>
      </c>
    </row>
    <row r="479" spans="1:9" ht="18" customHeight="1" x14ac:dyDescent="0.4">
      <c r="A479" s="16" t="s">
        <v>693</v>
      </c>
      <c r="B479" s="5" t="s">
        <v>90</v>
      </c>
      <c r="C479" s="37">
        <v>521.70000000000005</v>
      </c>
      <c r="D479" s="51">
        <v>70</v>
      </c>
      <c r="E479" s="60">
        <f t="shared" si="89"/>
        <v>36519</v>
      </c>
      <c r="F479" s="60">
        <f t="shared" si="90"/>
        <v>2556.3300000000004</v>
      </c>
      <c r="G479" s="60">
        <f t="shared" si="91"/>
        <v>39075.33</v>
      </c>
      <c r="I479">
        <v>6904182</v>
      </c>
    </row>
    <row r="480" spans="1:9" ht="18" customHeight="1" x14ac:dyDescent="0.4">
      <c r="A480" s="16" t="s">
        <v>696</v>
      </c>
      <c r="B480" s="5" t="s">
        <v>90</v>
      </c>
      <c r="C480" s="37">
        <v>505.1</v>
      </c>
      <c r="D480" s="51">
        <v>82</v>
      </c>
      <c r="E480" s="60">
        <f t="shared" si="89"/>
        <v>41418.200000000004</v>
      </c>
      <c r="F480" s="60">
        <f t="shared" si="90"/>
        <v>2899.2740000000008</v>
      </c>
      <c r="G480" s="60">
        <f t="shared" si="91"/>
        <v>44317.474000000002</v>
      </c>
      <c r="I480">
        <v>6904261</v>
      </c>
    </row>
    <row r="481" spans="1:9" ht="18" customHeight="1" x14ac:dyDescent="0.4">
      <c r="A481" s="16" t="s">
        <v>700</v>
      </c>
      <c r="B481" s="5" t="s">
        <v>90</v>
      </c>
      <c r="C481" s="37">
        <v>508.45</v>
      </c>
      <c r="D481" s="51">
        <v>82</v>
      </c>
      <c r="E481" s="60">
        <f t="shared" si="89"/>
        <v>41692.9</v>
      </c>
      <c r="F481" s="60">
        <f t="shared" si="90"/>
        <v>2918.5030000000002</v>
      </c>
      <c r="G481" s="60">
        <f t="shared" si="91"/>
        <v>44611.402999999998</v>
      </c>
      <c r="I481">
        <v>6904335</v>
      </c>
    </row>
    <row r="482" spans="1:9" ht="18" customHeight="1" thickBot="1" x14ac:dyDescent="0.35">
      <c r="A482" s="84"/>
      <c r="B482" s="17" t="s">
        <v>15</v>
      </c>
      <c r="C482" s="18">
        <f>SUM(C477:C481)</f>
        <v>2544.0499999999997</v>
      </c>
      <c r="D482" s="19"/>
      <c r="E482" s="18">
        <f>SUM(E477:E481)</f>
        <v>190246.1</v>
      </c>
      <c r="F482" s="18">
        <f>SUM(F477:F481)</f>
        <v>13317.227000000003</v>
      </c>
      <c r="G482" s="18">
        <f>SUM(G477:G481)</f>
        <v>203563.32699999999</v>
      </c>
    </row>
    <row r="483" spans="1:9" ht="18" customHeight="1" thickTop="1" x14ac:dyDescent="0.3">
      <c r="A483" s="85"/>
      <c r="B483" s="68"/>
      <c r="C483" s="69"/>
      <c r="D483" s="70"/>
      <c r="E483" s="69"/>
      <c r="F483" s="69"/>
      <c r="G483" s="69"/>
    </row>
    <row r="484" spans="1:9" s="26" customFormat="1" ht="23.25" x14ac:dyDescent="0.5">
      <c r="A484" s="361" t="s">
        <v>91</v>
      </c>
      <c r="B484" s="361"/>
      <c r="C484" s="361"/>
      <c r="D484" s="361"/>
      <c r="E484" s="361"/>
      <c r="F484" s="361"/>
      <c r="G484" s="361"/>
    </row>
    <row r="485" spans="1:9" s="26" customFormat="1" ht="16.5" customHeight="1" x14ac:dyDescent="0.45">
      <c r="A485" s="150" t="s">
        <v>2</v>
      </c>
      <c r="B485" s="151" t="s">
        <v>3</v>
      </c>
      <c r="C485" s="151" t="s">
        <v>92</v>
      </c>
      <c r="D485" s="59" t="s">
        <v>5</v>
      </c>
      <c r="E485" s="151" t="s">
        <v>6</v>
      </c>
      <c r="F485" s="151" t="s">
        <v>7</v>
      </c>
      <c r="G485" s="151" t="s">
        <v>8</v>
      </c>
    </row>
    <row r="486" spans="1:9" s="26" customFormat="1" ht="16.5" customHeight="1" x14ac:dyDescent="0.45">
      <c r="A486" s="12" t="s">
        <v>696</v>
      </c>
      <c r="B486" s="152" t="s">
        <v>730</v>
      </c>
      <c r="C486" s="153">
        <v>1500</v>
      </c>
      <c r="D486" s="154">
        <v>21.5</v>
      </c>
      <c r="E486" s="60">
        <f t="shared" ref="E486:E490" si="92">+C486*D486</f>
        <v>32250</v>
      </c>
      <c r="F486" s="60">
        <f t="shared" ref="F486:F490" si="93">+E486*7%</f>
        <v>2257.5</v>
      </c>
      <c r="G486" s="60">
        <f t="shared" ref="G486:G490" si="94">+E486+F486</f>
        <v>34507.5</v>
      </c>
      <c r="I486" s="26">
        <v>6904262</v>
      </c>
    </row>
    <row r="487" spans="1:9" s="26" customFormat="1" ht="16.5" customHeight="1" x14ac:dyDescent="0.45">
      <c r="A487" s="12" t="s">
        <v>696</v>
      </c>
      <c r="B487" s="152" t="s">
        <v>731</v>
      </c>
      <c r="C487" s="153">
        <v>3000</v>
      </c>
      <c r="D487" s="154">
        <v>28.5</v>
      </c>
      <c r="E487" s="60">
        <f t="shared" si="92"/>
        <v>85500</v>
      </c>
      <c r="F487" s="60">
        <f t="shared" si="93"/>
        <v>5985.0000000000009</v>
      </c>
      <c r="G487" s="60">
        <f t="shared" si="94"/>
        <v>91485</v>
      </c>
      <c r="I487" s="26">
        <v>6904263</v>
      </c>
    </row>
    <row r="488" spans="1:9" s="26" customFormat="1" ht="16.5" customHeight="1" x14ac:dyDescent="0.45">
      <c r="A488" s="12" t="s">
        <v>700</v>
      </c>
      <c r="B488" s="152" t="s">
        <v>732</v>
      </c>
      <c r="C488" s="153">
        <v>2000</v>
      </c>
      <c r="D488" s="154">
        <v>35.25</v>
      </c>
      <c r="E488" s="60">
        <f t="shared" si="92"/>
        <v>70500</v>
      </c>
      <c r="F488" s="60">
        <f t="shared" si="93"/>
        <v>4935.0000000000009</v>
      </c>
      <c r="G488" s="60">
        <f t="shared" si="94"/>
        <v>75435</v>
      </c>
      <c r="I488" s="26">
        <v>6904331</v>
      </c>
    </row>
    <row r="489" spans="1:9" s="26" customFormat="1" ht="16.5" customHeight="1" x14ac:dyDescent="0.45">
      <c r="A489" s="12" t="s">
        <v>702</v>
      </c>
      <c r="B489" s="152" t="s">
        <v>732</v>
      </c>
      <c r="C489" s="153">
        <v>1700</v>
      </c>
      <c r="D489" s="154">
        <v>43</v>
      </c>
      <c r="E489" s="60">
        <f t="shared" si="92"/>
        <v>73100</v>
      </c>
      <c r="F489" s="60">
        <f t="shared" si="93"/>
        <v>5117.0000000000009</v>
      </c>
      <c r="G489" s="60">
        <f t="shared" si="94"/>
        <v>78217</v>
      </c>
      <c r="I489" s="26">
        <v>6904360</v>
      </c>
    </row>
    <row r="490" spans="1:9" s="26" customFormat="1" ht="16.5" customHeight="1" x14ac:dyDescent="0.45">
      <c r="A490" s="12" t="s">
        <v>697</v>
      </c>
      <c r="B490" s="152" t="s">
        <v>267</v>
      </c>
      <c r="C490" s="153">
        <v>5000</v>
      </c>
      <c r="D490" s="154">
        <v>11.5</v>
      </c>
      <c r="E490" s="60">
        <f t="shared" si="92"/>
        <v>57500</v>
      </c>
      <c r="F490" s="60">
        <f t="shared" si="93"/>
        <v>4025.0000000000005</v>
      </c>
      <c r="G490" s="60">
        <f t="shared" si="94"/>
        <v>61525</v>
      </c>
      <c r="I490" s="26">
        <v>6904276</v>
      </c>
    </row>
    <row r="491" spans="1:9" s="26" customFormat="1" ht="18" customHeight="1" thickBot="1" x14ac:dyDescent="0.5">
      <c r="A491" s="41"/>
      <c r="B491" s="151" t="s">
        <v>15</v>
      </c>
      <c r="C491" s="155">
        <f>SUM(C486:C490)</f>
        <v>13200</v>
      </c>
      <c r="D491" s="156"/>
      <c r="E491" s="157">
        <f>SUM(E486:E490)</f>
        <v>318850</v>
      </c>
      <c r="F491" s="157">
        <f>SUM(F486:F490)</f>
        <v>22319.5</v>
      </c>
      <c r="G491" s="157">
        <f>SUM(G486:G490)</f>
        <v>341169.5</v>
      </c>
    </row>
    <row r="492" spans="1:9" s="26" customFormat="1" ht="12.75" customHeight="1" thickTop="1" x14ac:dyDescent="0.45">
      <c r="A492" s="78"/>
      <c r="B492" s="91"/>
      <c r="C492" s="54"/>
      <c r="D492" s="158"/>
      <c r="E492" s="92"/>
      <c r="F492" s="92"/>
      <c r="G492" s="92"/>
    </row>
    <row r="493" spans="1:9" s="26" customFormat="1" ht="21" x14ac:dyDescent="0.45">
      <c r="A493" s="78"/>
      <c r="B493" s="22" t="s">
        <v>730</v>
      </c>
      <c r="C493" s="318">
        <f>C486</f>
        <v>1500</v>
      </c>
      <c r="D493" s="93">
        <v>0.38900000000000001</v>
      </c>
      <c r="E493" s="92"/>
      <c r="F493" s="92"/>
      <c r="G493" s="92"/>
    </row>
    <row r="494" spans="1:9" s="26" customFormat="1" ht="21" x14ac:dyDescent="0.45">
      <c r="A494" s="78"/>
      <c r="B494" s="22" t="s">
        <v>93</v>
      </c>
      <c r="C494" s="159">
        <v>0</v>
      </c>
      <c r="D494" s="93">
        <v>0.39800000000000002</v>
      </c>
      <c r="E494" s="160">
        <f t="shared" ref="E494:E504" si="95">+C494*D494</f>
        <v>0</v>
      </c>
      <c r="F494" s="120"/>
      <c r="G494" s="92"/>
    </row>
    <row r="495" spans="1:9" s="108" customFormat="1" ht="18" x14ac:dyDescent="0.4">
      <c r="A495" s="161"/>
      <c r="B495" s="162" t="s">
        <v>761</v>
      </c>
      <c r="C495" s="159">
        <v>0</v>
      </c>
      <c r="D495" s="163">
        <v>0.53</v>
      </c>
      <c r="E495" s="160">
        <f t="shared" si="95"/>
        <v>0</v>
      </c>
    </row>
    <row r="496" spans="1:9" s="108" customFormat="1" ht="18" x14ac:dyDescent="0.4">
      <c r="A496" s="161"/>
      <c r="B496" s="162" t="s">
        <v>731</v>
      </c>
      <c r="C496" s="159">
        <f>C487</f>
        <v>3000</v>
      </c>
      <c r="D496" s="163">
        <v>0.51900000000000002</v>
      </c>
      <c r="E496" s="160"/>
    </row>
    <row r="497" spans="1:9" s="108" customFormat="1" ht="18" x14ac:dyDescent="0.4">
      <c r="A497" s="161"/>
      <c r="B497" s="162" t="s">
        <v>125</v>
      </c>
      <c r="C497" s="159">
        <v>0</v>
      </c>
      <c r="D497" s="163">
        <v>0.66300000000000003</v>
      </c>
      <c r="E497" s="160">
        <f t="shared" si="95"/>
        <v>0</v>
      </c>
    </row>
    <row r="498" spans="1:9" s="108" customFormat="1" ht="18" x14ac:dyDescent="0.4">
      <c r="A498" s="161"/>
      <c r="B498" s="162" t="s">
        <v>732</v>
      </c>
      <c r="C498" s="159">
        <f>C488+C489</f>
        <v>3700</v>
      </c>
      <c r="D498" s="163">
        <v>0.64900000000000002</v>
      </c>
      <c r="E498" s="160"/>
    </row>
    <row r="499" spans="1:9" s="108" customFormat="1" ht="18.75" thickBot="1" x14ac:dyDescent="0.45">
      <c r="A499" s="143"/>
      <c r="B499" s="106" t="s">
        <v>94</v>
      </c>
      <c r="C499" s="159">
        <v>0</v>
      </c>
      <c r="D499" s="144">
        <v>8.6199999999999999E-2</v>
      </c>
      <c r="E499" s="160">
        <f t="shared" si="95"/>
        <v>0</v>
      </c>
      <c r="F499" s="145">
        <f>SUM(E493:E504)</f>
        <v>994.68000000000006</v>
      </c>
      <c r="G499" s="109"/>
    </row>
    <row r="500" spans="1:9" s="108" customFormat="1" ht="18.75" thickTop="1" x14ac:dyDescent="0.4">
      <c r="A500" s="143"/>
      <c r="B500" s="106" t="s">
        <v>98</v>
      </c>
      <c r="C500" s="159">
        <f>C490</f>
        <v>5000</v>
      </c>
      <c r="D500" s="144">
        <f>120*120*150*0.921/10000000</f>
        <v>0.198936</v>
      </c>
      <c r="E500" s="160">
        <f t="shared" si="95"/>
        <v>994.68000000000006</v>
      </c>
      <c r="F500" s="146"/>
      <c r="G500" s="109"/>
    </row>
    <row r="501" spans="1:9" s="108" customFormat="1" ht="18" x14ac:dyDescent="0.4">
      <c r="A501" s="143"/>
      <c r="B501" s="106" t="s">
        <v>95</v>
      </c>
      <c r="C501" s="159">
        <v>0</v>
      </c>
      <c r="D501" s="144">
        <v>0.77900000000000003</v>
      </c>
      <c r="E501" s="160">
        <f t="shared" si="95"/>
        <v>0</v>
      </c>
      <c r="F501" s="146"/>
      <c r="G501" s="109"/>
    </row>
    <row r="502" spans="1:9" s="108" customFormat="1" ht="18" x14ac:dyDescent="0.4">
      <c r="A502" s="143"/>
      <c r="B502" s="106" t="s">
        <v>99</v>
      </c>
      <c r="C502" s="159">
        <v>0</v>
      </c>
      <c r="D502" s="144">
        <v>1.7789999999999999</v>
      </c>
      <c r="E502" s="160">
        <f t="shared" si="95"/>
        <v>0</v>
      </c>
      <c r="F502" s="146"/>
      <c r="G502" s="109"/>
    </row>
    <row r="503" spans="1:9" s="166" customFormat="1" ht="18" x14ac:dyDescent="0.4">
      <c r="A503" s="164"/>
      <c r="B503" s="105" t="s">
        <v>96</v>
      </c>
      <c r="C503" s="159">
        <v>0</v>
      </c>
      <c r="D503" s="165">
        <v>0.13469999999999999</v>
      </c>
      <c r="E503" s="160">
        <f t="shared" si="95"/>
        <v>0</v>
      </c>
      <c r="F503" s="105"/>
      <c r="G503" s="105"/>
    </row>
    <row r="504" spans="1:9" s="166" customFormat="1" ht="18" x14ac:dyDescent="0.4">
      <c r="A504" s="164"/>
      <c r="B504" s="105" t="s">
        <v>100</v>
      </c>
      <c r="C504" s="159">
        <v>0</v>
      </c>
      <c r="D504" s="165">
        <v>0.57199999999999995</v>
      </c>
      <c r="E504" s="160">
        <f t="shared" si="95"/>
        <v>0</v>
      </c>
      <c r="F504" s="105"/>
      <c r="G504" s="105"/>
    </row>
    <row r="505" spans="1:9" s="30" customFormat="1" ht="13.5" customHeight="1" x14ac:dyDescent="0.5">
      <c r="A505" s="85"/>
      <c r="B505" s="68"/>
      <c r="C505" s="69"/>
      <c r="D505" s="70"/>
      <c r="E505" s="71"/>
      <c r="F505" s="71"/>
      <c r="G505" s="71"/>
    </row>
    <row r="506" spans="1:9" ht="23.25" x14ac:dyDescent="0.3">
      <c r="A506" s="359" t="s">
        <v>101</v>
      </c>
      <c r="B506" s="359"/>
      <c r="C506" s="359"/>
      <c r="D506" s="359"/>
      <c r="E506" s="359"/>
      <c r="F506" s="359"/>
      <c r="G506" s="359"/>
    </row>
    <row r="507" spans="1:9" ht="18" customHeight="1" x14ac:dyDescent="0.4">
      <c r="A507" s="57" t="s">
        <v>2</v>
      </c>
      <c r="B507" s="58" t="s">
        <v>3</v>
      </c>
      <c r="C507" s="2" t="s">
        <v>4</v>
      </c>
      <c r="D507" s="59" t="s">
        <v>5</v>
      </c>
      <c r="E507" s="58" t="s">
        <v>6</v>
      </c>
      <c r="F507" s="58" t="s">
        <v>7</v>
      </c>
      <c r="G507" s="58" t="s">
        <v>8</v>
      </c>
    </row>
    <row r="508" spans="1:9" ht="18" customHeight="1" x14ac:dyDescent="0.4">
      <c r="A508" s="81" t="s">
        <v>708</v>
      </c>
      <c r="B508" s="5" t="s">
        <v>165</v>
      </c>
      <c r="C508" s="167">
        <v>434.8</v>
      </c>
      <c r="D508" s="154">
        <v>65</v>
      </c>
      <c r="E508" s="60">
        <f t="shared" ref="E508" si="96">+C508*D508</f>
        <v>28262</v>
      </c>
      <c r="F508" s="60">
        <f t="shared" ref="F508" si="97">+E508*7%</f>
        <v>1978.3400000000001</v>
      </c>
      <c r="G508" s="60">
        <f t="shared" ref="G508" si="98">+E508+F508</f>
        <v>30240.34</v>
      </c>
      <c r="I508">
        <v>6904215</v>
      </c>
    </row>
    <row r="509" spans="1:9" s="30" customFormat="1" ht="18" customHeight="1" thickBot="1" x14ac:dyDescent="0.55000000000000004">
      <c r="A509" s="84"/>
      <c r="B509" s="17" t="s">
        <v>15</v>
      </c>
      <c r="C509" s="18">
        <f>SUM(C508:C508)</f>
        <v>434.8</v>
      </c>
      <c r="D509" s="19"/>
      <c r="E509" s="18">
        <f>SUM(E508:E508)</f>
        <v>28262</v>
      </c>
      <c r="F509" s="18">
        <f>SUM(F508:F508)</f>
        <v>1978.3400000000001</v>
      </c>
      <c r="G509" s="18">
        <f>SUM(G508:G508)</f>
        <v>30240.34</v>
      </c>
    </row>
    <row r="510" spans="1:9" s="30" customFormat="1" ht="12.75" customHeight="1" thickTop="1" x14ac:dyDescent="0.5">
      <c r="A510" s="85"/>
      <c r="B510" s="68"/>
      <c r="C510" s="69"/>
      <c r="D510" s="70"/>
      <c r="E510" s="69"/>
      <c r="F510" s="69"/>
      <c r="G510" s="69"/>
    </row>
    <row r="511" spans="1:9" s="30" customFormat="1" ht="23.25" x14ac:dyDescent="0.5">
      <c r="A511" s="359" t="s">
        <v>246</v>
      </c>
      <c r="B511" s="359"/>
      <c r="C511" s="359"/>
      <c r="D511" s="359"/>
      <c r="E511" s="359"/>
      <c r="F511" s="359"/>
      <c r="G511" s="359"/>
    </row>
    <row r="512" spans="1:9" s="30" customFormat="1" ht="18" customHeight="1" x14ac:dyDescent="0.5">
      <c r="A512" s="57" t="s">
        <v>2</v>
      </c>
      <c r="B512" s="58" t="s">
        <v>3</v>
      </c>
      <c r="C512" s="2" t="s">
        <v>4</v>
      </c>
      <c r="D512" s="59" t="s">
        <v>5</v>
      </c>
      <c r="E512" s="58" t="s">
        <v>6</v>
      </c>
      <c r="F512" s="58" t="s">
        <v>7</v>
      </c>
      <c r="G512" s="58" t="s">
        <v>8</v>
      </c>
    </row>
    <row r="513" spans="1:9" s="26" customFormat="1" ht="18" customHeight="1" x14ac:dyDescent="0.45">
      <c r="A513" s="16" t="s">
        <v>701</v>
      </c>
      <c r="B513" s="5" t="s">
        <v>733</v>
      </c>
      <c r="C513" s="37">
        <v>284</v>
      </c>
      <c r="D513" s="51">
        <v>80</v>
      </c>
      <c r="E513" s="60">
        <f>+C513*D513</f>
        <v>22720</v>
      </c>
      <c r="F513" s="60">
        <f>+E513*7%</f>
        <v>1590.4</v>
      </c>
      <c r="G513" s="60">
        <f>+E513+F513</f>
        <v>24310.400000000001</v>
      </c>
      <c r="I513" s="26">
        <v>6904349</v>
      </c>
    </row>
    <row r="514" spans="1:9" s="30" customFormat="1" ht="18" customHeight="1" thickBot="1" x14ac:dyDescent="0.55000000000000004">
      <c r="A514" s="84"/>
      <c r="B514" s="17" t="s">
        <v>15</v>
      </c>
      <c r="C514" s="18">
        <f>SUM(C513:C513)</f>
        <v>284</v>
      </c>
      <c r="D514" s="19"/>
      <c r="E514" s="18">
        <f>SUM(E513:E513)</f>
        <v>22720</v>
      </c>
      <c r="F514" s="18">
        <f t="shared" ref="F514:G514" si="99">SUM(F513:F513)</f>
        <v>1590.4</v>
      </c>
      <c r="G514" s="18">
        <f t="shared" si="99"/>
        <v>24310.400000000001</v>
      </c>
    </row>
    <row r="515" spans="1:9" s="30" customFormat="1" ht="18" customHeight="1" thickTop="1" x14ac:dyDescent="0.5">
      <c r="A515" s="85"/>
      <c r="B515" s="68"/>
      <c r="C515" s="69"/>
      <c r="D515" s="70"/>
      <c r="E515" s="69"/>
      <c r="F515" s="69"/>
      <c r="G515" s="69"/>
    </row>
    <row r="516" spans="1:9" s="30" customFormat="1" ht="23.25" x14ac:dyDescent="0.5">
      <c r="A516" s="359" t="s">
        <v>103</v>
      </c>
      <c r="B516" s="359"/>
      <c r="C516" s="359"/>
      <c r="D516" s="359"/>
      <c r="E516" s="359"/>
      <c r="F516" s="359"/>
      <c r="G516" s="359"/>
    </row>
    <row r="517" spans="1:9" s="30" customFormat="1" ht="18" customHeight="1" x14ac:dyDescent="0.5">
      <c r="A517" s="57" t="s">
        <v>2</v>
      </c>
      <c r="B517" s="58" t="s">
        <v>3</v>
      </c>
      <c r="C517" s="2" t="s">
        <v>4</v>
      </c>
      <c r="D517" s="59" t="s">
        <v>5</v>
      </c>
      <c r="E517" s="58" t="s">
        <v>6</v>
      </c>
      <c r="F517" s="58" t="s">
        <v>7</v>
      </c>
      <c r="G517" s="58" t="s">
        <v>8</v>
      </c>
    </row>
    <row r="518" spans="1:9" ht="18" customHeight="1" x14ac:dyDescent="0.4">
      <c r="A518" s="81" t="s">
        <v>687</v>
      </c>
      <c r="B518" s="5" t="s">
        <v>104</v>
      </c>
      <c r="C518" s="168">
        <v>511.8</v>
      </c>
      <c r="D518" s="87">
        <v>65</v>
      </c>
      <c r="E518" s="6">
        <f>+C518*D518</f>
        <v>33267</v>
      </c>
      <c r="F518" s="6">
        <f>+E518*7%</f>
        <v>2328.69</v>
      </c>
      <c r="G518" s="6">
        <f>+E518+F518</f>
        <v>35595.69</v>
      </c>
      <c r="I518">
        <v>6904033</v>
      </c>
    </row>
    <row r="519" spans="1:9" ht="18" customHeight="1" x14ac:dyDescent="0.4">
      <c r="A519" s="81" t="s">
        <v>707</v>
      </c>
      <c r="B519" s="5" t="s">
        <v>104</v>
      </c>
      <c r="C519" s="168">
        <v>514.35</v>
      </c>
      <c r="D519" s="87">
        <v>65</v>
      </c>
      <c r="E519" s="6">
        <f t="shared" ref="E519:E520" si="100">+C519*D519</f>
        <v>33432.75</v>
      </c>
      <c r="F519" s="6">
        <f t="shared" ref="F519:F520" si="101">+E519*7%</f>
        <v>2340.2925</v>
      </c>
      <c r="G519" s="6">
        <f t="shared" ref="G519:G520" si="102">+E519+F519</f>
        <v>35773.042500000003</v>
      </c>
      <c r="I519">
        <v>6904126</v>
      </c>
    </row>
    <row r="520" spans="1:9" ht="18" customHeight="1" x14ac:dyDescent="0.4">
      <c r="A520" s="81" t="s">
        <v>699</v>
      </c>
      <c r="B520" s="5" t="s">
        <v>104</v>
      </c>
      <c r="C520" s="168">
        <v>523.35</v>
      </c>
      <c r="D520" s="87">
        <v>65</v>
      </c>
      <c r="E520" s="6">
        <f t="shared" si="100"/>
        <v>34017.75</v>
      </c>
      <c r="F520" s="6">
        <f t="shared" si="101"/>
        <v>2381.2425000000003</v>
      </c>
      <c r="G520" s="6">
        <f t="shared" si="102"/>
        <v>36398.9925</v>
      </c>
      <c r="I520">
        <v>6904290</v>
      </c>
    </row>
    <row r="521" spans="1:9" ht="18" customHeight="1" thickBot="1" x14ac:dyDescent="0.35">
      <c r="A521" s="84"/>
      <c r="B521" s="17" t="s">
        <v>15</v>
      </c>
      <c r="C521" s="18">
        <f>SUM(C518:C520)</f>
        <v>1549.5</v>
      </c>
      <c r="D521" s="19"/>
      <c r="E521" s="18">
        <f>SUM(E518:E520)</f>
        <v>100717.5</v>
      </c>
      <c r="F521" s="18">
        <f t="shared" ref="F521:G521" si="103">SUM(F518:F520)</f>
        <v>7050.2250000000004</v>
      </c>
      <c r="G521" s="18">
        <f t="shared" si="103"/>
        <v>107767.72500000001</v>
      </c>
    </row>
    <row r="522" spans="1:9" ht="18" customHeight="1" thickTop="1" x14ac:dyDescent="0.3">
      <c r="A522" s="85"/>
      <c r="B522" s="68"/>
      <c r="C522" s="69"/>
      <c r="D522" s="70"/>
      <c r="E522" s="69"/>
      <c r="F522" s="69"/>
      <c r="G522" s="69"/>
    </row>
    <row r="523" spans="1:9" ht="30" customHeight="1" x14ac:dyDescent="0.3">
      <c r="A523" s="359" t="s">
        <v>107</v>
      </c>
      <c r="B523" s="359"/>
      <c r="C523" s="359"/>
      <c r="D523" s="359"/>
      <c r="E523" s="359"/>
      <c r="F523" s="359"/>
      <c r="G523" s="359"/>
    </row>
    <row r="524" spans="1:9" ht="18" customHeight="1" x14ac:dyDescent="0.3">
      <c r="A524" s="1" t="s">
        <v>2</v>
      </c>
      <c r="B524" s="2" t="s">
        <v>3</v>
      </c>
      <c r="C524" s="2" t="s">
        <v>108</v>
      </c>
      <c r="D524" s="3" t="s">
        <v>5</v>
      </c>
      <c r="E524" s="2" t="s">
        <v>6</v>
      </c>
      <c r="F524" s="2" t="s">
        <v>7</v>
      </c>
      <c r="G524" s="2" t="s">
        <v>8</v>
      </c>
    </row>
    <row r="525" spans="1:9" ht="18" customHeight="1" x14ac:dyDescent="0.4">
      <c r="A525" s="16" t="s">
        <v>693</v>
      </c>
      <c r="B525" s="5" t="s">
        <v>109</v>
      </c>
      <c r="C525" s="50">
        <v>295.75</v>
      </c>
      <c r="D525" s="142">
        <v>68</v>
      </c>
      <c r="E525" s="6">
        <f>+C525*D525</f>
        <v>20111</v>
      </c>
      <c r="F525" s="60">
        <f>+E525*7%</f>
        <v>1407.7700000000002</v>
      </c>
      <c r="G525" s="60">
        <f>+E525+F525</f>
        <v>21518.77</v>
      </c>
      <c r="I525">
        <v>6904185</v>
      </c>
    </row>
    <row r="526" spans="1:9" ht="18" customHeight="1" x14ac:dyDescent="0.4">
      <c r="A526" s="16" t="s">
        <v>693</v>
      </c>
      <c r="B526" s="5" t="s">
        <v>109</v>
      </c>
      <c r="C526" s="50">
        <v>1092.05</v>
      </c>
      <c r="D526" s="142">
        <v>68</v>
      </c>
      <c r="E526" s="6">
        <f>+C526*D526</f>
        <v>74259.399999999994</v>
      </c>
      <c r="F526" s="60">
        <f>+E526*7%</f>
        <v>5198.1580000000004</v>
      </c>
      <c r="G526" s="60">
        <f>+E526+F526</f>
        <v>79457.55799999999</v>
      </c>
      <c r="I526">
        <v>6904185</v>
      </c>
    </row>
    <row r="527" spans="1:9" ht="18" customHeight="1" thickBot="1" x14ac:dyDescent="0.35">
      <c r="A527" s="139"/>
      <c r="B527" s="17" t="s">
        <v>15</v>
      </c>
      <c r="C527" s="18">
        <f>SUM(C525:C526)</f>
        <v>1387.8</v>
      </c>
      <c r="D527" s="133"/>
      <c r="E527" s="18">
        <f>SUM(E525:E526)</f>
        <v>94370.4</v>
      </c>
      <c r="F527" s="18">
        <f t="shared" ref="F527:G527" si="104">SUM(F525:F526)</f>
        <v>6605.9280000000008</v>
      </c>
      <c r="G527" s="18">
        <f t="shared" si="104"/>
        <v>100976.32799999999</v>
      </c>
    </row>
    <row r="528" spans="1:9" ht="59.25" customHeight="1" thickTop="1" x14ac:dyDescent="0.3"/>
    <row r="529" spans="1:9" ht="23.25" x14ac:dyDescent="0.3">
      <c r="A529" s="359" t="s">
        <v>115</v>
      </c>
      <c r="B529" s="359"/>
      <c r="C529" s="359"/>
      <c r="D529" s="359"/>
      <c r="E529" s="359"/>
      <c r="F529" s="359"/>
      <c r="G529" s="359"/>
    </row>
    <row r="530" spans="1:9" ht="18" customHeight="1" x14ac:dyDescent="0.3">
      <c r="A530" s="1" t="s">
        <v>2</v>
      </c>
      <c r="B530" s="2" t="s">
        <v>3</v>
      </c>
      <c r="C530" s="2" t="s">
        <v>4</v>
      </c>
      <c r="D530" s="3" t="s">
        <v>5</v>
      </c>
      <c r="E530" s="2" t="s">
        <v>6</v>
      </c>
      <c r="F530" s="2" t="s">
        <v>7</v>
      </c>
      <c r="G530" s="2" t="s">
        <v>8</v>
      </c>
    </row>
    <row r="531" spans="1:9" ht="18" customHeight="1" x14ac:dyDescent="0.4">
      <c r="A531" s="81" t="s">
        <v>691</v>
      </c>
      <c r="B531" s="171" t="s">
        <v>116</v>
      </c>
      <c r="C531" s="169">
        <v>609.04999999999995</v>
      </c>
      <c r="D531" s="142">
        <v>116</v>
      </c>
      <c r="E531" s="60">
        <f>+C531*D531</f>
        <v>70649.799999999988</v>
      </c>
      <c r="F531" s="60">
        <f t="shared" ref="F531:F552" si="105">+E531*7%</f>
        <v>4945.4859999999999</v>
      </c>
      <c r="G531" s="60">
        <f t="shared" ref="G531:G552" si="106">+E531+F531</f>
        <v>75595.285999999993</v>
      </c>
      <c r="I531">
        <v>6904100</v>
      </c>
    </row>
    <row r="532" spans="1:9" ht="18" customHeight="1" x14ac:dyDescent="0.4">
      <c r="A532" s="81" t="s">
        <v>691</v>
      </c>
      <c r="B532" s="171" t="s">
        <v>116</v>
      </c>
      <c r="C532" s="169">
        <v>585.29999999999995</v>
      </c>
      <c r="D532" s="142">
        <v>116</v>
      </c>
      <c r="E532" s="60">
        <f>+C532*D532</f>
        <v>67894.799999999988</v>
      </c>
      <c r="F532" s="60">
        <f t="shared" si="105"/>
        <v>4752.6359999999995</v>
      </c>
      <c r="G532" s="60">
        <f t="shared" si="106"/>
        <v>72647.435999999987</v>
      </c>
      <c r="I532">
        <v>6904100</v>
      </c>
    </row>
    <row r="533" spans="1:9" ht="18" customHeight="1" x14ac:dyDescent="0.4">
      <c r="A533" s="81" t="s">
        <v>691</v>
      </c>
      <c r="B533" s="171" t="s">
        <v>116</v>
      </c>
      <c r="C533" s="169">
        <v>584.65</v>
      </c>
      <c r="D533" s="142">
        <v>116</v>
      </c>
      <c r="E533" s="60">
        <f>+C533*D533</f>
        <v>67819.399999999994</v>
      </c>
      <c r="F533" s="60">
        <f>+E533*7%</f>
        <v>4747.3580000000002</v>
      </c>
      <c r="G533" s="60">
        <f t="shared" si="106"/>
        <v>72566.758000000002</v>
      </c>
      <c r="I533">
        <v>6904097</v>
      </c>
    </row>
    <row r="534" spans="1:9" ht="18" customHeight="1" x14ac:dyDescent="0.4">
      <c r="A534" s="81" t="s">
        <v>691</v>
      </c>
      <c r="B534" s="171" t="s">
        <v>116</v>
      </c>
      <c r="C534" s="169">
        <v>588.75</v>
      </c>
      <c r="D534" s="142">
        <v>116</v>
      </c>
      <c r="E534" s="60">
        <f t="shared" ref="E534:E552" si="107">+C534*D534</f>
        <v>68295</v>
      </c>
      <c r="F534" s="60">
        <f t="shared" si="105"/>
        <v>4780.6500000000005</v>
      </c>
      <c r="G534" s="60">
        <f t="shared" si="106"/>
        <v>73075.649999999994</v>
      </c>
      <c r="I534">
        <v>6904097</v>
      </c>
    </row>
    <row r="535" spans="1:9" ht="18" customHeight="1" x14ac:dyDescent="0.4">
      <c r="A535" s="81" t="s">
        <v>691</v>
      </c>
      <c r="B535" s="171" t="s">
        <v>116</v>
      </c>
      <c r="C535" s="169">
        <v>609.5</v>
      </c>
      <c r="D535" s="142">
        <v>116</v>
      </c>
      <c r="E535" s="60">
        <f t="shared" si="107"/>
        <v>70702</v>
      </c>
      <c r="F535" s="60">
        <f t="shared" si="105"/>
        <v>4949.1400000000003</v>
      </c>
      <c r="G535" s="60">
        <f t="shared" si="106"/>
        <v>75651.14</v>
      </c>
      <c r="I535">
        <v>6904099</v>
      </c>
    </row>
    <row r="536" spans="1:9" ht="18" customHeight="1" x14ac:dyDescent="0.4">
      <c r="A536" s="81" t="s">
        <v>691</v>
      </c>
      <c r="B536" s="171" t="s">
        <v>116</v>
      </c>
      <c r="C536" s="169">
        <v>602.20000000000005</v>
      </c>
      <c r="D536" s="142">
        <v>116</v>
      </c>
      <c r="E536" s="60">
        <f t="shared" si="107"/>
        <v>69855.200000000012</v>
      </c>
      <c r="F536" s="60">
        <f t="shared" si="105"/>
        <v>4889.8640000000014</v>
      </c>
      <c r="G536" s="60">
        <f t="shared" si="106"/>
        <v>74745.064000000013</v>
      </c>
      <c r="I536">
        <v>6904099</v>
      </c>
    </row>
    <row r="537" spans="1:9" ht="18" customHeight="1" x14ac:dyDescent="0.4">
      <c r="A537" s="81" t="s">
        <v>691</v>
      </c>
      <c r="B537" s="171" t="s">
        <v>116</v>
      </c>
      <c r="C537" s="169">
        <v>590.85</v>
      </c>
      <c r="D537" s="142">
        <v>116</v>
      </c>
      <c r="E537" s="60">
        <f t="shared" si="107"/>
        <v>68538.600000000006</v>
      </c>
      <c r="F537" s="60">
        <f t="shared" si="105"/>
        <v>4797.7020000000011</v>
      </c>
      <c r="G537" s="60">
        <f t="shared" si="106"/>
        <v>73336.302000000011</v>
      </c>
      <c r="I537">
        <v>6904098</v>
      </c>
    </row>
    <row r="538" spans="1:9" ht="18" customHeight="1" x14ac:dyDescent="0.4">
      <c r="A538" s="81" t="s">
        <v>691</v>
      </c>
      <c r="B538" s="171" t="s">
        <v>116</v>
      </c>
      <c r="C538" s="169">
        <v>609.4</v>
      </c>
      <c r="D538" s="142">
        <v>116</v>
      </c>
      <c r="E538" s="60">
        <f t="shared" si="107"/>
        <v>70690.399999999994</v>
      </c>
      <c r="F538" s="60">
        <f t="shared" si="105"/>
        <v>4948.3280000000004</v>
      </c>
      <c r="G538" s="60">
        <f t="shared" si="106"/>
        <v>75638.727999999988</v>
      </c>
      <c r="I538">
        <v>6904098</v>
      </c>
    </row>
    <row r="539" spans="1:9" ht="18" customHeight="1" x14ac:dyDescent="0.4">
      <c r="A539" s="81" t="s">
        <v>685</v>
      </c>
      <c r="B539" s="171" t="s">
        <v>167</v>
      </c>
      <c r="C539" s="169">
        <v>590.25</v>
      </c>
      <c r="D539" s="142">
        <v>116</v>
      </c>
      <c r="E539" s="60">
        <f t="shared" si="107"/>
        <v>68469</v>
      </c>
      <c r="F539" s="60">
        <f t="shared" si="105"/>
        <v>4792.8300000000008</v>
      </c>
      <c r="G539" s="60">
        <f t="shared" si="106"/>
        <v>73261.83</v>
      </c>
      <c r="I539">
        <v>6904136</v>
      </c>
    </row>
    <row r="540" spans="1:9" ht="18" customHeight="1" x14ac:dyDescent="0.4">
      <c r="A540" s="81" t="s">
        <v>685</v>
      </c>
      <c r="B540" s="171" t="s">
        <v>167</v>
      </c>
      <c r="C540" s="169">
        <v>587.45000000000005</v>
      </c>
      <c r="D540" s="142">
        <v>116</v>
      </c>
      <c r="E540" s="60">
        <f t="shared" si="107"/>
        <v>68144.200000000012</v>
      </c>
      <c r="F540" s="60">
        <f t="shared" si="105"/>
        <v>4770.094000000001</v>
      </c>
      <c r="G540" s="60">
        <f t="shared" si="106"/>
        <v>72914.294000000009</v>
      </c>
      <c r="I540">
        <v>6904136</v>
      </c>
    </row>
    <row r="541" spans="1:9" ht="18" customHeight="1" x14ac:dyDescent="0.4">
      <c r="A541" s="81" t="s">
        <v>693</v>
      </c>
      <c r="B541" s="171" t="s">
        <v>186</v>
      </c>
      <c r="C541" s="169">
        <v>605.6</v>
      </c>
      <c r="D541" s="142">
        <v>116</v>
      </c>
      <c r="E541" s="60">
        <f t="shared" si="107"/>
        <v>70249.600000000006</v>
      </c>
      <c r="F541" s="60">
        <f t="shared" si="105"/>
        <v>4917.4720000000007</v>
      </c>
      <c r="G541" s="60">
        <f t="shared" si="106"/>
        <v>75167.072</v>
      </c>
      <c r="I541">
        <v>6904181</v>
      </c>
    </row>
    <row r="542" spans="1:9" ht="18" customHeight="1" x14ac:dyDescent="0.4">
      <c r="A542" s="81" t="s">
        <v>693</v>
      </c>
      <c r="B542" s="171" t="s">
        <v>117</v>
      </c>
      <c r="C542" s="169">
        <v>601.76</v>
      </c>
      <c r="D542" s="142">
        <v>116</v>
      </c>
      <c r="E542" s="60">
        <f t="shared" si="107"/>
        <v>69804.160000000003</v>
      </c>
      <c r="F542" s="60">
        <f t="shared" si="105"/>
        <v>4886.2912000000006</v>
      </c>
      <c r="G542" s="60">
        <f t="shared" si="106"/>
        <v>74690.45120000001</v>
      </c>
      <c r="I542">
        <v>6904180</v>
      </c>
    </row>
    <row r="543" spans="1:9" ht="18" customHeight="1" x14ac:dyDescent="0.4">
      <c r="A543" s="81" t="s">
        <v>693</v>
      </c>
      <c r="B543" s="171" t="s">
        <v>117</v>
      </c>
      <c r="C543" s="169">
        <v>605.1</v>
      </c>
      <c r="D543" s="142">
        <v>116</v>
      </c>
      <c r="E543" s="60">
        <f t="shared" si="107"/>
        <v>70191.600000000006</v>
      </c>
      <c r="F543" s="60">
        <f t="shared" si="105"/>
        <v>4913.4120000000012</v>
      </c>
      <c r="G543" s="60">
        <f t="shared" si="106"/>
        <v>75105.012000000002</v>
      </c>
      <c r="I543">
        <v>6904179</v>
      </c>
    </row>
    <row r="544" spans="1:9" ht="18" customHeight="1" x14ac:dyDescent="0.4">
      <c r="A544" s="81" t="s">
        <v>693</v>
      </c>
      <c r="B544" s="171" t="s">
        <v>117</v>
      </c>
      <c r="C544" s="169">
        <v>596.36</v>
      </c>
      <c r="D544" s="142">
        <v>116</v>
      </c>
      <c r="E544" s="60">
        <f t="shared" si="107"/>
        <v>69177.759999999995</v>
      </c>
      <c r="F544" s="60">
        <f t="shared" si="105"/>
        <v>4842.4431999999997</v>
      </c>
      <c r="G544" s="60">
        <f t="shared" si="106"/>
        <v>74020.203199999989</v>
      </c>
      <c r="I544">
        <v>6904179</v>
      </c>
    </row>
    <row r="545" spans="1:9" ht="18" customHeight="1" x14ac:dyDescent="0.4">
      <c r="A545" s="81" t="s">
        <v>703</v>
      </c>
      <c r="B545" s="171" t="s">
        <v>133</v>
      </c>
      <c r="C545" s="169">
        <v>589.05999999999995</v>
      </c>
      <c r="D545" s="142">
        <v>116</v>
      </c>
      <c r="E545" s="60">
        <f t="shared" si="107"/>
        <v>68330.959999999992</v>
      </c>
      <c r="F545" s="60">
        <f t="shared" si="105"/>
        <v>4783.1671999999999</v>
      </c>
      <c r="G545" s="60">
        <f t="shared" si="106"/>
        <v>73114.127199999988</v>
      </c>
      <c r="I545">
        <v>6904009</v>
      </c>
    </row>
    <row r="546" spans="1:9" ht="18" customHeight="1" x14ac:dyDescent="0.4">
      <c r="A546" s="81" t="s">
        <v>695</v>
      </c>
      <c r="B546" s="171" t="s">
        <v>133</v>
      </c>
      <c r="C546" s="169">
        <v>595.71</v>
      </c>
      <c r="D546" s="142">
        <v>116</v>
      </c>
      <c r="E546" s="60">
        <f t="shared" si="107"/>
        <v>69102.36</v>
      </c>
      <c r="F546" s="60">
        <f t="shared" si="105"/>
        <v>4837.1652000000004</v>
      </c>
      <c r="G546" s="60">
        <f t="shared" si="106"/>
        <v>73939.525200000004</v>
      </c>
      <c r="I546">
        <v>6904236</v>
      </c>
    </row>
    <row r="547" spans="1:9" ht="18" customHeight="1" x14ac:dyDescent="0.4">
      <c r="A547" s="81" t="s">
        <v>689</v>
      </c>
      <c r="B547" s="171" t="s">
        <v>118</v>
      </c>
      <c r="C547" s="169">
        <v>585.11</v>
      </c>
      <c r="D547" s="142">
        <v>116</v>
      </c>
      <c r="E547" s="60">
        <f t="shared" si="107"/>
        <v>67872.759999999995</v>
      </c>
      <c r="F547" s="60">
        <f t="shared" si="105"/>
        <v>4751.0932000000003</v>
      </c>
      <c r="G547" s="60">
        <f t="shared" si="106"/>
        <v>72623.853199999998</v>
      </c>
      <c r="I547">
        <v>6904049</v>
      </c>
    </row>
    <row r="548" spans="1:9" ht="18" customHeight="1" x14ac:dyDescent="0.4">
      <c r="A548" s="81" t="s">
        <v>689</v>
      </c>
      <c r="B548" s="171" t="s">
        <v>118</v>
      </c>
      <c r="C548" s="169">
        <v>594.76</v>
      </c>
      <c r="D548" s="142">
        <v>116</v>
      </c>
      <c r="E548" s="60">
        <f t="shared" si="107"/>
        <v>68992.160000000003</v>
      </c>
      <c r="F548" s="60">
        <f t="shared" si="105"/>
        <v>4829.4512000000004</v>
      </c>
      <c r="G548" s="60">
        <f t="shared" si="106"/>
        <v>73821.611199999999</v>
      </c>
      <c r="I548">
        <v>6904048</v>
      </c>
    </row>
    <row r="549" spans="1:9" ht="18" customHeight="1" x14ac:dyDescent="0.4">
      <c r="A549" s="81" t="s">
        <v>689</v>
      </c>
      <c r="B549" s="171" t="s">
        <v>118</v>
      </c>
      <c r="C549" s="169">
        <v>610</v>
      </c>
      <c r="D549" s="142">
        <v>116</v>
      </c>
      <c r="E549" s="60">
        <f t="shared" si="107"/>
        <v>70760</v>
      </c>
      <c r="F549" s="60">
        <f t="shared" si="105"/>
        <v>4953.2000000000007</v>
      </c>
      <c r="G549" s="60">
        <f t="shared" si="106"/>
        <v>75713.2</v>
      </c>
      <c r="I549">
        <v>6904048</v>
      </c>
    </row>
    <row r="550" spans="1:9" ht="18" customHeight="1" x14ac:dyDescent="0.4">
      <c r="A550" s="81" t="s">
        <v>689</v>
      </c>
      <c r="B550" s="171" t="s">
        <v>118</v>
      </c>
      <c r="C550" s="169">
        <v>585.26</v>
      </c>
      <c r="D550" s="142">
        <v>116</v>
      </c>
      <c r="E550" s="60">
        <f t="shared" si="107"/>
        <v>67890.16</v>
      </c>
      <c r="F550" s="60">
        <f t="shared" si="105"/>
        <v>4752.311200000001</v>
      </c>
      <c r="G550" s="60">
        <f t="shared" si="106"/>
        <v>72642.4712</v>
      </c>
      <c r="I550">
        <v>6904047</v>
      </c>
    </row>
    <row r="551" spans="1:9" ht="18" customHeight="1" x14ac:dyDescent="0.4">
      <c r="A551" s="81" t="s">
        <v>689</v>
      </c>
      <c r="B551" s="171" t="s">
        <v>118</v>
      </c>
      <c r="C551" s="169">
        <v>598.16</v>
      </c>
      <c r="D551" s="142">
        <v>116</v>
      </c>
      <c r="E551" s="60">
        <f t="shared" si="107"/>
        <v>69386.559999999998</v>
      </c>
      <c r="F551" s="60">
        <f t="shared" si="105"/>
        <v>4857.0592000000006</v>
      </c>
      <c r="G551" s="60">
        <f t="shared" si="106"/>
        <v>74243.619200000001</v>
      </c>
      <c r="I551">
        <v>6904047</v>
      </c>
    </row>
    <row r="552" spans="1:9" ht="18" customHeight="1" x14ac:dyDescent="0.4">
      <c r="A552" s="81" t="s">
        <v>685</v>
      </c>
      <c r="B552" s="171" t="s">
        <v>157</v>
      </c>
      <c r="C552" s="169">
        <v>618.95000000000005</v>
      </c>
      <c r="D552" s="142">
        <v>116</v>
      </c>
      <c r="E552" s="60">
        <f t="shared" si="107"/>
        <v>71798.200000000012</v>
      </c>
      <c r="F552" s="60">
        <f t="shared" si="105"/>
        <v>5025.8740000000016</v>
      </c>
      <c r="G552" s="60">
        <f t="shared" si="106"/>
        <v>76824.074000000008</v>
      </c>
      <c r="I552">
        <v>6904135</v>
      </c>
    </row>
    <row r="553" spans="1:9" ht="18" customHeight="1" thickBot="1" x14ac:dyDescent="0.35">
      <c r="A553" s="84"/>
      <c r="B553" s="17" t="s">
        <v>15</v>
      </c>
      <c r="C553" s="18">
        <f>SUM(C531:C552)</f>
        <v>13143.230000000003</v>
      </c>
      <c r="D553" s="19"/>
      <c r="E553" s="62">
        <f>SUM(E531:E552)</f>
        <v>1524614.68</v>
      </c>
      <c r="F553" s="62">
        <f t="shared" ref="F553:G553" si="108">SUM(F531:F552)</f>
        <v>106723.0276</v>
      </c>
      <c r="G553" s="62">
        <f t="shared" si="108"/>
        <v>1631337.7076000001</v>
      </c>
    </row>
    <row r="554" spans="1:9" ht="18" customHeight="1" thickTop="1" x14ac:dyDescent="0.3">
      <c r="A554" s="85"/>
      <c r="B554" s="68"/>
      <c r="C554" s="69"/>
      <c r="D554" s="70"/>
      <c r="E554" s="71"/>
      <c r="F554" s="71"/>
      <c r="G554" s="71"/>
    </row>
    <row r="555" spans="1:9" ht="23.25" x14ac:dyDescent="0.3">
      <c r="A555" s="359" t="s">
        <v>119</v>
      </c>
      <c r="B555" s="359"/>
      <c r="C555" s="359"/>
      <c r="D555" s="359"/>
      <c r="E555" s="359"/>
      <c r="F555" s="359"/>
      <c r="G555" s="359"/>
    </row>
    <row r="556" spans="1:9" ht="18" customHeight="1" x14ac:dyDescent="0.3">
      <c r="A556" s="1" t="s">
        <v>2</v>
      </c>
      <c r="B556" s="2" t="s">
        <v>3</v>
      </c>
      <c r="C556" s="2" t="s">
        <v>108</v>
      </c>
      <c r="D556" s="3" t="s">
        <v>5</v>
      </c>
      <c r="E556" s="2" t="s">
        <v>6</v>
      </c>
      <c r="F556" s="2" t="s">
        <v>7</v>
      </c>
      <c r="G556" s="2" t="s">
        <v>8</v>
      </c>
    </row>
    <row r="557" spans="1:9" ht="18" customHeight="1" x14ac:dyDescent="0.4">
      <c r="A557" s="81" t="s">
        <v>685</v>
      </c>
      <c r="B557" s="171" t="s">
        <v>135</v>
      </c>
      <c r="C557" s="169">
        <v>3025.55</v>
      </c>
      <c r="D557" s="142">
        <v>64</v>
      </c>
      <c r="E557" s="60">
        <f>+C557*D557</f>
        <v>193635.20000000001</v>
      </c>
      <c r="F557" s="60">
        <f>+E557*7%</f>
        <v>13554.464000000002</v>
      </c>
      <c r="G557" s="60">
        <f>+E557+F557</f>
        <v>207189.66400000002</v>
      </c>
      <c r="I557">
        <v>6904130</v>
      </c>
    </row>
    <row r="558" spans="1:9" ht="18" customHeight="1" x14ac:dyDescent="0.4">
      <c r="A558" s="81" t="s">
        <v>694</v>
      </c>
      <c r="B558" s="171" t="s">
        <v>135</v>
      </c>
      <c r="C558" s="169">
        <v>1835.95</v>
      </c>
      <c r="D558" s="142">
        <v>64</v>
      </c>
      <c r="E558" s="60">
        <f>+C558*D558</f>
        <v>117500.8</v>
      </c>
      <c r="F558" s="60">
        <f>+E558*7%</f>
        <v>8225.0560000000005</v>
      </c>
      <c r="G558" s="60">
        <f>+E558+F558</f>
        <v>125725.856</v>
      </c>
      <c r="I558">
        <v>6904197</v>
      </c>
    </row>
    <row r="559" spans="1:9" ht="18" customHeight="1" x14ac:dyDescent="0.4">
      <c r="A559" s="81" t="s">
        <v>696</v>
      </c>
      <c r="B559" s="171" t="s">
        <v>135</v>
      </c>
      <c r="C559" s="169">
        <v>4689.6499999999996</v>
      </c>
      <c r="D559" s="142">
        <v>64</v>
      </c>
      <c r="E559" s="60">
        <f>+C559*D559</f>
        <v>300137.59999999998</v>
      </c>
      <c r="F559" s="60">
        <f>+E559*7%</f>
        <v>21009.632000000001</v>
      </c>
      <c r="G559" s="60">
        <f>+E559+F559</f>
        <v>321147.23199999996</v>
      </c>
      <c r="I559">
        <v>6904265</v>
      </c>
    </row>
    <row r="560" spans="1:9" ht="18" customHeight="1" thickBot="1" x14ac:dyDescent="0.35">
      <c r="A560" s="84"/>
      <c r="B560" s="17" t="s">
        <v>15</v>
      </c>
      <c r="C560" s="18">
        <f>SUM(C557:C559)</f>
        <v>9551.15</v>
      </c>
      <c r="D560" s="19"/>
      <c r="E560" s="62">
        <f>SUM(E557:E559)</f>
        <v>611273.6</v>
      </c>
      <c r="F560" s="62">
        <f t="shared" ref="F560:G560" si="109">SUM(F557:F559)</f>
        <v>42789.152000000002</v>
      </c>
      <c r="G560" s="62">
        <f t="shared" si="109"/>
        <v>654062.75199999998</v>
      </c>
    </row>
    <row r="561" spans="1:9" ht="18" customHeight="1" thickTop="1" x14ac:dyDescent="0.3">
      <c r="A561" s="85"/>
      <c r="B561" s="68"/>
      <c r="C561" s="69"/>
      <c r="D561" s="70"/>
      <c r="E561" s="71"/>
      <c r="F561" s="71"/>
      <c r="G561" s="71"/>
    </row>
    <row r="562" spans="1:9" ht="23.25" x14ac:dyDescent="0.3">
      <c r="A562" s="359" t="s">
        <v>120</v>
      </c>
      <c r="B562" s="359"/>
      <c r="C562" s="359"/>
      <c r="D562" s="359"/>
      <c r="E562" s="359"/>
      <c r="F562" s="359"/>
      <c r="G562" s="359"/>
    </row>
    <row r="563" spans="1:9" ht="18" customHeight="1" x14ac:dyDescent="0.3">
      <c r="A563" s="1" t="s">
        <v>2</v>
      </c>
      <c r="B563" s="2" t="s">
        <v>3</v>
      </c>
      <c r="C563" s="2" t="s">
        <v>4</v>
      </c>
      <c r="D563" s="3" t="s">
        <v>5</v>
      </c>
      <c r="E563" s="2" t="s">
        <v>6</v>
      </c>
      <c r="F563" s="2" t="s">
        <v>7</v>
      </c>
      <c r="G563" s="2" t="s">
        <v>8</v>
      </c>
    </row>
    <row r="564" spans="1:9" ht="18" customHeight="1" x14ac:dyDescent="0.4">
      <c r="A564" s="81" t="s">
        <v>690</v>
      </c>
      <c r="B564" s="171" t="s">
        <v>683</v>
      </c>
      <c r="C564" s="169">
        <v>876.75</v>
      </c>
      <c r="D564" s="142">
        <v>76</v>
      </c>
      <c r="E564" s="60">
        <f>+C564*D564</f>
        <v>66633</v>
      </c>
      <c r="F564" s="60">
        <f>+E564*7%</f>
        <v>4664.3100000000004</v>
      </c>
      <c r="G564" s="60">
        <f>+E564+F564</f>
        <v>71297.31</v>
      </c>
      <c r="I564">
        <v>6904092</v>
      </c>
    </row>
    <row r="565" spans="1:9" ht="18" customHeight="1" thickBot="1" x14ac:dyDescent="0.35">
      <c r="A565" s="84"/>
      <c r="B565" s="17" t="s">
        <v>15</v>
      </c>
      <c r="C565" s="18">
        <f>SUM(C564:C564)</f>
        <v>876.75</v>
      </c>
      <c r="D565" s="19"/>
      <c r="E565" s="62">
        <f>SUM(E564:E564)</f>
        <v>66633</v>
      </c>
      <c r="F565" s="62">
        <f t="shared" ref="F565:G565" si="110">SUM(F564:F564)</f>
        <v>4664.3100000000004</v>
      </c>
      <c r="G565" s="62">
        <f t="shared" si="110"/>
        <v>71297.31</v>
      </c>
    </row>
    <row r="566" spans="1:9" ht="51.75" customHeight="1" thickTop="1" x14ac:dyDescent="0.3">
      <c r="A566" s="85"/>
      <c r="B566" s="68"/>
      <c r="C566" s="69"/>
      <c r="D566" s="70"/>
      <c r="E566" s="71"/>
      <c r="F566" s="71"/>
      <c r="G566" s="71"/>
    </row>
    <row r="567" spans="1:9" ht="23.25" x14ac:dyDescent="0.3">
      <c r="A567" s="359" t="s">
        <v>524</v>
      </c>
      <c r="B567" s="359"/>
      <c r="C567" s="359"/>
      <c r="D567" s="359"/>
      <c r="E567" s="359"/>
      <c r="F567" s="359"/>
      <c r="G567" s="359"/>
    </row>
    <row r="568" spans="1:9" ht="18" customHeight="1" x14ac:dyDescent="0.3">
      <c r="A568" s="1" t="s">
        <v>2</v>
      </c>
      <c r="B568" s="2" t="s">
        <v>3</v>
      </c>
      <c r="C568" s="2" t="s">
        <v>76</v>
      </c>
      <c r="D568" s="3" t="s">
        <v>5</v>
      </c>
      <c r="E568" s="2" t="s">
        <v>6</v>
      </c>
      <c r="F568" s="2" t="s">
        <v>7</v>
      </c>
      <c r="G568" s="2" t="s">
        <v>8</v>
      </c>
    </row>
    <row r="569" spans="1:9" ht="18" customHeight="1" x14ac:dyDescent="0.4">
      <c r="A569" s="81" t="s">
        <v>701</v>
      </c>
      <c r="B569" s="171" t="s">
        <v>783</v>
      </c>
      <c r="C569" s="169">
        <v>50</v>
      </c>
      <c r="D569" s="142">
        <v>4500</v>
      </c>
      <c r="E569" s="60">
        <f>+C569*D569</f>
        <v>225000</v>
      </c>
      <c r="F569" s="60">
        <f>+E569*7%</f>
        <v>15750.000000000002</v>
      </c>
      <c r="G569" s="60">
        <f>+E569+F569</f>
        <v>240750</v>
      </c>
      <c r="I569">
        <v>6904344</v>
      </c>
    </row>
    <row r="570" spans="1:9" ht="18" customHeight="1" thickBot="1" x14ac:dyDescent="0.35">
      <c r="A570" s="84"/>
      <c r="B570" s="17" t="s">
        <v>15</v>
      </c>
      <c r="C570" s="18">
        <f>SUM(C569:C569)</f>
        <v>50</v>
      </c>
      <c r="D570" s="19"/>
      <c r="E570" s="62">
        <f>SUM(E569)</f>
        <v>225000</v>
      </c>
      <c r="F570" s="62">
        <f t="shared" ref="F570:G570" si="111">SUM(F569)</f>
        <v>15750.000000000002</v>
      </c>
      <c r="G570" s="62">
        <f t="shared" si="111"/>
        <v>240750</v>
      </c>
    </row>
    <row r="571" spans="1:9" ht="18" customHeight="1" thickTop="1" x14ac:dyDescent="0.3">
      <c r="A571" s="85"/>
      <c r="B571" s="68"/>
      <c r="C571" s="69"/>
      <c r="D571" s="70"/>
      <c r="E571" s="71"/>
      <c r="F571" s="71"/>
      <c r="G571" s="71"/>
    </row>
    <row r="572" spans="1:9" ht="23.25" x14ac:dyDescent="0.3">
      <c r="A572" s="359" t="s">
        <v>524</v>
      </c>
      <c r="B572" s="359"/>
      <c r="C572" s="359"/>
      <c r="D572" s="371"/>
      <c r="E572" s="371"/>
      <c r="F572" s="371"/>
      <c r="G572" s="371"/>
    </row>
    <row r="573" spans="1:9" ht="18" customHeight="1" x14ac:dyDescent="0.3">
      <c r="A573" s="1" t="s">
        <v>2</v>
      </c>
      <c r="B573" s="2" t="s">
        <v>3</v>
      </c>
      <c r="C573" s="17" t="s">
        <v>4</v>
      </c>
      <c r="D573" s="119"/>
      <c r="E573" s="68"/>
      <c r="F573" s="68"/>
      <c r="G573" s="68"/>
    </row>
    <row r="574" spans="1:9" ht="18" customHeight="1" x14ac:dyDescent="0.4">
      <c r="A574" s="81" t="s">
        <v>701</v>
      </c>
      <c r="B574" s="171" t="s">
        <v>783</v>
      </c>
      <c r="C574" s="169">
        <v>2516.5500000000002</v>
      </c>
      <c r="D574" s="339"/>
      <c r="E574" s="120"/>
      <c r="F574" s="120"/>
      <c r="G574" s="120"/>
      <c r="I574">
        <v>6904344</v>
      </c>
    </row>
    <row r="575" spans="1:9" ht="18" customHeight="1" thickBot="1" x14ac:dyDescent="0.35">
      <c r="A575" s="84"/>
      <c r="B575" s="17" t="s">
        <v>15</v>
      </c>
      <c r="C575" s="18">
        <f>SUM(C574:C574)</f>
        <v>2516.5500000000002</v>
      </c>
      <c r="D575" s="70"/>
      <c r="E575" s="71"/>
      <c r="F575" s="71"/>
      <c r="G575" s="71"/>
    </row>
    <row r="576" spans="1:9" ht="18" customHeight="1" thickTop="1" x14ac:dyDescent="0.3">
      <c r="A576" s="85"/>
      <c r="B576" s="68"/>
      <c r="C576" s="69"/>
      <c r="D576" s="70"/>
      <c r="E576" s="71"/>
      <c r="F576" s="71"/>
      <c r="G576" s="71"/>
    </row>
    <row r="577" spans="1:9" ht="23.25" x14ac:dyDescent="0.3">
      <c r="A577" s="359" t="s">
        <v>524</v>
      </c>
      <c r="B577" s="359"/>
      <c r="C577" s="359"/>
      <c r="D577" s="359"/>
      <c r="E577" s="359"/>
      <c r="F577" s="359"/>
      <c r="G577" s="359"/>
    </row>
    <row r="578" spans="1:9" ht="18" customHeight="1" x14ac:dyDescent="0.3">
      <c r="A578" s="1" t="s">
        <v>2</v>
      </c>
      <c r="B578" s="2" t="s">
        <v>3</v>
      </c>
      <c r="C578" s="2" t="s">
        <v>4</v>
      </c>
      <c r="D578" s="3" t="s">
        <v>5</v>
      </c>
      <c r="E578" s="2" t="s">
        <v>6</v>
      </c>
      <c r="F578" s="2" t="s">
        <v>7</v>
      </c>
      <c r="G578" s="2" t="s">
        <v>8</v>
      </c>
    </row>
    <row r="579" spans="1:9" ht="18" customHeight="1" x14ac:dyDescent="0.4">
      <c r="A579" s="81" t="s">
        <v>689</v>
      </c>
      <c r="B579" s="171" t="s">
        <v>644</v>
      </c>
      <c r="C579" s="169">
        <v>278.2</v>
      </c>
      <c r="D579" s="142">
        <v>55</v>
      </c>
      <c r="E579" s="60">
        <f>+C579*D579</f>
        <v>15301</v>
      </c>
      <c r="F579" s="60">
        <f>+E579*7%</f>
        <v>1071.0700000000002</v>
      </c>
      <c r="G579" s="60">
        <f>+E579+F579</f>
        <v>16372.07</v>
      </c>
      <c r="I579">
        <v>6904046</v>
      </c>
    </row>
    <row r="580" spans="1:9" ht="18" customHeight="1" x14ac:dyDescent="0.4">
      <c r="A580" s="81" t="s">
        <v>699</v>
      </c>
      <c r="B580" s="171" t="s">
        <v>525</v>
      </c>
      <c r="C580" s="169">
        <v>990.75</v>
      </c>
      <c r="D580" s="142">
        <v>245</v>
      </c>
      <c r="E580" s="60">
        <f>+C580*D580</f>
        <v>242733.75</v>
      </c>
      <c r="F580" s="60">
        <f>+E580*7%</f>
        <v>16991.362500000003</v>
      </c>
      <c r="G580" s="60">
        <f>+E580+F580</f>
        <v>259725.11249999999</v>
      </c>
      <c r="I580">
        <v>6904289</v>
      </c>
    </row>
    <row r="581" spans="1:9" ht="18" customHeight="1" thickBot="1" x14ac:dyDescent="0.35">
      <c r="A581" s="84"/>
      <c r="B581" s="17" t="s">
        <v>15</v>
      </c>
      <c r="C581" s="18">
        <f>SUM(C579:C580)</f>
        <v>1268.95</v>
      </c>
      <c r="D581" s="19"/>
      <c r="E581" s="62">
        <f>SUM(E579:E580)</f>
        <v>258034.75</v>
      </c>
      <c r="F581" s="62">
        <f t="shared" ref="F581:G581" si="112">SUM(F579:F580)</f>
        <v>18062.432500000003</v>
      </c>
      <c r="G581" s="62">
        <f t="shared" si="112"/>
        <v>276097.1825</v>
      </c>
    </row>
    <row r="582" spans="1:9" ht="18" customHeight="1" thickTop="1" x14ac:dyDescent="0.3">
      <c r="A582" s="85"/>
      <c r="B582" s="68"/>
      <c r="C582" s="69"/>
      <c r="D582" s="70"/>
      <c r="E582" s="71"/>
      <c r="F582" s="71"/>
      <c r="G582" s="71"/>
    </row>
    <row r="583" spans="1:9" ht="23.25" x14ac:dyDescent="0.3">
      <c r="A583" s="359" t="s">
        <v>526</v>
      </c>
      <c r="B583" s="359"/>
      <c r="C583" s="359"/>
      <c r="D583" s="359"/>
      <c r="E583" s="359"/>
      <c r="F583" s="359"/>
      <c r="G583" s="359"/>
    </row>
    <row r="584" spans="1:9" ht="18" customHeight="1" x14ac:dyDescent="0.3">
      <c r="A584" s="1" t="s">
        <v>2</v>
      </c>
      <c r="B584" s="2" t="s">
        <v>3</v>
      </c>
      <c r="C584" s="2" t="s">
        <v>86</v>
      </c>
      <c r="D584" s="3" t="s">
        <v>5</v>
      </c>
      <c r="E584" s="2" t="s">
        <v>6</v>
      </c>
      <c r="F584" s="2" t="s">
        <v>7</v>
      </c>
      <c r="G584" s="2" t="s">
        <v>8</v>
      </c>
    </row>
    <row r="585" spans="1:9" ht="18" customHeight="1" x14ac:dyDescent="0.4">
      <c r="A585" s="81" t="s">
        <v>687</v>
      </c>
      <c r="B585" s="171" t="s">
        <v>527</v>
      </c>
      <c r="C585" s="169">
        <v>1000</v>
      </c>
      <c r="D585" s="142">
        <v>52</v>
      </c>
      <c r="E585" s="60">
        <f>+C585*D585</f>
        <v>52000</v>
      </c>
      <c r="F585" s="60">
        <f>+E585*7%</f>
        <v>3640.0000000000005</v>
      </c>
      <c r="G585" s="60">
        <f>+E585+F585</f>
        <v>55640</v>
      </c>
      <c r="I585">
        <v>6904028</v>
      </c>
    </row>
    <row r="586" spans="1:9" ht="18" customHeight="1" thickBot="1" x14ac:dyDescent="0.35">
      <c r="A586" s="84"/>
      <c r="B586" s="17" t="s">
        <v>15</v>
      </c>
      <c r="C586" s="18">
        <f>SUM(C585:C585)</f>
        <v>1000</v>
      </c>
      <c r="D586" s="19"/>
      <c r="E586" s="62">
        <f>SUM(E585:E585)</f>
        <v>52000</v>
      </c>
      <c r="F586" s="62">
        <f t="shared" ref="F586:G586" si="113">SUM(F585:F585)</f>
        <v>3640.0000000000005</v>
      </c>
      <c r="G586" s="62">
        <f t="shared" si="113"/>
        <v>55640</v>
      </c>
    </row>
    <row r="587" spans="1:9" ht="18" customHeight="1" thickTop="1" x14ac:dyDescent="0.3">
      <c r="A587" s="85"/>
      <c r="B587" s="68"/>
      <c r="C587" s="69"/>
      <c r="D587" s="70"/>
      <c r="E587" s="71"/>
      <c r="F587" s="71"/>
      <c r="G587" s="71"/>
    </row>
    <row r="588" spans="1:9" ht="18" customHeight="1" thickBot="1" x14ac:dyDescent="0.35">
      <c r="A588" s="85"/>
      <c r="B588" s="147" t="s">
        <v>561</v>
      </c>
      <c r="C588" s="203">
        <f>C586</f>
        <v>1000</v>
      </c>
      <c r="D588" s="319">
        <v>0.59799999999999998</v>
      </c>
      <c r="E588" s="320">
        <f>C588*D588</f>
        <v>598</v>
      </c>
      <c r="F588" s="71"/>
      <c r="G588" s="71"/>
    </row>
    <row r="589" spans="1:9" ht="18" customHeight="1" thickTop="1" x14ac:dyDescent="0.3">
      <c r="A589" s="85"/>
      <c r="B589" s="68"/>
      <c r="C589" s="69"/>
      <c r="D589" s="70"/>
      <c r="E589" s="71"/>
      <c r="F589" s="71"/>
      <c r="G589" s="71"/>
    </row>
    <row r="590" spans="1:9" ht="23.25" x14ac:dyDescent="0.3">
      <c r="A590" s="359" t="s">
        <v>530</v>
      </c>
      <c r="B590" s="359"/>
      <c r="C590" s="359"/>
      <c r="D590" s="359"/>
      <c r="E590" s="359"/>
      <c r="F590" s="359"/>
      <c r="G590" s="359"/>
    </row>
    <row r="591" spans="1:9" ht="18" customHeight="1" x14ac:dyDescent="0.3">
      <c r="A591" s="1" t="s">
        <v>2</v>
      </c>
      <c r="B591" s="2" t="s">
        <v>3</v>
      </c>
      <c r="C591" s="2" t="s">
        <v>92</v>
      </c>
      <c r="D591" s="3" t="s">
        <v>5</v>
      </c>
      <c r="E591" s="2" t="s">
        <v>6</v>
      </c>
      <c r="F591" s="2" t="s">
        <v>7</v>
      </c>
      <c r="G591" s="2" t="s">
        <v>8</v>
      </c>
    </row>
    <row r="592" spans="1:9" ht="18" customHeight="1" x14ac:dyDescent="0.4">
      <c r="A592" s="81" t="s">
        <v>694</v>
      </c>
      <c r="B592" s="171" t="s">
        <v>531</v>
      </c>
      <c r="C592" s="169">
        <v>800</v>
      </c>
      <c r="D592" s="142">
        <v>40</v>
      </c>
      <c r="E592" s="60">
        <f>+C592*D592</f>
        <v>32000</v>
      </c>
      <c r="F592" s="60">
        <f>+E592*7%</f>
        <v>2240</v>
      </c>
      <c r="G592" s="60">
        <f>+E592+F592</f>
        <v>34240</v>
      </c>
      <c r="I592">
        <v>6904199</v>
      </c>
    </row>
    <row r="593" spans="1:9" ht="18" customHeight="1" x14ac:dyDescent="0.4">
      <c r="A593" s="81" t="s">
        <v>699</v>
      </c>
      <c r="B593" s="171" t="s">
        <v>531</v>
      </c>
      <c r="C593" s="169">
        <v>700</v>
      </c>
      <c r="D593" s="142">
        <v>40</v>
      </c>
      <c r="E593" s="60">
        <f>+C593*D593</f>
        <v>28000</v>
      </c>
      <c r="F593" s="60">
        <f>+E593*7%</f>
        <v>1960.0000000000002</v>
      </c>
      <c r="G593" s="60">
        <f>+E593+F593</f>
        <v>29960</v>
      </c>
      <c r="I593">
        <v>6904291</v>
      </c>
    </row>
    <row r="594" spans="1:9" ht="18" customHeight="1" thickBot="1" x14ac:dyDescent="0.35">
      <c r="A594" s="84"/>
      <c r="B594" s="17" t="s">
        <v>15</v>
      </c>
      <c r="C594" s="18">
        <f>SUM(C592:C593)</f>
        <v>1500</v>
      </c>
      <c r="D594" s="19"/>
      <c r="E594" s="62">
        <f>SUM(E592:E593)</f>
        <v>60000</v>
      </c>
      <c r="F594" s="62">
        <f>SUM(F592:F593)</f>
        <v>4200</v>
      </c>
      <c r="G594" s="62">
        <f>SUM(G592:G593)</f>
        <v>64200</v>
      </c>
    </row>
    <row r="595" spans="1:9" ht="18" customHeight="1" thickTop="1" x14ac:dyDescent="0.3">
      <c r="A595" s="85"/>
      <c r="B595" s="68"/>
      <c r="C595" s="69"/>
      <c r="D595" s="70"/>
      <c r="E595" s="71"/>
      <c r="F595" s="71"/>
      <c r="G595" s="71"/>
    </row>
    <row r="596" spans="1:9" ht="18" customHeight="1" thickBot="1" x14ac:dyDescent="0.35">
      <c r="A596" s="85"/>
      <c r="B596" s="147" t="s">
        <v>563</v>
      </c>
      <c r="C596" s="203">
        <f>C594</f>
        <v>1500</v>
      </c>
      <c r="D596" s="88">
        <v>0.4</v>
      </c>
      <c r="E596" s="322">
        <f>C596*D596</f>
        <v>600</v>
      </c>
      <c r="F596" s="187"/>
      <c r="G596" s="187"/>
    </row>
    <row r="597" spans="1:9" ht="18" customHeight="1" thickTop="1" x14ac:dyDescent="0.3">
      <c r="A597" s="85"/>
      <c r="B597" s="68"/>
      <c r="C597" s="69"/>
      <c r="D597" s="88"/>
      <c r="E597" s="187"/>
      <c r="F597" s="187"/>
      <c r="G597" s="187"/>
    </row>
    <row r="598" spans="1:9" ht="23.25" x14ac:dyDescent="0.3">
      <c r="A598" s="359" t="s">
        <v>532</v>
      </c>
      <c r="B598" s="359"/>
      <c r="C598" s="359"/>
      <c r="D598" s="359"/>
      <c r="E598" s="359"/>
      <c r="F598" s="359"/>
      <c r="G598" s="359"/>
    </row>
    <row r="599" spans="1:9" ht="18" customHeight="1" x14ac:dyDescent="0.3">
      <c r="A599" s="1" t="s">
        <v>2</v>
      </c>
      <c r="B599" s="2" t="s">
        <v>3</v>
      </c>
      <c r="C599" s="2" t="s">
        <v>4</v>
      </c>
      <c r="D599" s="3" t="s">
        <v>5</v>
      </c>
      <c r="E599" s="2" t="s">
        <v>6</v>
      </c>
      <c r="F599" s="2" t="s">
        <v>7</v>
      </c>
      <c r="G599" s="2" t="s">
        <v>8</v>
      </c>
    </row>
    <row r="600" spans="1:9" ht="18" customHeight="1" x14ac:dyDescent="0.4">
      <c r="A600" s="81" t="s">
        <v>694</v>
      </c>
      <c r="B600" s="171" t="s">
        <v>533</v>
      </c>
      <c r="C600" s="169">
        <v>967.96</v>
      </c>
      <c r="D600" s="142">
        <v>78</v>
      </c>
      <c r="E600" s="60">
        <f>+C600*D600</f>
        <v>75500.88</v>
      </c>
      <c r="F600" s="60">
        <f>+E600*7%</f>
        <v>5285.0616000000009</v>
      </c>
      <c r="G600" s="60">
        <f>+E600+F600</f>
        <v>80785.941600000006</v>
      </c>
      <c r="I600">
        <v>6904198</v>
      </c>
    </row>
    <row r="601" spans="1:9" ht="18" customHeight="1" thickBot="1" x14ac:dyDescent="0.35">
      <c r="A601" s="84"/>
      <c r="B601" s="17" t="s">
        <v>15</v>
      </c>
      <c r="C601" s="18">
        <f>SUM(C600:C600)</f>
        <v>967.96</v>
      </c>
      <c r="D601" s="19"/>
      <c r="E601" s="62">
        <f>SUM(E600:E600)</f>
        <v>75500.88</v>
      </c>
      <c r="F601" s="62">
        <f t="shared" ref="F601:G601" si="114">SUM(F600:F600)</f>
        <v>5285.0616000000009</v>
      </c>
      <c r="G601" s="62">
        <f t="shared" si="114"/>
        <v>80785.941600000006</v>
      </c>
    </row>
    <row r="602" spans="1:9" ht="79.5" customHeight="1" thickTop="1" x14ac:dyDescent="0.3">
      <c r="A602" s="85"/>
      <c r="B602" s="68"/>
      <c r="C602" s="69"/>
      <c r="D602" s="70"/>
      <c r="E602" s="71"/>
      <c r="F602" s="71"/>
      <c r="G602" s="71"/>
    </row>
    <row r="603" spans="1:9" ht="26.25" x14ac:dyDescent="0.3">
      <c r="A603" s="357" t="s">
        <v>543</v>
      </c>
      <c r="B603" s="357"/>
      <c r="C603" s="357"/>
      <c r="D603" s="357"/>
      <c r="E603" s="357"/>
      <c r="F603" s="357"/>
      <c r="G603" s="357"/>
    </row>
    <row r="604" spans="1:9" ht="18" customHeight="1" x14ac:dyDescent="0.3">
      <c r="A604" s="1" t="s">
        <v>2</v>
      </c>
      <c r="B604" s="2" t="s">
        <v>3</v>
      </c>
      <c r="C604" s="2" t="s">
        <v>4</v>
      </c>
      <c r="D604" s="3" t="s">
        <v>5</v>
      </c>
      <c r="E604" s="2" t="s">
        <v>6</v>
      </c>
      <c r="F604" s="2" t="s">
        <v>7</v>
      </c>
      <c r="G604" s="2" t="s">
        <v>8</v>
      </c>
    </row>
    <row r="605" spans="1:9" ht="18" customHeight="1" x14ac:dyDescent="0.4">
      <c r="A605" s="81" t="s">
        <v>695</v>
      </c>
      <c r="B605" s="171" t="s">
        <v>734</v>
      </c>
      <c r="C605" s="169">
        <v>194.5</v>
      </c>
      <c r="D605" s="142">
        <v>89</v>
      </c>
      <c r="E605" s="60">
        <f>+C605*D605</f>
        <v>17310.5</v>
      </c>
      <c r="F605" s="60">
        <f>+E605*7%</f>
        <v>1211.7350000000001</v>
      </c>
      <c r="G605" s="60">
        <f>+E605+F605</f>
        <v>18522.235000000001</v>
      </c>
      <c r="I605">
        <v>6904228</v>
      </c>
    </row>
    <row r="606" spans="1:9" ht="18" customHeight="1" x14ac:dyDescent="0.4">
      <c r="A606" s="81" t="s">
        <v>685</v>
      </c>
      <c r="B606" s="171" t="s">
        <v>735</v>
      </c>
      <c r="C606" s="169">
        <v>394</v>
      </c>
      <c r="D606" s="142">
        <v>89</v>
      </c>
      <c r="E606" s="60">
        <f>+C606*D606</f>
        <v>35066</v>
      </c>
      <c r="F606" s="60">
        <f>+E606*7%</f>
        <v>2454.6200000000003</v>
      </c>
      <c r="G606" s="60">
        <f>+E606+F606</f>
        <v>37520.620000000003</v>
      </c>
      <c r="I606">
        <v>6904148</v>
      </c>
    </row>
    <row r="607" spans="1:9" ht="18" customHeight="1" x14ac:dyDescent="0.4">
      <c r="A607" s="81" t="s">
        <v>685</v>
      </c>
      <c r="B607" s="171" t="s">
        <v>544</v>
      </c>
      <c r="C607" s="169">
        <v>400</v>
      </c>
      <c r="D607" s="142">
        <v>89</v>
      </c>
      <c r="E607" s="60">
        <f>+C607*D607</f>
        <v>35600</v>
      </c>
      <c r="F607" s="60">
        <f>+E607*7%</f>
        <v>2492.0000000000005</v>
      </c>
      <c r="G607" s="60">
        <f>+E607+F607</f>
        <v>38092</v>
      </c>
      <c r="I607">
        <v>6904147</v>
      </c>
    </row>
    <row r="608" spans="1:9" ht="18" customHeight="1" x14ac:dyDescent="0.4">
      <c r="A608" s="81" t="s">
        <v>685</v>
      </c>
      <c r="B608" s="171" t="s">
        <v>736</v>
      </c>
      <c r="C608" s="169">
        <v>358.5</v>
      </c>
      <c r="D608" s="142">
        <v>89</v>
      </c>
      <c r="E608" s="60">
        <f>+C608*D608</f>
        <v>31906.5</v>
      </c>
      <c r="F608" s="60">
        <f>+E608*7%</f>
        <v>2233.4550000000004</v>
      </c>
      <c r="G608" s="60">
        <f>+E608+F608</f>
        <v>34139.955000000002</v>
      </c>
      <c r="I608">
        <v>6904148</v>
      </c>
    </row>
    <row r="609" spans="1:9" ht="18" customHeight="1" x14ac:dyDescent="0.4">
      <c r="A609" s="81" t="s">
        <v>685</v>
      </c>
      <c r="B609" s="171" t="s">
        <v>545</v>
      </c>
      <c r="C609" s="169">
        <v>600</v>
      </c>
      <c r="D609" s="142">
        <v>89</v>
      </c>
      <c r="E609" s="60">
        <f t="shared" ref="E609:E611" si="115">+C609*D609</f>
        <v>53400</v>
      </c>
      <c r="F609" s="60">
        <f t="shared" ref="F609:F611" si="116">+E609*7%</f>
        <v>3738.0000000000005</v>
      </c>
      <c r="G609" s="60">
        <f t="shared" ref="G609:G611" si="117">+E609+F609</f>
        <v>57138</v>
      </c>
      <c r="I609">
        <v>6904147</v>
      </c>
    </row>
    <row r="610" spans="1:9" ht="18" customHeight="1" x14ac:dyDescent="0.4">
      <c r="A610" s="81" t="s">
        <v>685</v>
      </c>
      <c r="B610" s="171" t="s">
        <v>737</v>
      </c>
      <c r="C610" s="169">
        <v>100</v>
      </c>
      <c r="D610" s="142">
        <v>89</v>
      </c>
      <c r="E610" s="60">
        <f t="shared" si="115"/>
        <v>8900</v>
      </c>
      <c r="F610" s="60">
        <f t="shared" si="116"/>
        <v>623.00000000000011</v>
      </c>
      <c r="G610" s="60">
        <f t="shared" si="117"/>
        <v>9523</v>
      </c>
      <c r="I610">
        <v>6904148</v>
      </c>
    </row>
    <row r="611" spans="1:9" ht="18" customHeight="1" x14ac:dyDescent="0.4">
      <c r="A611" s="81" t="s">
        <v>685</v>
      </c>
      <c r="B611" s="171" t="s">
        <v>546</v>
      </c>
      <c r="C611" s="169">
        <v>400</v>
      </c>
      <c r="D611" s="142">
        <v>89</v>
      </c>
      <c r="E611" s="60">
        <f t="shared" si="115"/>
        <v>35600</v>
      </c>
      <c r="F611" s="60">
        <f t="shared" si="116"/>
        <v>2492.0000000000005</v>
      </c>
      <c r="G611" s="60">
        <f t="shared" si="117"/>
        <v>38092</v>
      </c>
      <c r="I611">
        <v>6904147</v>
      </c>
    </row>
    <row r="612" spans="1:9" ht="18" customHeight="1" thickBot="1" x14ac:dyDescent="0.35">
      <c r="A612" s="84"/>
      <c r="B612" s="17" t="s">
        <v>15</v>
      </c>
      <c r="C612" s="18">
        <f>SUM(C605:C611)</f>
        <v>2447</v>
      </c>
      <c r="D612" s="19"/>
      <c r="E612" s="62">
        <f>SUM(E605:E611)</f>
        <v>217783</v>
      </c>
      <c r="F612" s="62">
        <f t="shared" ref="F612:G612" si="118">SUM(F605:F611)</f>
        <v>15244.810000000001</v>
      </c>
      <c r="G612" s="62">
        <f t="shared" si="118"/>
        <v>233027.81</v>
      </c>
    </row>
    <row r="613" spans="1:9" ht="18" customHeight="1" thickTop="1" x14ac:dyDescent="0.3">
      <c r="A613" s="85"/>
      <c r="B613" s="68"/>
      <c r="C613" s="69"/>
      <c r="D613" s="70"/>
      <c r="E613" s="71"/>
      <c r="F613" s="71"/>
      <c r="G613" s="71"/>
    </row>
    <row r="614" spans="1:9" ht="26.25" x14ac:dyDescent="0.3">
      <c r="A614" s="357" t="s">
        <v>310</v>
      </c>
      <c r="B614" s="357"/>
      <c r="C614" s="357"/>
      <c r="D614" s="357"/>
      <c r="E614" s="357"/>
      <c r="F614" s="357"/>
      <c r="G614" s="357"/>
    </row>
    <row r="615" spans="1:9" ht="18" customHeight="1" x14ac:dyDescent="0.3">
      <c r="A615" s="1" t="s">
        <v>2</v>
      </c>
      <c r="B615" s="2" t="s">
        <v>3</v>
      </c>
      <c r="C615" s="2" t="s">
        <v>4</v>
      </c>
      <c r="D615" s="3" t="s">
        <v>5</v>
      </c>
      <c r="E615" s="2" t="s">
        <v>6</v>
      </c>
      <c r="F615" s="2" t="s">
        <v>7</v>
      </c>
      <c r="G615" s="2" t="s">
        <v>8</v>
      </c>
    </row>
    <row r="616" spans="1:9" ht="18" customHeight="1" x14ac:dyDescent="0.4">
      <c r="A616" s="81" t="s">
        <v>692</v>
      </c>
      <c r="B616" s="171" t="s">
        <v>311</v>
      </c>
      <c r="C616" s="169">
        <v>494.35</v>
      </c>
      <c r="D616" s="142">
        <v>75</v>
      </c>
      <c r="E616" s="60">
        <f>+C616*D616</f>
        <v>37076.25</v>
      </c>
      <c r="F616" s="60">
        <f>+E616*7%</f>
        <v>2595.3375000000001</v>
      </c>
      <c r="G616" s="60">
        <f>+E616+F616</f>
        <v>39671.587500000001</v>
      </c>
      <c r="I616">
        <v>6904167</v>
      </c>
    </row>
    <row r="617" spans="1:9" ht="18" customHeight="1" x14ac:dyDescent="0.4">
      <c r="A617" s="81" t="s">
        <v>692</v>
      </c>
      <c r="B617" s="171" t="s">
        <v>148</v>
      </c>
      <c r="C617" s="169">
        <v>497.35</v>
      </c>
      <c r="D617" s="142">
        <v>75</v>
      </c>
      <c r="E617" s="60">
        <f>+C617*D617</f>
        <v>37301.25</v>
      </c>
      <c r="F617" s="60">
        <f>+E617*7%</f>
        <v>2611.0875000000001</v>
      </c>
      <c r="G617" s="60">
        <f>+E617+F617</f>
        <v>39912.337500000001</v>
      </c>
      <c r="I617">
        <v>6904169</v>
      </c>
    </row>
    <row r="618" spans="1:9" ht="18" customHeight="1" x14ac:dyDescent="0.4">
      <c r="A618" s="81" t="s">
        <v>692</v>
      </c>
      <c r="B618" s="171" t="s">
        <v>738</v>
      </c>
      <c r="C618" s="169">
        <v>471.55</v>
      </c>
      <c r="D618" s="142">
        <v>100</v>
      </c>
      <c r="E618" s="60">
        <f>+C618*D618</f>
        <v>47155</v>
      </c>
      <c r="F618" s="60">
        <f>+E618*7%</f>
        <v>3300.8500000000004</v>
      </c>
      <c r="G618" s="60">
        <f>+E618+F618</f>
        <v>50455.85</v>
      </c>
      <c r="I618">
        <v>6904168</v>
      </c>
    </row>
    <row r="619" spans="1:9" ht="18" customHeight="1" thickBot="1" x14ac:dyDescent="0.35">
      <c r="A619" s="84"/>
      <c r="B619" s="17" t="s">
        <v>15</v>
      </c>
      <c r="C619" s="18">
        <f>SUM(C616:C618)</f>
        <v>1463.25</v>
      </c>
      <c r="D619" s="19"/>
      <c r="E619" s="62">
        <f>SUM(E616:E618)</f>
        <v>121532.5</v>
      </c>
      <c r="F619" s="62">
        <f t="shared" ref="F619:G619" si="119">SUM(F616:F618)</f>
        <v>8507.2750000000015</v>
      </c>
      <c r="G619" s="62">
        <f t="shared" si="119"/>
        <v>130039.77499999999</v>
      </c>
    </row>
    <row r="620" spans="1:9" ht="18" customHeight="1" thickTop="1" x14ac:dyDescent="0.3">
      <c r="A620" s="85"/>
      <c r="B620" s="68"/>
      <c r="C620" s="69"/>
      <c r="D620" s="70"/>
      <c r="E620" s="71"/>
      <c r="F620" s="71"/>
      <c r="G620" s="71"/>
    </row>
    <row r="621" spans="1:9" ht="26.25" x14ac:dyDescent="0.3">
      <c r="A621" s="357" t="s">
        <v>145</v>
      </c>
      <c r="B621" s="357"/>
      <c r="C621" s="357"/>
      <c r="D621" s="357"/>
      <c r="E621" s="357"/>
      <c r="F621" s="357"/>
      <c r="G621" s="357"/>
    </row>
    <row r="622" spans="1:9" ht="18" customHeight="1" x14ac:dyDescent="0.3">
      <c r="A622" s="1" t="s">
        <v>2</v>
      </c>
      <c r="B622" s="2" t="s">
        <v>3</v>
      </c>
      <c r="C622" s="2" t="s">
        <v>4</v>
      </c>
      <c r="D622" s="3" t="s">
        <v>5</v>
      </c>
      <c r="E622" s="2" t="s">
        <v>6</v>
      </c>
      <c r="F622" s="2" t="s">
        <v>7</v>
      </c>
      <c r="G622" s="2" t="s">
        <v>8</v>
      </c>
    </row>
    <row r="623" spans="1:9" ht="18" customHeight="1" x14ac:dyDescent="0.4">
      <c r="A623" s="81" t="s">
        <v>685</v>
      </c>
      <c r="B623" s="171" t="s">
        <v>144</v>
      </c>
      <c r="C623" s="169">
        <v>299.39999999999998</v>
      </c>
      <c r="D623" s="142">
        <v>68</v>
      </c>
      <c r="E623" s="60">
        <f>+C623*D623</f>
        <v>20359.199999999997</v>
      </c>
      <c r="F623" s="60">
        <f>+E623*7%</f>
        <v>1425.144</v>
      </c>
      <c r="G623" s="60">
        <f>+E623+F623</f>
        <v>21784.343999999997</v>
      </c>
      <c r="I623">
        <v>6904137</v>
      </c>
    </row>
    <row r="624" spans="1:9" ht="18" customHeight="1" thickBot="1" x14ac:dyDescent="0.35">
      <c r="A624" s="84"/>
      <c r="B624" s="17" t="s">
        <v>15</v>
      </c>
      <c r="C624" s="18">
        <f>SUM(C623:C623)</f>
        <v>299.39999999999998</v>
      </c>
      <c r="D624" s="19"/>
      <c r="E624" s="62">
        <f>SUM(E623:E623)</f>
        <v>20359.199999999997</v>
      </c>
      <c r="F624" s="62">
        <f t="shared" ref="F624:G624" si="120">SUM(F623:F623)</f>
        <v>1425.144</v>
      </c>
      <c r="G624" s="62">
        <f t="shared" si="120"/>
        <v>21784.343999999997</v>
      </c>
    </row>
    <row r="625" spans="1:9" ht="18" customHeight="1" thickTop="1" x14ac:dyDescent="0.3">
      <c r="A625" s="69"/>
      <c r="B625" s="69"/>
      <c r="C625" s="69"/>
      <c r="D625" s="70"/>
      <c r="E625" s="71"/>
      <c r="F625" s="71"/>
      <c r="G625" s="71"/>
    </row>
    <row r="626" spans="1:9" ht="26.25" x14ac:dyDescent="0.3">
      <c r="A626" s="357" t="s">
        <v>150</v>
      </c>
      <c r="B626" s="357"/>
      <c r="C626" s="357"/>
      <c r="D626" s="357"/>
      <c r="E626" s="357"/>
      <c r="F626" s="357"/>
      <c r="G626" s="357"/>
    </row>
    <row r="627" spans="1:9" ht="18" customHeight="1" x14ac:dyDescent="0.3">
      <c r="A627" s="1" t="s">
        <v>2</v>
      </c>
      <c r="B627" s="2" t="s">
        <v>3</v>
      </c>
      <c r="C627" s="2" t="s">
        <v>4</v>
      </c>
      <c r="D627" s="3" t="s">
        <v>5</v>
      </c>
      <c r="E627" s="2" t="s">
        <v>6</v>
      </c>
      <c r="F627" s="2" t="s">
        <v>7</v>
      </c>
      <c r="G627" s="2" t="s">
        <v>8</v>
      </c>
    </row>
    <row r="628" spans="1:9" ht="18" customHeight="1" x14ac:dyDescent="0.4">
      <c r="A628" s="81" t="s">
        <v>692</v>
      </c>
      <c r="B628" s="171" t="s">
        <v>151</v>
      </c>
      <c r="C628" s="169">
        <v>1037</v>
      </c>
      <c r="D628" s="142">
        <v>75</v>
      </c>
      <c r="E628" s="60">
        <f>+C628*D628</f>
        <v>77775</v>
      </c>
      <c r="F628" s="60">
        <f>+E628*7%</f>
        <v>5444.2500000000009</v>
      </c>
      <c r="G628" s="60">
        <f>+E628+F628</f>
        <v>83219.25</v>
      </c>
      <c r="I628">
        <v>6904163</v>
      </c>
    </row>
    <row r="629" spans="1:9" ht="18" customHeight="1" x14ac:dyDescent="0.4">
      <c r="A629" s="81" t="s">
        <v>699</v>
      </c>
      <c r="B629" s="171" t="s">
        <v>151</v>
      </c>
      <c r="C629" s="169">
        <v>1041.8499999999999</v>
      </c>
      <c r="D629" s="142">
        <v>75</v>
      </c>
      <c r="E629" s="60">
        <f>+C629*D629</f>
        <v>78138.75</v>
      </c>
      <c r="F629" s="60">
        <f>+E629*7%</f>
        <v>5469.7125000000005</v>
      </c>
      <c r="G629" s="60">
        <f>+E629+F629</f>
        <v>83608.462499999994</v>
      </c>
      <c r="I629">
        <v>6904295</v>
      </c>
    </row>
    <row r="630" spans="1:9" ht="18" customHeight="1" thickBot="1" x14ac:dyDescent="0.35">
      <c r="A630" s="84"/>
      <c r="B630" s="17" t="s">
        <v>15</v>
      </c>
      <c r="C630" s="18">
        <f>SUM(C628:C629)</f>
        <v>2078.85</v>
      </c>
      <c r="D630" s="19"/>
      <c r="E630" s="62">
        <f>SUM(E628:E629)</f>
        <v>155913.75</v>
      </c>
      <c r="F630" s="62">
        <f t="shared" ref="F630:G630" si="121">SUM(F628:F629)</f>
        <v>10913.962500000001</v>
      </c>
      <c r="G630" s="62">
        <f t="shared" si="121"/>
        <v>166827.71249999999</v>
      </c>
    </row>
    <row r="631" spans="1:9" ht="18" customHeight="1" thickTop="1" x14ac:dyDescent="0.3">
      <c r="A631" s="69"/>
      <c r="B631" s="69"/>
      <c r="C631" s="69"/>
      <c r="D631" s="70"/>
      <c r="E631" s="71"/>
      <c r="F631" s="71"/>
      <c r="G631" s="71"/>
    </row>
    <row r="632" spans="1:9" ht="26.25" x14ac:dyDescent="0.3">
      <c r="A632" s="357" t="s">
        <v>739</v>
      </c>
      <c r="B632" s="357"/>
      <c r="C632" s="357"/>
      <c r="D632" s="357"/>
      <c r="E632" s="357"/>
      <c r="F632" s="357"/>
      <c r="G632" s="357"/>
    </row>
    <row r="633" spans="1:9" ht="18" customHeight="1" x14ac:dyDescent="0.3">
      <c r="A633" s="1" t="s">
        <v>2</v>
      </c>
      <c r="B633" s="2" t="s">
        <v>3</v>
      </c>
      <c r="C633" s="2" t="s">
        <v>76</v>
      </c>
      <c r="D633" s="3" t="s">
        <v>5</v>
      </c>
      <c r="E633" s="2" t="s">
        <v>6</v>
      </c>
      <c r="F633" s="2" t="s">
        <v>7</v>
      </c>
      <c r="G633" s="2" t="s">
        <v>8</v>
      </c>
    </row>
    <row r="634" spans="1:9" ht="18" customHeight="1" x14ac:dyDescent="0.4">
      <c r="A634" s="81" t="s">
        <v>708</v>
      </c>
      <c r="B634" s="171" t="s">
        <v>740</v>
      </c>
      <c r="C634" s="169">
        <v>60</v>
      </c>
      <c r="D634" s="142">
        <v>31</v>
      </c>
      <c r="E634" s="60">
        <f>+C634*D634</f>
        <v>1860</v>
      </c>
      <c r="F634" s="60">
        <f>+E634*7%</f>
        <v>130.20000000000002</v>
      </c>
      <c r="G634" s="60">
        <f>+E634+F634</f>
        <v>1990.2</v>
      </c>
      <c r="I634">
        <v>6904223</v>
      </c>
    </row>
    <row r="635" spans="1:9" ht="18" customHeight="1" thickBot="1" x14ac:dyDescent="0.35">
      <c r="A635" s="84"/>
      <c r="B635" s="17" t="s">
        <v>15</v>
      </c>
      <c r="C635" s="18">
        <f>SUM(C634:C634)</f>
        <v>60</v>
      </c>
      <c r="D635" s="19"/>
      <c r="E635" s="62">
        <f>SUM(E634:E634)</f>
        <v>1860</v>
      </c>
      <c r="F635" s="62">
        <f t="shared" ref="F635:G635" si="122">SUM(F634:F634)</f>
        <v>130.20000000000002</v>
      </c>
      <c r="G635" s="62">
        <f t="shared" si="122"/>
        <v>1990.2</v>
      </c>
    </row>
    <row r="636" spans="1:9" ht="18" customHeight="1" thickTop="1" x14ac:dyDescent="0.3">
      <c r="A636" s="69"/>
      <c r="B636" s="69"/>
      <c r="C636" s="69"/>
      <c r="D636" s="70"/>
      <c r="E636" s="71"/>
      <c r="F636" s="71"/>
      <c r="G636" s="71"/>
    </row>
    <row r="637" spans="1:9" s="30" customFormat="1" ht="12" customHeight="1" thickBot="1" x14ac:dyDescent="0.55000000000000004">
      <c r="A637" s="21"/>
      <c r="B637" s="147" t="s">
        <v>740</v>
      </c>
      <c r="C637" s="148">
        <f>+C635</f>
        <v>60</v>
      </c>
      <c r="D637" s="149">
        <v>0.41</v>
      </c>
      <c r="E637" s="188">
        <f>+C637*D637</f>
        <v>24.599999999999998</v>
      </c>
      <c r="F637" s="23"/>
      <c r="G637" s="23"/>
    </row>
    <row r="638" spans="1:9" ht="65.25" customHeight="1" thickTop="1" x14ac:dyDescent="0.3">
      <c r="A638" s="85"/>
      <c r="B638" s="68"/>
      <c r="C638" s="69"/>
      <c r="D638" s="70"/>
      <c r="E638" s="71"/>
      <c r="F638" s="71"/>
      <c r="G638" s="71"/>
    </row>
    <row r="639" spans="1:9" ht="26.25" x14ac:dyDescent="0.3">
      <c r="A639" s="357" t="s">
        <v>762</v>
      </c>
      <c r="B639" s="357"/>
      <c r="C639" s="357"/>
      <c r="D639" s="357"/>
      <c r="E639" s="357"/>
      <c r="F639" s="357"/>
      <c r="G639" s="357"/>
    </row>
    <row r="640" spans="1:9" ht="18" customHeight="1" x14ac:dyDescent="0.3">
      <c r="A640" s="1" t="s">
        <v>2</v>
      </c>
      <c r="B640" s="2" t="s">
        <v>3</v>
      </c>
      <c r="C640" s="2" t="s">
        <v>4</v>
      </c>
      <c r="D640" s="3" t="s">
        <v>5</v>
      </c>
      <c r="E640" s="2" t="s">
        <v>6</v>
      </c>
      <c r="F640" s="2" t="s">
        <v>7</v>
      </c>
      <c r="G640" s="2" t="s">
        <v>8</v>
      </c>
    </row>
    <row r="641" spans="1:9" ht="18" customHeight="1" x14ac:dyDescent="0.4">
      <c r="A641" s="81" t="s">
        <v>695</v>
      </c>
      <c r="B641" s="171" t="s">
        <v>741</v>
      </c>
      <c r="C641" s="169">
        <v>214.55</v>
      </c>
      <c r="D641" s="142">
        <v>67</v>
      </c>
      <c r="E641" s="60">
        <f t="shared" ref="E641:E647" si="123">+C641*D641</f>
        <v>14374.85</v>
      </c>
      <c r="F641" s="60">
        <f t="shared" ref="F641:F647" si="124">+E641*7%</f>
        <v>1006.2395000000001</v>
      </c>
      <c r="G641" s="60">
        <f t="shared" ref="G641:G647" si="125">+E641+F641</f>
        <v>15381.0895</v>
      </c>
      <c r="I641">
        <v>6904235</v>
      </c>
    </row>
    <row r="642" spans="1:9" ht="18" customHeight="1" x14ac:dyDescent="0.4">
      <c r="A642" s="81" t="s">
        <v>695</v>
      </c>
      <c r="B642" s="171" t="s">
        <v>742</v>
      </c>
      <c r="C642" s="169">
        <v>1065</v>
      </c>
      <c r="D642" s="142">
        <v>67</v>
      </c>
      <c r="E642" s="60">
        <f t="shared" si="123"/>
        <v>71355</v>
      </c>
      <c r="F642" s="60">
        <f t="shared" si="124"/>
        <v>4994.8500000000004</v>
      </c>
      <c r="G642" s="60">
        <f t="shared" si="125"/>
        <v>76349.850000000006</v>
      </c>
      <c r="I642">
        <v>6904233</v>
      </c>
    </row>
    <row r="643" spans="1:9" ht="18" customHeight="1" x14ac:dyDescent="0.4">
      <c r="A643" s="81" t="s">
        <v>695</v>
      </c>
      <c r="B643" s="171" t="s">
        <v>742</v>
      </c>
      <c r="C643" s="169">
        <v>598.79999999999995</v>
      </c>
      <c r="D643" s="142">
        <v>67</v>
      </c>
      <c r="E643" s="60">
        <f t="shared" si="123"/>
        <v>40119.599999999999</v>
      </c>
      <c r="F643" s="60">
        <f t="shared" si="124"/>
        <v>2808.3720000000003</v>
      </c>
      <c r="G643" s="60">
        <f t="shared" si="125"/>
        <v>42927.972000000002</v>
      </c>
      <c r="I643">
        <v>6904232</v>
      </c>
    </row>
    <row r="644" spans="1:9" ht="18" customHeight="1" x14ac:dyDescent="0.4">
      <c r="A644" s="81" t="s">
        <v>697</v>
      </c>
      <c r="B644" s="171" t="s">
        <v>742</v>
      </c>
      <c r="C644" s="169">
        <v>740.2</v>
      </c>
      <c r="D644" s="142">
        <v>67</v>
      </c>
      <c r="E644" s="60">
        <f t="shared" si="123"/>
        <v>49593.4</v>
      </c>
      <c r="F644" s="60">
        <f t="shared" si="124"/>
        <v>3471.5380000000005</v>
      </c>
      <c r="G644" s="60">
        <f t="shared" si="125"/>
        <v>53064.938000000002</v>
      </c>
      <c r="I644">
        <v>6904277</v>
      </c>
    </row>
    <row r="645" spans="1:9" ht="18" customHeight="1" x14ac:dyDescent="0.4">
      <c r="A645" s="81" t="s">
        <v>695</v>
      </c>
      <c r="B645" s="171" t="s">
        <v>743</v>
      </c>
      <c r="C645" s="169">
        <v>1066.8</v>
      </c>
      <c r="D645" s="142">
        <v>67</v>
      </c>
      <c r="E645" s="60">
        <f t="shared" si="123"/>
        <v>71475.599999999991</v>
      </c>
      <c r="F645" s="60">
        <f t="shared" si="124"/>
        <v>5003.2919999999995</v>
      </c>
      <c r="G645" s="60">
        <f t="shared" si="125"/>
        <v>76478.891999999993</v>
      </c>
      <c r="I645">
        <v>6904234</v>
      </c>
    </row>
    <row r="646" spans="1:9" ht="18" customHeight="1" x14ac:dyDescent="0.4">
      <c r="A646" s="81" t="s">
        <v>695</v>
      </c>
      <c r="B646" s="171" t="s">
        <v>743</v>
      </c>
      <c r="C646" s="169">
        <v>591.6</v>
      </c>
      <c r="D646" s="142">
        <v>67</v>
      </c>
      <c r="E646" s="60">
        <f t="shared" si="123"/>
        <v>39637.200000000004</v>
      </c>
      <c r="F646" s="60">
        <f t="shared" si="124"/>
        <v>2774.6040000000007</v>
      </c>
      <c r="G646" s="60">
        <f t="shared" si="125"/>
        <v>42411.804000000004</v>
      </c>
      <c r="I646">
        <v>6904232</v>
      </c>
    </row>
    <row r="647" spans="1:9" ht="18" customHeight="1" x14ac:dyDescent="0.4">
      <c r="A647" s="81" t="s">
        <v>697</v>
      </c>
      <c r="B647" s="171" t="s">
        <v>743</v>
      </c>
      <c r="C647" s="169">
        <v>742.3</v>
      </c>
      <c r="D647" s="142">
        <v>67</v>
      </c>
      <c r="E647" s="60">
        <f t="shared" si="123"/>
        <v>49734.1</v>
      </c>
      <c r="F647" s="60">
        <f t="shared" si="124"/>
        <v>3481.3870000000002</v>
      </c>
      <c r="G647" s="60">
        <f t="shared" si="125"/>
        <v>53215.487000000001</v>
      </c>
      <c r="I647">
        <v>6904278</v>
      </c>
    </row>
    <row r="648" spans="1:9" ht="18" customHeight="1" thickBot="1" x14ac:dyDescent="0.35">
      <c r="A648" s="84"/>
      <c r="B648" s="17" t="s">
        <v>15</v>
      </c>
      <c r="C648" s="18">
        <f>SUM(C641:C647)</f>
        <v>5019.2500000000009</v>
      </c>
      <c r="D648" s="19"/>
      <c r="E648" s="62">
        <f>SUM(E641:E647)</f>
        <v>336289.75</v>
      </c>
      <c r="F648" s="62">
        <f t="shared" ref="F648:G648" si="126">SUM(F641:F647)</f>
        <v>23540.282499999998</v>
      </c>
      <c r="G648" s="62">
        <f t="shared" si="126"/>
        <v>359830.03250000003</v>
      </c>
    </row>
    <row r="649" spans="1:9" ht="18" customHeight="1" thickTop="1" x14ac:dyDescent="0.3">
      <c r="A649" s="69"/>
      <c r="B649" s="69"/>
      <c r="C649" s="69"/>
      <c r="D649" s="70"/>
      <c r="E649" s="71"/>
      <c r="F649" s="71"/>
      <c r="G649" s="71"/>
    </row>
    <row r="650" spans="1:9" ht="26.25" x14ac:dyDescent="0.3">
      <c r="A650" s="357" t="s">
        <v>659</v>
      </c>
      <c r="B650" s="357"/>
      <c r="C650" s="357"/>
      <c r="D650" s="357"/>
      <c r="E650" s="357"/>
      <c r="F650" s="357"/>
      <c r="G650" s="357"/>
    </row>
    <row r="651" spans="1:9" ht="18" customHeight="1" x14ac:dyDescent="0.3">
      <c r="A651" s="1" t="s">
        <v>2</v>
      </c>
      <c r="B651" s="2" t="s">
        <v>3</v>
      </c>
      <c r="C651" s="2" t="s">
        <v>4</v>
      </c>
      <c r="D651" s="3" t="s">
        <v>5</v>
      </c>
      <c r="E651" s="2" t="s">
        <v>6</v>
      </c>
      <c r="F651" s="2" t="s">
        <v>7</v>
      </c>
      <c r="G651" s="2" t="s">
        <v>8</v>
      </c>
    </row>
    <row r="652" spans="1:9" ht="18" customHeight="1" x14ac:dyDescent="0.4">
      <c r="A652" s="81" t="s">
        <v>692</v>
      </c>
      <c r="B652" s="171" t="s">
        <v>660</v>
      </c>
      <c r="C652" s="169">
        <v>1932.15</v>
      </c>
      <c r="D652" s="142">
        <v>80</v>
      </c>
      <c r="E652" s="60">
        <f>+C652*D652</f>
        <v>154572</v>
      </c>
      <c r="F652" s="60">
        <f>+E652*7%</f>
        <v>10820.04</v>
      </c>
      <c r="G652" s="60">
        <f>+E652+F652</f>
        <v>165392.04</v>
      </c>
      <c r="I652">
        <v>6904170</v>
      </c>
    </row>
    <row r="653" spans="1:9" ht="18" customHeight="1" x14ac:dyDescent="0.4">
      <c r="A653" s="81" t="s">
        <v>720</v>
      </c>
      <c r="B653" s="171" t="s">
        <v>660</v>
      </c>
      <c r="C653" s="169">
        <v>1985.55</v>
      </c>
      <c r="D653" s="142">
        <v>80</v>
      </c>
      <c r="E653" s="60">
        <f>+C653*D653</f>
        <v>158844</v>
      </c>
      <c r="F653" s="60">
        <f>+E653*7%</f>
        <v>11119.080000000002</v>
      </c>
      <c r="G653" s="60">
        <f>+E653+F653</f>
        <v>169963.08000000002</v>
      </c>
      <c r="I653">
        <v>6904304</v>
      </c>
    </row>
    <row r="654" spans="1:9" ht="18" customHeight="1" x14ac:dyDescent="0.4">
      <c r="A654" s="81" t="s">
        <v>692</v>
      </c>
      <c r="B654" s="171" t="s">
        <v>661</v>
      </c>
      <c r="C654" s="169">
        <v>1996.5</v>
      </c>
      <c r="D654" s="142">
        <v>80</v>
      </c>
      <c r="E654" s="60">
        <f>+C654*D654</f>
        <v>159720</v>
      </c>
      <c r="F654" s="60">
        <f>+E654*7%</f>
        <v>11180.400000000001</v>
      </c>
      <c r="G654" s="60">
        <f>+E654+F654</f>
        <v>170900.4</v>
      </c>
      <c r="I654">
        <v>6904304</v>
      </c>
    </row>
    <row r="655" spans="1:9" ht="18" customHeight="1" x14ac:dyDescent="0.4">
      <c r="A655" s="81" t="s">
        <v>709</v>
      </c>
      <c r="B655" s="171" t="s">
        <v>661</v>
      </c>
      <c r="C655" s="169">
        <v>3982.6</v>
      </c>
      <c r="D655" s="142">
        <v>80</v>
      </c>
      <c r="E655" s="60">
        <f>+C655*D655</f>
        <v>318608</v>
      </c>
      <c r="F655" s="60">
        <f>+E655*7%</f>
        <v>22302.560000000001</v>
      </c>
      <c r="G655" s="60">
        <f>+E655+F655</f>
        <v>340910.56</v>
      </c>
      <c r="I655">
        <v>6904323</v>
      </c>
    </row>
    <row r="656" spans="1:9" ht="18" customHeight="1" x14ac:dyDescent="0.4">
      <c r="A656" s="81" t="s">
        <v>720</v>
      </c>
      <c r="B656" s="171" t="s">
        <v>661</v>
      </c>
      <c r="C656" s="169">
        <v>1993.1</v>
      </c>
      <c r="D656" s="142">
        <v>80</v>
      </c>
      <c r="E656" s="60">
        <f>+C656*D656</f>
        <v>159448</v>
      </c>
      <c r="F656" s="60">
        <f>+E656*7%</f>
        <v>11161.36</v>
      </c>
      <c r="G656" s="60">
        <f>+E656+F656</f>
        <v>170609.36</v>
      </c>
      <c r="I656">
        <v>6904304</v>
      </c>
    </row>
    <row r="657" spans="1:9" ht="18" customHeight="1" thickBot="1" x14ac:dyDescent="0.35">
      <c r="A657" s="84"/>
      <c r="B657" s="17" t="s">
        <v>15</v>
      </c>
      <c r="C657" s="18">
        <f>SUM(C652:C656)</f>
        <v>11889.9</v>
      </c>
      <c r="D657" s="19"/>
      <c r="E657" s="62">
        <f>SUM(E652:E656)</f>
        <v>951192</v>
      </c>
      <c r="F657" s="62">
        <f t="shared" ref="F657:G657" si="127">SUM(F652:F656)</f>
        <v>66583.44</v>
      </c>
      <c r="G657" s="62">
        <f t="shared" si="127"/>
        <v>1017775.4400000001</v>
      </c>
    </row>
    <row r="658" spans="1:9" ht="18" customHeight="1" thickTop="1" x14ac:dyDescent="0.3">
      <c r="A658" s="69"/>
      <c r="B658" s="69"/>
      <c r="C658" s="69"/>
      <c r="D658" s="70"/>
      <c r="E658" s="71"/>
      <c r="F658" s="71"/>
      <c r="G658" s="71"/>
    </row>
    <row r="659" spans="1:9" ht="26.25" x14ac:dyDescent="0.3">
      <c r="A659" s="357" t="s">
        <v>744</v>
      </c>
      <c r="B659" s="357"/>
      <c r="C659" s="357"/>
      <c r="D659" s="357"/>
      <c r="E659" s="357"/>
      <c r="F659" s="357"/>
      <c r="G659" s="357"/>
    </row>
    <row r="660" spans="1:9" ht="18" customHeight="1" x14ac:dyDescent="0.3">
      <c r="A660" s="1" t="s">
        <v>2</v>
      </c>
      <c r="B660" s="2" t="s">
        <v>3</v>
      </c>
      <c r="C660" s="2" t="s">
        <v>4</v>
      </c>
      <c r="D660" s="3" t="s">
        <v>5</v>
      </c>
      <c r="E660" s="2" t="s">
        <v>6</v>
      </c>
      <c r="F660" s="2" t="s">
        <v>7</v>
      </c>
      <c r="G660" s="2" t="s">
        <v>8</v>
      </c>
    </row>
    <row r="661" spans="1:9" ht="18" customHeight="1" x14ac:dyDescent="0.4">
      <c r="A661" s="81" t="s">
        <v>703</v>
      </c>
      <c r="B661" s="171" t="s">
        <v>745</v>
      </c>
      <c r="C661" s="169">
        <v>489.15</v>
      </c>
      <c r="D661" s="142">
        <v>73</v>
      </c>
      <c r="E661" s="60">
        <f>+C661*D661</f>
        <v>35707.949999999997</v>
      </c>
      <c r="F661" s="60">
        <f>+E661*7%</f>
        <v>2499.5565000000001</v>
      </c>
      <c r="G661" s="60">
        <f>+E661+F661</f>
        <v>38207.506499999996</v>
      </c>
      <c r="I661">
        <v>6904023</v>
      </c>
    </row>
    <row r="662" spans="1:9" ht="18" customHeight="1" x14ac:dyDescent="0.4">
      <c r="A662" s="81" t="s">
        <v>703</v>
      </c>
      <c r="B662" s="171" t="s">
        <v>746</v>
      </c>
      <c r="C662" s="169">
        <v>485.2</v>
      </c>
      <c r="D662" s="142">
        <v>73</v>
      </c>
      <c r="E662" s="60">
        <f>+C662*D662</f>
        <v>35419.599999999999</v>
      </c>
      <c r="F662" s="60">
        <f>+E662*7%</f>
        <v>2479.3720000000003</v>
      </c>
      <c r="G662" s="60">
        <f>+E662+F662</f>
        <v>37898.972000000002</v>
      </c>
      <c r="I662">
        <v>6904023</v>
      </c>
    </row>
    <row r="663" spans="1:9" ht="18" customHeight="1" thickBot="1" x14ac:dyDescent="0.35">
      <c r="A663" s="84"/>
      <c r="B663" s="17" t="s">
        <v>15</v>
      </c>
      <c r="C663" s="18">
        <f>SUM(C661:C662)</f>
        <v>974.34999999999991</v>
      </c>
      <c r="D663" s="19"/>
      <c r="E663" s="62">
        <f>SUM(E661:E662)</f>
        <v>71127.549999999988</v>
      </c>
      <c r="F663" s="62">
        <f t="shared" ref="F663:G663" si="128">SUM(F661:F662)</f>
        <v>4978.9285</v>
      </c>
      <c r="G663" s="62">
        <f t="shared" si="128"/>
        <v>76106.478499999997</v>
      </c>
    </row>
    <row r="664" spans="1:9" ht="18" customHeight="1" thickTop="1" x14ac:dyDescent="0.3">
      <c r="A664" s="69"/>
      <c r="B664" s="69"/>
      <c r="C664" s="69"/>
      <c r="D664" s="70"/>
      <c r="E664" s="71"/>
      <c r="F664" s="71"/>
      <c r="G664" s="71"/>
    </row>
    <row r="665" spans="1:9" ht="26.25" x14ac:dyDescent="0.3">
      <c r="A665" s="357" t="s">
        <v>747</v>
      </c>
      <c r="B665" s="357"/>
      <c r="C665" s="357"/>
      <c r="D665" s="357"/>
      <c r="E665" s="357"/>
      <c r="F665" s="357"/>
      <c r="G665" s="357"/>
    </row>
    <row r="666" spans="1:9" ht="18" customHeight="1" x14ac:dyDescent="0.3">
      <c r="A666" s="1" t="s">
        <v>2</v>
      </c>
      <c r="B666" s="2" t="s">
        <v>3</v>
      </c>
      <c r="C666" s="2" t="s">
        <v>4</v>
      </c>
      <c r="D666" s="3" t="s">
        <v>5</v>
      </c>
      <c r="E666" s="2" t="s">
        <v>6</v>
      </c>
      <c r="F666" s="2" t="s">
        <v>7</v>
      </c>
      <c r="G666" s="2" t="s">
        <v>8</v>
      </c>
    </row>
    <row r="667" spans="1:9" ht="18" customHeight="1" x14ac:dyDescent="0.4">
      <c r="A667" s="81" t="s">
        <v>704</v>
      </c>
      <c r="B667" s="171" t="s">
        <v>748</v>
      </c>
      <c r="C667" s="169">
        <v>313.5</v>
      </c>
      <c r="D667" s="142">
        <v>80</v>
      </c>
      <c r="E667" s="60">
        <f>+C667*D667</f>
        <v>25080</v>
      </c>
      <c r="F667" s="60">
        <f>+E667*7%</f>
        <v>1755.6000000000001</v>
      </c>
      <c r="G667" s="60">
        <f>+E667+F667</f>
        <v>26835.599999999999</v>
      </c>
      <c r="I667">
        <v>6904072</v>
      </c>
    </row>
    <row r="668" spans="1:9" ht="18" customHeight="1" thickBot="1" x14ac:dyDescent="0.35">
      <c r="A668" s="84"/>
      <c r="B668" s="17" t="s">
        <v>15</v>
      </c>
      <c r="C668" s="18">
        <f>SUM(C667:C667)</f>
        <v>313.5</v>
      </c>
      <c r="D668" s="19"/>
      <c r="E668" s="62">
        <f>SUM(E667:E667)</f>
        <v>25080</v>
      </c>
      <c r="F668" s="62">
        <f t="shared" ref="F668:G668" si="129">SUM(F667:F667)</f>
        <v>1755.6000000000001</v>
      </c>
      <c r="G668" s="62">
        <f t="shared" si="129"/>
        <v>26835.599999999999</v>
      </c>
    </row>
    <row r="669" spans="1:9" ht="18" customHeight="1" thickTop="1" x14ac:dyDescent="0.3">
      <c r="A669" s="69"/>
      <c r="B669" s="69"/>
      <c r="C669" s="69"/>
      <c r="D669" s="70"/>
      <c r="E669" s="71"/>
      <c r="F669" s="71"/>
      <c r="G669" s="71"/>
    </row>
    <row r="670" spans="1:9" ht="26.25" x14ac:dyDescent="0.3">
      <c r="A670" s="357" t="s">
        <v>749</v>
      </c>
      <c r="B670" s="357"/>
      <c r="C670" s="357"/>
      <c r="D670" s="357"/>
      <c r="E670" s="357"/>
      <c r="F670" s="357"/>
      <c r="G670" s="357"/>
    </row>
    <row r="671" spans="1:9" ht="18" customHeight="1" x14ac:dyDescent="0.3">
      <c r="A671" s="1" t="s">
        <v>2</v>
      </c>
      <c r="B671" s="2" t="s">
        <v>3</v>
      </c>
      <c r="C671" s="2" t="s">
        <v>76</v>
      </c>
      <c r="D671" s="3" t="s">
        <v>5</v>
      </c>
      <c r="E671" s="2" t="s">
        <v>6</v>
      </c>
      <c r="F671" s="2" t="s">
        <v>7</v>
      </c>
      <c r="G671" s="2" t="s">
        <v>8</v>
      </c>
    </row>
    <row r="672" spans="1:9" ht="18" customHeight="1" x14ac:dyDescent="0.4">
      <c r="A672" s="81" t="s">
        <v>691</v>
      </c>
      <c r="B672" s="171" t="s">
        <v>89</v>
      </c>
      <c r="C672" s="169">
        <v>160</v>
      </c>
      <c r="D672" s="142">
        <v>137</v>
      </c>
      <c r="E672" s="60">
        <f>+C672*D672</f>
        <v>21920</v>
      </c>
      <c r="F672" s="60">
        <f>+E672*7%</f>
        <v>1534.4</v>
      </c>
      <c r="G672" s="60">
        <f>+E672+F672</f>
        <v>23454.400000000001</v>
      </c>
      <c r="I672">
        <v>6904104</v>
      </c>
    </row>
    <row r="673" spans="1:9" ht="18" customHeight="1" thickBot="1" x14ac:dyDescent="0.35">
      <c r="A673" s="84"/>
      <c r="B673" s="17" t="s">
        <v>15</v>
      </c>
      <c r="C673" s="18">
        <f>SUM(C672:C672)</f>
        <v>160</v>
      </c>
      <c r="D673" s="19"/>
      <c r="E673" s="62">
        <f>SUM(E672:E672)</f>
        <v>21920</v>
      </c>
      <c r="F673" s="62">
        <f>SUM(F672:F672)</f>
        <v>1534.4</v>
      </c>
      <c r="G673" s="62">
        <f>SUM(G672:G672)</f>
        <v>23454.400000000001</v>
      </c>
    </row>
    <row r="674" spans="1:9" ht="18" customHeight="1" thickTop="1" x14ac:dyDescent="0.3">
      <c r="A674" s="69"/>
      <c r="B674" s="69"/>
      <c r="C674" s="69"/>
      <c r="D674" s="70"/>
      <c r="E674" s="71"/>
      <c r="F674" s="71"/>
      <c r="G674" s="71"/>
    </row>
    <row r="675" spans="1:9" s="30" customFormat="1" ht="12" customHeight="1" thickBot="1" x14ac:dyDescent="0.55000000000000004">
      <c r="A675" s="21"/>
      <c r="B675" s="147" t="s">
        <v>89</v>
      </c>
      <c r="C675" s="148">
        <f>+C673</f>
        <v>160</v>
      </c>
      <c r="D675" s="149">
        <v>2.0699999999999998</v>
      </c>
      <c r="E675" s="188">
        <f>+C675*D675</f>
        <v>331.2</v>
      </c>
      <c r="F675" s="23"/>
      <c r="G675" s="23"/>
    </row>
    <row r="676" spans="1:9" s="30" customFormat="1" ht="40.5" customHeight="1" thickTop="1" x14ac:dyDescent="0.5">
      <c r="A676" s="85"/>
      <c r="B676" s="68"/>
      <c r="C676" s="69"/>
      <c r="D676" s="70"/>
      <c r="E676" s="71"/>
      <c r="F676" s="71"/>
      <c r="G676" s="71"/>
    </row>
    <row r="677" spans="1:9" ht="26.25" x14ac:dyDescent="0.3">
      <c r="A677" s="357" t="s">
        <v>750</v>
      </c>
      <c r="B677" s="357"/>
      <c r="C677" s="357"/>
      <c r="D677" s="357"/>
      <c r="E677" s="357"/>
      <c r="F677" s="357"/>
      <c r="G677" s="357"/>
    </row>
    <row r="678" spans="1:9" ht="18" customHeight="1" x14ac:dyDescent="0.3">
      <c r="A678" s="1" t="s">
        <v>2</v>
      </c>
      <c r="B678" s="2" t="s">
        <v>3</v>
      </c>
      <c r="C678" s="2" t="s">
        <v>4</v>
      </c>
      <c r="D678" s="3" t="s">
        <v>5</v>
      </c>
      <c r="E678" s="2" t="s">
        <v>6</v>
      </c>
      <c r="F678" s="2" t="s">
        <v>7</v>
      </c>
      <c r="G678" s="2" t="s">
        <v>8</v>
      </c>
    </row>
    <row r="679" spans="1:9" ht="18" customHeight="1" x14ac:dyDescent="0.4">
      <c r="A679" s="81" t="s">
        <v>691</v>
      </c>
      <c r="B679" s="171" t="s">
        <v>751</v>
      </c>
      <c r="C679" s="169">
        <v>584.95000000000005</v>
      </c>
      <c r="D679" s="142">
        <v>82</v>
      </c>
      <c r="E679" s="60">
        <f>+C679*D679</f>
        <v>47965.9</v>
      </c>
      <c r="F679" s="60">
        <f>+E679*7%</f>
        <v>3357.6130000000003</v>
      </c>
      <c r="G679" s="60">
        <f>+E679+F679</f>
        <v>51323.512999999999</v>
      </c>
      <c r="I679">
        <v>6904112</v>
      </c>
    </row>
    <row r="680" spans="1:9" ht="18" customHeight="1" x14ac:dyDescent="0.4">
      <c r="A680" s="81" t="s">
        <v>695</v>
      </c>
      <c r="B680" s="171" t="s">
        <v>751</v>
      </c>
      <c r="C680" s="169">
        <v>384.55</v>
      </c>
      <c r="D680" s="142">
        <v>82</v>
      </c>
      <c r="E680" s="60">
        <f>+C680*D680</f>
        <v>31533.100000000002</v>
      </c>
      <c r="F680" s="60">
        <f>+E680*7%</f>
        <v>2207.3170000000005</v>
      </c>
      <c r="G680" s="60">
        <f>+E680+F680</f>
        <v>33740.417000000001</v>
      </c>
      <c r="I680">
        <v>6904237</v>
      </c>
    </row>
    <row r="681" spans="1:9" ht="18" customHeight="1" thickBot="1" x14ac:dyDescent="0.35">
      <c r="A681" s="84"/>
      <c r="B681" s="17" t="s">
        <v>15</v>
      </c>
      <c r="C681" s="18">
        <f>SUM(C679:C680)</f>
        <v>969.5</v>
      </c>
      <c r="D681" s="19"/>
      <c r="E681" s="62">
        <f>SUM(E679:E680)</f>
        <v>79499</v>
      </c>
      <c r="F681" s="62">
        <f t="shared" ref="F681:G681" si="130">SUM(F679:F680)</f>
        <v>5564.93</v>
      </c>
      <c r="G681" s="62">
        <f t="shared" si="130"/>
        <v>85063.93</v>
      </c>
    </row>
    <row r="682" spans="1:9" ht="18" customHeight="1" thickTop="1" x14ac:dyDescent="0.3">
      <c r="A682" s="69"/>
      <c r="B682" s="69"/>
      <c r="C682" s="69"/>
      <c r="D682" s="70"/>
      <c r="E682" s="71"/>
      <c r="F682" s="71"/>
      <c r="G682" s="71"/>
    </row>
    <row r="683" spans="1:9" ht="26.25" x14ac:dyDescent="0.3">
      <c r="A683" s="357" t="s">
        <v>752</v>
      </c>
      <c r="B683" s="357"/>
      <c r="C683" s="357"/>
      <c r="D683" s="357"/>
      <c r="E683" s="357"/>
      <c r="F683" s="357"/>
      <c r="G683" s="357"/>
    </row>
    <row r="684" spans="1:9" ht="18" customHeight="1" x14ac:dyDescent="0.3">
      <c r="A684" s="1" t="s">
        <v>2</v>
      </c>
      <c r="B684" s="2" t="s">
        <v>3</v>
      </c>
      <c r="C684" s="2" t="s">
        <v>4</v>
      </c>
      <c r="D684" s="3" t="s">
        <v>5</v>
      </c>
      <c r="E684" s="2" t="s">
        <v>6</v>
      </c>
      <c r="F684" s="2" t="s">
        <v>7</v>
      </c>
      <c r="G684" s="2" t="s">
        <v>8</v>
      </c>
    </row>
    <row r="685" spans="1:9" ht="18" customHeight="1" x14ac:dyDescent="0.4">
      <c r="A685" s="81" t="s">
        <v>685</v>
      </c>
      <c r="B685" s="171" t="s">
        <v>753</v>
      </c>
      <c r="C685" s="169">
        <v>8634.35</v>
      </c>
      <c r="D685" s="142">
        <v>77</v>
      </c>
      <c r="E685" s="60">
        <f>+C685*D685</f>
        <v>664844.95000000007</v>
      </c>
      <c r="F685" s="60">
        <f>+E685*7%</f>
        <v>46539.14650000001</v>
      </c>
      <c r="G685" s="60">
        <f>+E685+F685</f>
        <v>711384.0965000001</v>
      </c>
      <c r="I685">
        <v>6904138</v>
      </c>
    </row>
    <row r="686" spans="1:9" ht="18" customHeight="1" thickBot="1" x14ac:dyDescent="0.35">
      <c r="A686" s="84"/>
      <c r="B686" s="17" t="s">
        <v>15</v>
      </c>
      <c r="C686" s="18">
        <f>SUM(C685:C685)</f>
        <v>8634.35</v>
      </c>
      <c r="D686" s="19"/>
      <c r="E686" s="62">
        <f>SUM(E685:E685)</f>
        <v>664844.95000000007</v>
      </c>
      <c r="F686" s="62">
        <f t="shared" ref="F686:G686" si="131">SUM(F685:F685)</f>
        <v>46539.14650000001</v>
      </c>
      <c r="G686" s="62">
        <f t="shared" si="131"/>
        <v>711384.0965000001</v>
      </c>
    </row>
    <row r="687" spans="1:9" ht="18" customHeight="1" thickTop="1" x14ac:dyDescent="0.3">
      <c r="A687" s="69"/>
      <c r="B687" s="69"/>
      <c r="C687" s="69"/>
      <c r="D687" s="70"/>
      <c r="E687" s="71"/>
      <c r="F687" s="71"/>
      <c r="G687" s="71"/>
    </row>
    <row r="688" spans="1:9" ht="26.25" x14ac:dyDescent="0.3">
      <c r="A688" s="357" t="s">
        <v>754</v>
      </c>
      <c r="B688" s="357"/>
      <c r="C688" s="357"/>
      <c r="D688" s="357"/>
      <c r="E688" s="357"/>
      <c r="F688" s="357"/>
      <c r="G688" s="357"/>
    </row>
    <row r="689" spans="1:9" ht="18" customHeight="1" x14ac:dyDescent="0.3">
      <c r="A689" s="1" t="s">
        <v>2</v>
      </c>
      <c r="B689" s="2" t="s">
        <v>3</v>
      </c>
      <c r="C689" s="2" t="s">
        <v>76</v>
      </c>
      <c r="D689" s="3" t="s">
        <v>5</v>
      </c>
      <c r="E689" s="2" t="s">
        <v>6</v>
      </c>
      <c r="F689" s="2" t="s">
        <v>7</v>
      </c>
      <c r="G689" s="2" t="s">
        <v>8</v>
      </c>
    </row>
    <row r="690" spans="1:9" ht="18" customHeight="1" x14ac:dyDescent="0.4">
      <c r="A690" s="81" t="s">
        <v>707</v>
      </c>
      <c r="B690" s="171" t="s">
        <v>89</v>
      </c>
      <c r="C690" s="169">
        <v>126</v>
      </c>
      <c r="D690" s="142">
        <v>127</v>
      </c>
      <c r="E690" s="60">
        <f>+C690*D690</f>
        <v>16002</v>
      </c>
      <c r="F690" s="60">
        <f>+E690*7%</f>
        <v>1120.1400000000001</v>
      </c>
      <c r="G690" s="60">
        <f>+E690+F690</f>
        <v>17122.14</v>
      </c>
      <c r="I690">
        <v>6904117</v>
      </c>
    </row>
    <row r="691" spans="1:9" ht="18" customHeight="1" thickBot="1" x14ac:dyDescent="0.35">
      <c r="A691" s="84"/>
      <c r="B691" s="17" t="s">
        <v>15</v>
      </c>
      <c r="C691" s="18">
        <f>SUM(C690:C690)</f>
        <v>126</v>
      </c>
      <c r="D691" s="19"/>
      <c r="E691" s="62">
        <f>SUM(E690:E690)</f>
        <v>16002</v>
      </c>
      <c r="F691" s="62">
        <f>SUM(F690:F690)</f>
        <v>1120.1400000000001</v>
      </c>
      <c r="G691" s="62">
        <f>SUM(G690:G690)</f>
        <v>17122.14</v>
      </c>
    </row>
    <row r="692" spans="1:9" ht="18" customHeight="1" thickTop="1" x14ac:dyDescent="0.3">
      <c r="A692" s="69"/>
      <c r="B692" s="69"/>
      <c r="C692" s="69"/>
      <c r="D692" s="70"/>
      <c r="E692" s="71"/>
      <c r="F692" s="71"/>
      <c r="G692" s="71"/>
    </row>
    <row r="693" spans="1:9" s="30" customFormat="1" ht="12" customHeight="1" thickBot="1" x14ac:dyDescent="0.55000000000000004">
      <c r="A693" s="69"/>
      <c r="B693" s="203" t="s">
        <v>89</v>
      </c>
      <c r="C693" s="148">
        <f>+C691</f>
        <v>126</v>
      </c>
      <c r="D693" s="149">
        <v>2.0699999999999998</v>
      </c>
      <c r="E693" s="188">
        <f>+C693*D693</f>
        <v>260.82</v>
      </c>
      <c r="F693" s="23"/>
      <c r="G693" s="23"/>
    </row>
    <row r="694" spans="1:9" s="30" customFormat="1" ht="13.5" customHeight="1" thickTop="1" x14ac:dyDescent="0.5">
      <c r="A694" s="69"/>
      <c r="B694" s="69"/>
      <c r="C694" s="69"/>
      <c r="D694" s="70"/>
      <c r="E694" s="71"/>
      <c r="F694" s="71"/>
      <c r="G694" s="71"/>
    </row>
    <row r="695" spans="1:9" ht="26.25" x14ac:dyDescent="0.3">
      <c r="A695" s="357" t="s">
        <v>755</v>
      </c>
      <c r="B695" s="357"/>
      <c r="C695" s="357"/>
      <c r="D695" s="357"/>
      <c r="E695" s="357"/>
      <c r="F695" s="357"/>
      <c r="G695" s="357"/>
    </row>
    <row r="696" spans="1:9" ht="18" customHeight="1" x14ac:dyDescent="0.3">
      <c r="A696" s="1" t="s">
        <v>2</v>
      </c>
      <c r="B696" s="2" t="s">
        <v>3</v>
      </c>
      <c r="C696" s="2" t="s">
        <v>76</v>
      </c>
      <c r="D696" s="3" t="s">
        <v>5</v>
      </c>
      <c r="E696" s="2" t="s">
        <v>6</v>
      </c>
      <c r="F696" s="2" t="s">
        <v>7</v>
      </c>
      <c r="G696" s="2" t="s">
        <v>8</v>
      </c>
    </row>
    <row r="697" spans="1:9" ht="18" customHeight="1" x14ac:dyDescent="0.4">
      <c r="A697" s="81" t="s">
        <v>707</v>
      </c>
      <c r="B697" s="171" t="s">
        <v>89</v>
      </c>
      <c r="C697" s="169">
        <v>60</v>
      </c>
      <c r="D697" s="142">
        <v>245</v>
      </c>
      <c r="E697" s="60">
        <f>+C697*D697</f>
        <v>14700</v>
      </c>
      <c r="F697" s="60">
        <f>+E697*7%</f>
        <v>1029</v>
      </c>
      <c r="G697" s="60">
        <f>+E697+F697</f>
        <v>15729</v>
      </c>
      <c r="I697">
        <v>6904127</v>
      </c>
    </row>
    <row r="698" spans="1:9" ht="18" customHeight="1" thickBot="1" x14ac:dyDescent="0.35">
      <c r="A698" s="84"/>
      <c r="B698" s="17" t="s">
        <v>15</v>
      </c>
      <c r="C698" s="18">
        <f>SUM(C697:C697)</f>
        <v>60</v>
      </c>
      <c r="D698" s="19"/>
      <c r="E698" s="62">
        <f>SUM(E697:E697)</f>
        <v>14700</v>
      </c>
      <c r="F698" s="62">
        <f>SUM(F697:F697)</f>
        <v>1029</v>
      </c>
      <c r="G698" s="62">
        <f>SUM(G697:G697)</f>
        <v>15729</v>
      </c>
    </row>
    <row r="699" spans="1:9" ht="15" customHeight="1" thickTop="1" x14ac:dyDescent="0.3">
      <c r="A699" s="69"/>
      <c r="B699" s="69"/>
      <c r="C699" s="69"/>
      <c r="D699" s="70"/>
      <c r="E699" s="71"/>
      <c r="F699" s="71"/>
      <c r="G699" s="71"/>
    </row>
    <row r="700" spans="1:9" s="30" customFormat="1" ht="12" customHeight="1" thickBot="1" x14ac:dyDescent="0.55000000000000004">
      <c r="A700" s="69"/>
      <c r="B700" s="203" t="s">
        <v>89</v>
      </c>
      <c r="C700" s="148">
        <f>+C698</f>
        <v>60</v>
      </c>
      <c r="D700" s="149">
        <v>2.0699999999999998</v>
      </c>
      <c r="E700" s="188">
        <f>+C700*D700</f>
        <v>124.19999999999999</v>
      </c>
      <c r="F700" s="23"/>
      <c r="G700" s="23"/>
    </row>
    <row r="701" spans="1:9" s="30" customFormat="1" ht="10.5" customHeight="1" thickTop="1" x14ac:dyDescent="0.5">
      <c r="A701" s="69"/>
      <c r="B701" s="69"/>
      <c r="C701" s="69"/>
      <c r="D701" s="70"/>
      <c r="E701" s="71"/>
      <c r="F701" s="71"/>
      <c r="G701" s="71"/>
    </row>
    <row r="702" spans="1:9" ht="26.25" x14ac:dyDescent="0.3">
      <c r="A702" s="357" t="s">
        <v>756</v>
      </c>
      <c r="B702" s="357"/>
      <c r="C702" s="357"/>
      <c r="D702" s="357"/>
      <c r="E702" s="357"/>
      <c r="F702" s="357"/>
      <c r="G702" s="357"/>
    </row>
    <row r="703" spans="1:9" ht="18" customHeight="1" x14ac:dyDescent="0.3">
      <c r="A703" s="1" t="s">
        <v>2</v>
      </c>
      <c r="B703" s="2" t="s">
        <v>3</v>
      </c>
      <c r="C703" s="2" t="s">
        <v>76</v>
      </c>
      <c r="D703" s="3" t="s">
        <v>5</v>
      </c>
      <c r="E703" s="2" t="s">
        <v>6</v>
      </c>
      <c r="F703" s="2" t="s">
        <v>7</v>
      </c>
      <c r="G703" s="2" t="s">
        <v>8</v>
      </c>
    </row>
    <row r="704" spans="1:9" ht="18" customHeight="1" x14ac:dyDescent="0.4">
      <c r="A704" s="81" t="s">
        <v>693</v>
      </c>
      <c r="B704" s="171" t="s">
        <v>757</v>
      </c>
      <c r="C704" s="169">
        <v>100</v>
      </c>
      <c r="D704" s="142">
        <v>157</v>
      </c>
      <c r="E704" s="60">
        <f>+C704*D704</f>
        <v>15700</v>
      </c>
      <c r="F704" s="60">
        <f>+E704*7%</f>
        <v>1099</v>
      </c>
      <c r="G704" s="60">
        <f>+E704+F704</f>
        <v>16799</v>
      </c>
      <c r="I704">
        <v>6904183</v>
      </c>
    </row>
    <row r="705" spans="1:9" ht="18" customHeight="1" x14ac:dyDescent="0.4">
      <c r="A705" s="81" t="s">
        <v>693</v>
      </c>
      <c r="B705" s="171" t="s">
        <v>89</v>
      </c>
      <c r="C705" s="169">
        <v>60</v>
      </c>
      <c r="D705" s="142">
        <v>157</v>
      </c>
      <c r="E705" s="60">
        <f>+C705*D705</f>
        <v>9420</v>
      </c>
      <c r="F705" s="60">
        <f>+E705*7%</f>
        <v>659.40000000000009</v>
      </c>
      <c r="G705" s="60">
        <f>+E705+F705</f>
        <v>10079.4</v>
      </c>
      <c r="I705">
        <v>6904183</v>
      </c>
    </row>
    <row r="706" spans="1:9" ht="18" customHeight="1" thickBot="1" x14ac:dyDescent="0.35">
      <c r="A706" s="84"/>
      <c r="B706" s="17" t="s">
        <v>15</v>
      </c>
      <c r="C706" s="18">
        <f>SUM(C704:C705)</f>
        <v>160</v>
      </c>
      <c r="D706" s="19"/>
      <c r="E706" s="62">
        <f>SUM(E704:E705)</f>
        <v>25120</v>
      </c>
      <c r="F706" s="62">
        <f>SUM(F704:F705)</f>
        <v>1758.4</v>
      </c>
      <c r="G706" s="62">
        <f>SUM(G704:G705)</f>
        <v>26878.400000000001</v>
      </c>
    </row>
    <row r="707" spans="1:9" ht="12" customHeight="1" thickTop="1" x14ac:dyDescent="0.3">
      <c r="A707" s="69"/>
      <c r="B707" s="69"/>
      <c r="C707" s="69"/>
      <c r="D707" s="70"/>
      <c r="E707" s="71"/>
      <c r="F707" s="71"/>
      <c r="G707" s="71"/>
    </row>
    <row r="708" spans="1:9" s="30" customFormat="1" ht="12" customHeight="1" x14ac:dyDescent="0.5">
      <c r="A708" s="21"/>
      <c r="B708" s="147" t="s">
        <v>89</v>
      </c>
      <c r="C708" s="148">
        <f>C705</f>
        <v>60</v>
      </c>
      <c r="D708" s="149">
        <v>2.0699999999999998</v>
      </c>
      <c r="E708" s="204">
        <f>+C708*D708</f>
        <v>124.19999999999999</v>
      </c>
      <c r="F708" s="23"/>
      <c r="G708" s="23"/>
    </row>
    <row r="709" spans="1:9" ht="18" customHeight="1" thickBot="1" x14ac:dyDescent="0.35">
      <c r="A709" s="85"/>
      <c r="B709" s="147" t="s">
        <v>564</v>
      </c>
      <c r="C709" s="148">
        <f>C704</f>
        <v>100</v>
      </c>
      <c r="D709" s="149">
        <v>2.0720000000000001</v>
      </c>
      <c r="E709" s="204">
        <f>+C709*D709</f>
        <v>207.20000000000002</v>
      </c>
      <c r="F709" s="320">
        <f>E708+E709</f>
        <v>331.4</v>
      </c>
      <c r="G709" s="71"/>
    </row>
    <row r="710" spans="1:9" ht="13.5" customHeight="1" thickTop="1" x14ac:dyDescent="0.3">
      <c r="A710" s="85"/>
      <c r="B710" s="68"/>
      <c r="C710" s="69"/>
      <c r="D710" s="70"/>
      <c r="E710" s="71"/>
      <c r="F710" s="71"/>
      <c r="G710" s="71"/>
    </row>
    <row r="711" spans="1:9" ht="26.25" x14ac:dyDescent="0.3">
      <c r="A711" s="357" t="s">
        <v>758</v>
      </c>
      <c r="B711" s="357"/>
      <c r="C711" s="357"/>
      <c r="D711" s="357"/>
      <c r="E711" s="357"/>
      <c r="F711" s="357"/>
      <c r="G711" s="357"/>
    </row>
    <row r="712" spans="1:9" ht="18" customHeight="1" x14ac:dyDescent="0.3">
      <c r="A712" s="1" t="s">
        <v>2</v>
      </c>
      <c r="B712" s="2" t="s">
        <v>3</v>
      </c>
      <c r="C712" s="2" t="s">
        <v>76</v>
      </c>
      <c r="D712" s="3" t="s">
        <v>5</v>
      </c>
      <c r="E712" s="2" t="s">
        <v>6</v>
      </c>
      <c r="F712" s="2" t="s">
        <v>7</v>
      </c>
      <c r="G712" s="2" t="s">
        <v>8</v>
      </c>
    </row>
    <row r="713" spans="1:9" ht="18" customHeight="1" x14ac:dyDescent="0.4">
      <c r="A713" s="81" t="s">
        <v>708</v>
      </c>
      <c r="B713" s="171" t="s">
        <v>759</v>
      </c>
      <c r="C713" s="169">
        <v>120</v>
      </c>
      <c r="D713" s="142">
        <v>115</v>
      </c>
      <c r="E713" s="60">
        <f>+C713*D713</f>
        <v>13800</v>
      </c>
      <c r="F713" s="60">
        <f>+E713*7%</f>
        <v>966.00000000000011</v>
      </c>
      <c r="G713" s="60">
        <f>+E713+F713</f>
        <v>14766</v>
      </c>
      <c r="I713">
        <v>6904210</v>
      </c>
    </row>
    <row r="714" spans="1:9" ht="18" customHeight="1" x14ac:dyDescent="0.4">
      <c r="A714" s="81" t="s">
        <v>695</v>
      </c>
      <c r="B714" s="171" t="s">
        <v>89</v>
      </c>
      <c r="C714" s="169">
        <v>60</v>
      </c>
      <c r="D714" s="142">
        <v>137</v>
      </c>
      <c r="E714" s="60">
        <f>+C714*D714</f>
        <v>8220</v>
      </c>
      <c r="F714" s="60">
        <f>+E714*7%</f>
        <v>575.40000000000009</v>
      </c>
      <c r="G714" s="60">
        <f>+E714+F714</f>
        <v>8795.4</v>
      </c>
      <c r="I714">
        <v>6904229</v>
      </c>
    </row>
    <row r="715" spans="1:9" ht="18" customHeight="1" thickBot="1" x14ac:dyDescent="0.35">
      <c r="A715" s="84"/>
      <c r="B715" s="17" t="s">
        <v>15</v>
      </c>
      <c r="C715" s="18">
        <f>SUM(C713:C714)</f>
        <v>180</v>
      </c>
      <c r="D715" s="19"/>
      <c r="E715" s="62">
        <f>SUM(E713:E714)</f>
        <v>22020</v>
      </c>
      <c r="F715" s="62">
        <f t="shared" ref="F715:G715" si="132">SUM(F713:F714)</f>
        <v>1541.4</v>
      </c>
      <c r="G715" s="62">
        <f t="shared" si="132"/>
        <v>23561.4</v>
      </c>
    </row>
    <row r="716" spans="1:9" ht="12.75" customHeight="1" thickTop="1" x14ac:dyDescent="0.3">
      <c r="A716" s="69"/>
      <c r="B716" s="69"/>
      <c r="C716" s="69"/>
      <c r="D716" s="70"/>
      <c r="E716" s="71"/>
      <c r="F716" s="71"/>
      <c r="G716" s="71"/>
    </row>
    <row r="717" spans="1:9" s="30" customFormat="1" ht="12" customHeight="1" x14ac:dyDescent="0.5">
      <c r="A717" s="21"/>
      <c r="B717" s="147" t="s">
        <v>89</v>
      </c>
      <c r="C717" s="148">
        <f>+C714</f>
        <v>60</v>
      </c>
      <c r="D717" s="149">
        <v>2.0699999999999998</v>
      </c>
      <c r="E717" s="204">
        <f>+C717*D717</f>
        <v>124.19999999999999</v>
      </c>
      <c r="F717" s="23"/>
      <c r="G717" s="23"/>
    </row>
    <row r="718" spans="1:9" ht="18" customHeight="1" thickBot="1" x14ac:dyDescent="0.35">
      <c r="A718" s="85"/>
      <c r="B718" s="147" t="s">
        <v>759</v>
      </c>
      <c r="C718" s="203">
        <f>C714</f>
        <v>60</v>
      </c>
      <c r="D718" s="70">
        <v>1.52</v>
      </c>
      <c r="E718" s="204">
        <f>+C718*D718</f>
        <v>91.2</v>
      </c>
      <c r="F718" s="320">
        <f>E717+E718</f>
        <v>215.39999999999998</v>
      </c>
      <c r="G718" s="71"/>
    </row>
    <row r="719" spans="1:9" ht="18" customHeight="1" thickTop="1" x14ac:dyDescent="0.3">
      <c r="A719" s="69"/>
      <c r="B719" s="69"/>
      <c r="C719" s="69"/>
      <c r="D719" s="70"/>
      <c r="E719" s="71"/>
      <c r="F719" s="71"/>
      <c r="G719" s="71"/>
    </row>
    <row r="720" spans="1:9" ht="26.25" x14ac:dyDescent="0.3">
      <c r="A720" s="357" t="s">
        <v>760</v>
      </c>
      <c r="B720" s="357"/>
      <c r="C720" s="357"/>
      <c r="D720" s="357"/>
      <c r="E720" s="357"/>
      <c r="F720" s="357"/>
      <c r="G720" s="357"/>
    </row>
    <row r="721" spans="1:9" ht="18" customHeight="1" x14ac:dyDescent="0.3">
      <c r="A721" s="1" t="s">
        <v>2</v>
      </c>
      <c r="B721" s="2" t="s">
        <v>3</v>
      </c>
      <c r="C721" s="2" t="s">
        <v>76</v>
      </c>
      <c r="D721" s="3" t="s">
        <v>5</v>
      </c>
      <c r="E721" s="2" t="s">
        <v>6</v>
      </c>
      <c r="F721" s="2" t="s">
        <v>7</v>
      </c>
      <c r="G721" s="2" t="s">
        <v>8</v>
      </c>
    </row>
    <row r="722" spans="1:9" ht="18" customHeight="1" x14ac:dyDescent="0.4">
      <c r="A722" s="81" t="s">
        <v>697</v>
      </c>
      <c r="B722" s="171" t="s">
        <v>89</v>
      </c>
      <c r="C722" s="169">
        <v>60</v>
      </c>
      <c r="D722" s="142">
        <v>157</v>
      </c>
      <c r="E722" s="60">
        <f>+C722*D722</f>
        <v>9420</v>
      </c>
      <c r="F722" s="60">
        <f>+E722*7%</f>
        <v>659.40000000000009</v>
      </c>
      <c r="G722" s="60">
        <f>+E722+F722</f>
        <v>10079.4</v>
      </c>
      <c r="I722">
        <v>6904284</v>
      </c>
    </row>
    <row r="723" spans="1:9" ht="18" customHeight="1" thickBot="1" x14ac:dyDescent="0.35">
      <c r="A723" s="84"/>
      <c r="B723" s="17" t="s">
        <v>15</v>
      </c>
      <c r="C723" s="18">
        <f>SUM(C722)</f>
        <v>60</v>
      </c>
      <c r="D723" s="19"/>
      <c r="E723" s="62">
        <f>SUM(E722)</f>
        <v>9420</v>
      </c>
      <c r="F723" s="62">
        <f>SUM(F722)</f>
        <v>659.40000000000009</v>
      </c>
      <c r="G723" s="62">
        <f>SUM(G722)</f>
        <v>10079.4</v>
      </c>
    </row>
    <row r="724" spans="1:9" ht="18" customHeight="1" thickTop="1" x14ac:dyDescent="0.3">
      <c r="A724" s="85"/>
      <c r="B724" s="68"/>
      <c r="C724" s="69"/>
      <c r="D724" s="70"/>
      <c r="E724" s="71"/>
      <c r="F724" s="71"/>
      <c r="G724" s="71"/>
    </row>
    <row r="725" spans="1:9" s="30" customFormat="1" ht="12" customHeight="1" thickBot="1" x14ac:dyDescent="0.55000000000000004">
      <c r="A725" s="21"/>
      <c r="B725" s="147" t="s">
        <v>89</v>
      </c>
      <c r="C725" s="148">
        <f>+C723</f>
        <v>60</v>
      </c>
      <c r="D725" s="149">
        <v>2.0699999999999998</v>
      </c>
      <c r="E725" s="188">
        <f>+C725*D725</f>
        <v>124.19999999999999</v>
      </c>
      <c r="F725" s="23"/>
      <c r="G725" s="23"/>
    </row>
    <row r="726" spans="1:9" ht="18" customHeight="1" thickTop="1" x14ac:dyDescent="0.3">
      <c r="A726" s="85"/>
      <c r="B726" s="68"/>
      <c r="C726" s="69"/>
      <c r="D726" s="70"/>
      <c r="E726" s="71"/>
      <c r="F726" s="71"/>
      <c r="G726" s="71"/>
    </row>
    <row r="727" spans="1:9" s="30" customFormat="1" ht="23.25" x14ac:dyDescent="0.5">
      <c r="A727" s="359" t="s">
        <v>521</v>
      </c>
      <c r="B727" s="359"/>
      <c r="C727" s="359"/>
      <c r="D727" s="359"/>
      <c r="E727" s="359"/>
      <c r="F727" s="359"/>
      <c r="G727" s="359"/>
    </row>
    <row r="728" spans="1:9" s="30" customFormat="1" ht="18" customHeight="1" x14ac:dyDescent="0.5">
      <c r="A728" s="1" t="s">
        <v>2</v>
      </c>
      <c r="B728" s="2" t="s">
        <v>3</v>
      </c>
      <c r="C728" s="2" t="s">
        <v>88</v>
      </c>
      <c r="D728" s="3" t="s">
        <v>5</v>
      </c>
      <c r="E728" s="2" t="s">
        <v>6</v>
      </c>
      <c r="F728" s="2" t="s">
        <v>7</v>
      </c>
      <c r="G728" s="2" t="s">
        <v>8</v>
      </c>
    </row>
    <row r="729" spans="1:9" ht="18" customHeight="1" x14ac:dyDescent="0.4">
      <c r="A729" s="81" t="s">
        <v>695</v>
      </c>
      <c r="B729" s="171" t="s">
        <v>89</v>
      </c>
      <c r="C729" s="169">
        <v>60</v>
      </c>
      <c r="D729" s="142">
        <v>137</v>
      </c>
      <c r="E729" s="60">
        <f>+C729*D729</f>
        <v>8220</v>
      </c>
      <c r="F729" s="60">
        <f>+E729*7%</f>
        <v>575.40000000000009</v>
      </c>
      <c r="G729" s="60">
        <f>+E729+F729</f>
        <v>8795.4</v>
      </c>
      <c r="I729">
        <v>6904229</v>
      </c>
    </row>
    <row r="730" spans="1:9" s="30" customFormat="1" ht="18" customHeight="1" thickBot="1" x14ac:dyDescent="0.55000000000000004">
      <c r="A730" s="84"/>
      <c r="B730" s="17" t="s">
        <v>15</v>
      </c>
      <c r="C730" s="18">
        <f>SUM(C729:C729)</f>
        <v>60</v>
      </c>
      <c r="D730" s="19"/>
      <c r="E730" s="62">
        <f>SUM(E729:E729)</f>
        <v>8220</v>
      </c>
      <c r="F730" s="62">
        <f>SUM(F729:F729)</f>
        <v>575.40000000000009</v>
      </c>
      <c r="G730" s="62">
        <f>SUM(G729:G729)</f>
        <v>8795.4</v>
      </c>
    </row>
    <row r="731" spans="1:9" ht="17.25" thickTop="1" x14ac:dyDescent="0.3"/>
    <row r="732" spans="1:9" s="30" customFormat="1" ht="12" customHeight="1" thickBot="1" x14ac:dyDescent="0.55000000000000004">
      <c r="A732" s="21"/>
      <c r="B732" s="147" t="s">
        <v>89</v>
      </c>
      <c r="C732" s="148">
        <f>+C730</f>
        <v>60</v>
      </c>
      <c r="D732" s="149">
        <v>2.0699999999999998</v>
      </c>
      <c r="E732" s="188">
        <f>+C732*D732</f>
        <v>124.19999999999999</v>
      </c>
      <c r="F732" s="23"/>
      <c r="G732" s="23"/>
    </row>
    <row r="733" spans="1:9" s="30" customFormat="1" ht="18.75" customHeight="1" thickTop="1" x14ac:dyDescent="0.5">
      <c r="A733" s="85"/>
      <c r="B733" s="68"/>
      <c r="C733" s="69"/>
      <c r="D733" s="70"/>
      <c r="E733" s="71"/>
      <c r="F733" s="71"/>
      <c r="G733" s="71"/>
    </row>
    <row r="734" spans="1:9" s="181" customFormat="1" ht="18" customHeight="1" x14ac:dyDescent="0.4">
      <c r="A734" s="175"/>
      <c r="B734" s="176"/>
      <c r="C734" s="177" t="s">
        <v>122</v>
      </c>
      <c r="D734" s="178"/>
      <c r="E734" s="179" t="s">
        <v>123</v>
      </c>
      <c r="F734" s="180"/>
      <c r="G734" s="71"/>
    </row>
    <row r="735" spans="1:9" s="181" customFormat="1" ht="18" customHeight="1" x14ac:dyDescent="0.4">
      <c r="A735" s="175"/>
      <c r="B735" s="182"/>
      <c r="C735" s="183">
        <f>C76+C113+C129+C148+C193+C243+C290+C299+C306+C312+C319+C325+C331+C337+C343+E351+C361+C388+C418+C423+C440+C448+C455+C461+F471+C482+F499+C509+C514+C521+C527+C553+C560+C565+C575+C581+E588+E596+C601+C612+C619+C624+C630+E637+C648+C657+C663+C668+E675+C681+C686+E693+E700+F709+F718+E725+E732</f>
        <v>720476.7699999999</v>
      </c>
      <c r="D735" s="184"/>
      <c r="E735" s="185">
        <f>E76+E113+E129+E148+E193+E243+E267+E299+E306+E312+E319+E325+E331+E337+E343+E349+E361+E375+E418+E423+E432+E448+E455+E461+E469+E482+E491+E509+E514+E521+E527+E553+E560+E565+E570+E581+E586+E594+E601+E612+E619+E624+E630+E635+E648+E657+E663+E668+E673+E681+E686+E691+E698+E706+E715+E723+E730</f>
        <v>53379280.633600019</v>
      </c>
      <c r="F735" s="180"/>
      <c r="G735" s="71"/>
    </row>
    <row r="736" spans="1:9" ht="18" x14ac:dyDescent="0.3">
      <c r="E736" s="186"/>
      <c r="G736" s="71"/>
    </row>
  </sheetData>
  <autoFilter ref="I1:I736" xr:uid="{BA45B471-1CBE-438D-BE8B-509CF418CBE2}"/>
  <mergeCells count="59">
    <mergeCell ref="A727:G727"/>
    <mergeCell ref="A659:G659"/>
    <mergeCell ref="A665:G665"/>
    <mergeCell ref="A670:G670"/>
    <mergeCell ref="A677:G677"/>
    <mergeCell ref="A683:G683"/>
    <mergeCell ref="A688:G688"/>
    <mergeCell ref="A695:G695"/>
    <mergeCell ref="A702:G702"/>
    <mergeCell ref="A711:G711"/>
    <mergeCell ref="A720:G720"/>
    <mergeCell ref="A650:G650"/>
    <mergeCell ref="A639:G639"/>
    <mergeCell ref="A626:G626"/>
    <mergeCell ref="A632:G632"/>
    <mergeCell ref="A603:G603"/>
    <mergeCell ref="A614:G614"/>
    <mergeCell ref="A621:G621"/>
    <mergeCell ref="A583:G583"/>
    <mergeCell ref="A590:G590"/>
    <mergeCell ref="A598:G598"/>
    <mergeCell ref="A562:G562"/>
    <mergeCell ref="A567:G567"/>
    <mergeCell ref="A572:G572"/>
    <mergeCell ref="A577:G577"/>
    <mergeCell ref="A529:G529"/>
    <mergeCell ref="A555:G555"/>
    <mergeCell ref="A511:G511"/>
    <mergeCell ref="A516:G516"/>
    <mergeCell ref="A523:G523"/>
    <mergeCell ref="A475:G475"/>
    <mergeCell ref="A484:G484"/>
    <mergeCell ref="A506:G506"/>
    <mergeCell ref="A442:G442"/>
    <mergeCell ref="A450:G450"/>
    <mergeCell ref="A457:G457"/>
    <mergeCell ref="A463:G463"/>
    <mergeCell ref="A363:G363"/>
    <mergeCell ref="A390:G390"/>
    <mergeCell ref="A420:G420"/>
    <mergeCell ref="A425:G425"/>
    <mergeCell ref="A321:G321"/>
    <mergeCell ref="A327:G327"/>
    <mergeCell ref="A333:G333"/>
    <mergeCell ref="A339:G339"/>
    <mergeCell ref="A345:G345"/>
    <mergeCell ref="A353:G353"/>
    <mergeCell ref="A245:G245"/>
    <mergeCell ref="A292:G292"/>
    <mergeCell ref="A301:G301"/>
    <mergeCell ref="A308:G308"/>
    <mergeCell ref="A314:G314"/>
    <mergeCell ref="A150:G150"/>
    <mergeCell ref="A195:G195"/>
    <mergeCell ref="A1:G1"/>
    <mergeCell ref="A2:G2"/>
    <mergeCell ref="A78:G78"/>
    <mergeCell ref="A115:G115"/>
    <mergeCell ref="A131:G131"/>
  </mergeCells>
  <pageMargins left="0.5" right="0.42" top="0.53" bottom="0.55000000000000004" header="0.3" footer="0.3"/>
  <pageSetup paperSize="9" orientation="portrait" horizontalDpi="0" verticalDpi="0" r:id="rId1"/>
  <headerFooter>
    <oddHeader>&amp;C&amp;"Angsana New,Regular"&amp;P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8564-CCA1-4DBC-B04E-E4097890637A}">
  <sheetPr>
    <pageSetUpPr fitToPage="1"/>
  </sheetPr>
  <dimension ref="A1:AI93"/>
  <sheetViews>
    <sheetView zoomScale="80" zoomScaleNormal="80" workbookViewId="0">
      <selection activeCell="H3" sqref="H3"/>
    </sheetView>
  </sheetViews>
  <sheetFormatPr defaultColWidth="7.875" defaultRowHeight="23.25" x14ac:dyDescent="0.5"/>
  <cols>
    <col min="1" max="1" width="5.625" style="263" customWidth="1"/>
    <col min="2" max="2" width="23.25" style="225" customWidth="1"/>
    <col min="3" max="4" width="12.125" style="225" customWidth="1"/>
    <col min="5" max="5" width="10.75" style="225" customWidth="1"/>
    <col min="6" max="6" width="12" style="223" customWidth="1"/>
    <col min="7" max="7" width="9" style="264" customWidth="1"/>
    <col min="8" max="8" width="12.375" style="225" customWidth="1"/>
    <col min="9" max="9" width="14.25" style="225" customWidth="1"/>
    <col min="10" max="10" width="10.5" style="223" customWidth="1"/>
    <col min="11" max="11" width="10" style="224" customWidth="1"/>
    <col min="12" max="12" width="7.5" style="225" customWidth="1"/>
    <col min="13" max="13" width="24.5" style="225" customWidth="1"/>
    <col min="14" max="14" width="9.75" style="225" customWidth="1"/>
    <col min="15" max="19" width="11" style="225" customWidth="1"/>
    <col min="20" max="20" width="12.25" style="225" customWidth="1"/>
    <col min="21" max="21" width="7.875" style="225" customWidth="1"/>
    <col min="22" max="22" width="7.5" style="225" customWidth="1"/>
    <col min="23" max="23" width="24.5" style="225" customWidth="1"/>
    <col min="24" max="24" width="12.875" style="225" customWidth="1"/>
    <col min="25" max="25" width="11" style="225" customWidth="1"/>
    <col min="26" max="26" width="12.125" style="225" customWidth="1"/>
    <col min="27" max="27" width="7.375" style="225" customWidth="1"/>
    <col min="28" max="28" width="7.75" style="225" customWidth="1"/>
    <col min="29" max="29" width="22.75" style="225" customWidth="1"/>
    <col min="30" max="30" width="10.625" style="225" customWidth="1"/>
    <col min="31" max="31" width="11.125" style="252" customWidth="1"/>
    <col min="32" max="32" width="10.375" style="225" customWidth="1"/>
    <col min="33" max="33" width="10.875" style="225" customWidth="1"/>
    <col min="34" max="34" width="9.125" style="225" customWidth="1"/>
    <col min="35" max="35" width="8.875" style="225" customWidth="1"/>
    <col min="36" max="16384" width="7.875" style="225"/>
  </cols>
  <sheetData>
    <row r="1" spans="1:34" ht="42" customHeight="1" x14ac:dyDescent="0.6">
      <c r="A1" s="368" t="s">
        <v>779</v>
      </c>
      <c r="B1" s="368"/>
      <c r="C1" s="368"/>
      <c r="D1" s="368"/>
      <c r="E1" s="368"/>
      <c r="F1" s="368"/>
      <c r="G1" s="368"/>
      <c r="H1" s="368"/>
      <c r="I1" s="368"/>
      <c r="L1" s="369" t="s">
        <v>782</v>
      </c>
      <c r="M1" s="369"/>
      <c r="N1" s="369"/>
      <c r="O1" s="369"/>
      <c r="P1" s="369"/>
      <c r="Q1" s="369"/>
      <c r="R1" s="369"/>
      <c r="S1" s="369"/>
      <c r="T1" s="369"/>
      <c r="V1" s="369" t="s">
        <v>781</v>
      </c>
      <c r="W1" s="369"/>
      <c r="X1" s="369"/>
      <c r="Y1" s="369"/>
      <c r="Z1" s="369"/>
      <c r="AB1" s="370" t="s">
        <v>780</v>
      </c>
      <c r="AC1" s="370"/>
      <c r="AD1" s="370"/>
      <c r="AE1" s="370"/>
      <c r="AF1" s="370"/>
      <c r="AG1" s="370"/>
      <c r="AH1" s="226"/>
    </row>
    <row r="2" spans="1:34" s="233" customFormat="1" ht="46.5" x14ac:dyDescent="0.5">
      <c r="A2" s="227" t="s">
        <v>377</v>
      </c>
      <c r="B2" s="227" t="s">
        <v>378</v>
      </c>
      <c r="C2" s="228" t="s">
        <v>379</v>
      </c>
      <c r="D2" s="228" t="s">
        <v>380</v>
      </c>
      <c r="E2" s="228" t="s">
        <v>381</v>
      </c>
      <c r="F2" s="229" t="s">
        <v>382</v>
      </c>
      <c r="G2" s="230" t="s">
        <v>383</v>
      </c>
      <c r="H2" s="228" t="s">
        <v>384</v>
      </c>
      <c r="I2" s="227" t="s">
        <v>385</v>
      </c>
      <c r="J2" s="231"/>
      <c r="K2" s="232"/>
      <c r="L2" s="227" t="s">
        <v>377</v>
      </c>
      <c r="M2" s="227" t="s">
        <v>378</v>
      </c>
      <c r="N2" s="227" t="s">
        <v>386</v>
      </c>
      <c r="O2" s="227" t="s">
        <v>387</v>
      </c>
      <c r="P2" s="227" t="s">
        <v>388</v>
      </c>
      <c r="Q2" s="227" t="s">
        <v>389</v>
      </c>
      <c r="R2" s="227" t="s">
        <v>681</v>
      </c>
      <c r="S2" s="227" t="s">
        <v>390</v>
      </c>
      <c r="T2" s="227" t="s">
        <v>391</v>
      </c>
      <c r="V2" s="227" t="s">
        <v>377</v>
      </c>
      <c r="W2" s="227" t="s">
        <v>378</v>
      </c>
      <c r="X2" s="227" t="s">
        <v>392</v>
      </c>
      <c r="Y2" s="227" t="s">
        <v>393</v>
      </c>
      <c r="Z2" s="227" t="s">
        <v>391</v>
      </c>
      <c r="AA2" s="234"/>
      <c r="AB2" s="227" t="s">
        <v>377</v>
      </c>
      <c r="AC2" s="227" t="s">
        <v>378</v>
      </c>
      <c r="AD2" s="227" t="s">
        <v>394</v>
      </c>
      <c r="AE2" s="235" t="s">
        <v>395</v>
      </c>
      <c r="AF2" s="228" t="s">
        <v>396</v>
      </c>
      <c r="AG2" s="227" t="s">
        <v>391</v>
      </c>
      <c r="AH2" s="225"/>
    </row>
    <row r="3" spans="1:34" x14ac:dyDescent="0.5">
      <c r="A3" s="236">
        <v>1</v>
      </c>
      <c r="B3" s="219" t="s">
        <v>332</v>
      </c>
      <c r="C3" s="220">
        <v>207602.08</v>
      </c>
      <c r="D3" s="237">
        <v>0</v>
      </c>
      <c r="E3" s="237">
        <v>0</v>
      </c>
      <c r="F3" s="238">
        <v>0</v>
      </c>
      <c r="G3" s="239">
        <v>0</v>
      </c>
      <c r="H3" s="240">
        <f>+C3+D3+E3+F3+G3</f>
        <v>207602.08</v>
      </c>
      <c r="I3" s="220"/>
      <c r="J3" s="241">
        <f>+H3*100/H51</f>
        <v>28.814541792929699</v>
      </c>
      <c r="L3" s="236">
        <v>1</v>
      </c>
      <c r="M3" s="219" t="s">
        <v>333</v>
      </c>
      <c r="N3" s="242">
        <v>0</v>
      </c>
      <c r="O3" s="242">
        <v>1359.61</v>
      </c>
      <c r="P3" s="242">
        <v>0</v>
      </c>
      <c r="Q3" s="242">
        <v>0</v>
      </c>
      <c r="R3" s="242">
        <v>11394.4</v>
      </c>
      <c r="S3" s="242">
        <v>0</v>
      </c>
      <c r="T3" s="242">
        <f>N3+O3+P3+Q3+R3+S3</f>
        <v>12754.01</v>
      </c>
      <c r="U3" s="241">
        <f>+T3*100/T12</f>
        <v>18.138032967847185</v>
      </c>
      <c r="V3" s="236">
        <v>1</v>
      </c>
      <c r="W3" s="219" t="s">
        <v>333</v>
      </c>
      <c r="X3" s="237">
        <v>12754.01</v>
      </c>
      <c r="Y3" s="242">
        <v>0</v>
      </c>
      <c r="Z3" s="242">
        <f>+X3+Y3</f>
        <v>12754.01</v>
      </c>
      <c r="AA3" s="243"/>
      <c r="AB3" s="236">
        <v>1</v>
      </c>
      <c r="AC3" s="219" t="s">
        <v>569</v>
      </c>
      <c r="AD3" s="237">
        <v>3253</v>
      </c>
      <c r="AE3" s="244">
        <v>20000</v>
      </c>
      <c r="AF3" s="245">
        <v>0</v>
      </c>
      <c r="AG3" s="242">
        <f>+AD3+AF3</f>
        <v>3253</v>
      </c>
    </row>
    <row r="4" spans="1:34" x14ac:dyDescent="0.5">
      <c r="A4" s="236">
        <v>2</v>
      </c>
      <c r="B4" s="219" t="s">
        <v>333</v>
      </c>
      <c r="C4" s="237">
        <v>156672.78</v>
      </c>
      <c r="D4" s="237">
        <v>12754.01</v>
      </c>
      <c r="E4" s="237">
        <v>0</v>
      </c>
      <c r="F4" s="238">
        <v>0</v>
      </c>
      <c r="G4" s="239">
        <v>0</v>
      </c>
      <c r="H4" s="240">
        <f t="shared" ref="H4:H50" si="0">+C4+D4+E4+F4+G4</f>
        <v>169426.79</v>
      </c>
      <c r="I4" s="337" t="s">
        <v>392</v>
      </c>
      <c r="J4" s="246">
        <f>+H4*100/H51</f>
        <v>23.515926821623964</v>
      </c>
      <c r="L4" s="236">
        <v>2</v>
      </c>
      <c r="M4" s="219" t="s">
        <v>336</v>
      </c>
      <c r="N4" s="242">
        <v>576.05999999999995</v>
      </c>
      <c r="O4" s="242">
        <v>25958.73</v>
      </c>
      <c r="P4" s="242">
        <v>0</v>
      </c>
      <c r="Q4" s="242">
        <v>0</v>
      </c>
      <c r="R4" s="242">
        <v>0</v>
      </c>
      <c r="S4" s="242">
        <v>0</v>
      </c>
      <c r="T4" s="242">
        <f t="shared" ref="T4:T11" si="1">N4+O4+P4+Q4+R4+S4</f>
        <v>26534.79</v>
      </c>
      <c r="U4" s="241">
        <f>+T4*100/T12</f>
        <v>37.736280261259147</v>
      </c>
      <c r="V4" s="236">
        <v>2</v>
      </c>
      <c r="W4" s="219" t="s">
        <v>336</v>
      </c>
      <c r="X4" s="237">
        <v>26534.79</v>
      </c>
      <c r="Y4" s="242">
        <v>0</v>
      </c>
      <c r="Z4" s="242">
        <f t="shared" ref="Z4:Z10" si="2">+X4+Y4</f>
        <v>26534.79</v>
      </c>
      <c r="AA4" s="243"/>
      <c r="AB4" s="236">
        <v>2</v>
      </c>
      <c r="AC4" s="219" t="s">
        <v>349</v>
      </c>
      <c r="AD4" s="237">
        <v>1994.4</v>
      </c>
      <c r="AE4" s="244">
        <v>1800</v>
      </c>
      <c r="AF4" s="245">
        <v>0</v>
      </c>
      <c r="AG4" s="242">
        <f>+AD4+AF4</f>
        <v>1994.4</v>
      </c>
    </row>
    <row r="5" spans="1:34" x14ac:dyDescent="0.5">
      <c r="A5" s="236">
        <v>3</v>
      </c>
      <c r="B5" s="219" t="s">
        <v>334</v>
      </c>
      <c r="C5" s="220">
        <v>100224.13000000003</v>
      </c>
      <c r="D5" s="237">
        <v>0</v>
      </c>
      <c r="E5" s="237">
        <v>0</v>
      </c>
      <c r="F5" s="238">
        <v>0</v>
      </c>
      <c r="G5" s="239">
        <v>0</v>
      </c>
      <c r="H5" s="240">
        <f t="shared" si="0"/>
        <v>100224.13000000003</v>
      </c>
      <c r="I5" s="220"/>
      <c r="J5" s="246">
        <f>+H5*100/H51</f>
        <v>13.910806589919622</v>
      </c>
      <c r="L5" s="236">
        <v>3</v>
      </c>
      <c r="M5" s="219" t="s">
        <v>337</v>
      </c>
      <c r="N5" s="242">
        <v>0</v>
      </c>
      <c r="O5" s="242">
        <v>14816.45</v>
      </c>
      <c r="P5" s="242">
        <v>41.71</v>
      </c>
      <c r="Q5" s="242">
        <v>0</v>
      </c>
      <c r="R5" s="242">
        <v>0</v>
      </c>
      <c r="S5" s="242">
        <v>0</v>
      </c>
      <c r="T5" s="242">
        <f t="shared" si="1"/>
        <v>14858.16</v>
      </c>
      <c r="U5" s="241">
        <f>+T5*100/T12</f>
        <v>21.130436303683965</v>
      </c>
      <c r="V5" s="236">
        <v>3</v>
      </c>
      <c r="W5" s="219" t="s">
        <v>337</v>
      </c>
      <c r="X5" s="237">
        <v>14858.150000000001</v>
      </c>
      <c r="Y5" s="242">
        <v>0</v>
      </c>
      <c r="Z5" s="242">
        <f t="shared" si="2"/>
        <v>14858.150000000001</v>
      </c>
      <c r="AA5" s="243"/>
      <c r="AB5" s="236">
        <v>3</v>
      </c>
      <c r="AC5" s="219" t="s">
        <v>339</v>
      </c>
      <c r="AD5" s="237">
        <v>994.68000000000006</v>
      </c>
      <c r="AE5" s="244">
        <v>13200</v>
      </c>
      <c r="AF5" s="245">
        <v>0</v>
      </c>
      <c r="AG5" s="242">
        <f t="shared" ref="AG5:AG7" si="3">+AD5+AF5</f>
        <v>994.68000000000006</v>
      </c>
    </row>
    <row r="6" spans="1:34" x14ac:dyDescent="0.5">
      <c r="A6" s="236">
        <v>4</v>
      </c>
      <c r="B6" s="219" t="s">
        <v>335</v>
      </c>
      <c r="C6" s="220">
        <v>50673.000000000007</v>
      </c>
      <c r="D6" s="237">
        <v>0</v>
      </c>
      <c r="E6" s="237">
        <v>0</v>
      </c>
      <c r="F6" s="238">
        <v>0</v>
      </c>
      <c r="G6" s="239">
        <v>0</v>
      </c>
      <c r="H6" s="240">
        <f t="shared" si="0"/>
        <v>50673.000000000007</v>
      </c>
      <c r="I6" s="220"/>
      <c r="J6" s="246">
        <f>+H6*100/H51</f>
        <v>7.033259379063673</v>
      </c>
      <c r="L6" s="236">
        <v>4</v>
      </c>
      <c r="M6" s="219" t="s">
        <v>340</v>
      </c>
      <c r="N6" s="242">
        <v>0</v>
      </c>
      <c r="O6" s="237">
        <v>13143.230000000003</v>
      </c>
      <c r="P6" s="242">
        <v>0</v>
      </c>
      <c r="Q6" s="242">
        <v>0</v>
      </c>
      <c r="R6" s="242">
        <v>0</v>
      </c>
      <c r="S6" s="242">
        <v>0</v>
      </c>
      <c r="T6" s="242">
        <f t="shared" si="1"/>
        <v>13143.230000000003</v>
      </c>
      <c r="U6" s="241">
        <f>+T6*100/T12</f>
        <v>18.691559677622816</v>
      </c>
      <c r="V6" s="236">
        <v>4</v>
      </c>
      <c r="W6" s="219" t="s">
        <v>340</v>
      </c>
      <c r="X6" s="237">
        <v>13143.230000000003</v>
      </c>
      <c r="Y6" s="242">
        <v>0</v>
      </c>
      <c r="Z6" s="242">
        <f t="shared" si="2"/>
        <v>13143.230000000003</v>
      </c>
      <c r="AA6" s="243"/>
      <c r="AB6" s="236">
        <v>4</v>
      </c>
      <c r="AC6" s="219" t="s">
        <v>574</v>
      </c>
      <c r="AD6" s="237">
        <v>600</v>
      </c>
      <c r="AE6" s="244">
        <v>1500</v>
      </c>
      <c r="AF6" s="245">
        <v>0</v>
      </c>
      <c r="AG6" s="242">
        <f t="shared" si="3"/>
        <v>600</v>
      </c>
    </row>
    <row r="7" spans="1:34" x14ac:dyDescent="0.5">
      <c r="A7" s="236">
        <v>5</v>
      </c>
      <c r="B7" s="219" t="s">
        <v>336</v>
      </c>
      <c r="C7" s="237">
        <v>7127.84</v>
      </c>
      <c r="D7" s="237">
        <v>26534.79</v>
      </c>
      <c r="E7" s="237">
        <v>0</v>
      </c>
      <c r="F7" s="238">
        <v>0</v>
      </c>
      <c r="G7" s="239">
        <v>0</v>
      </c>
      <c r="H7" s="240">
        <f t="shared" si="0"/>
        <v>33662.630000000005</v>
      </c>
      <c r="I7" s="337" t="s">
        <v>392</v>
      </c>
      <c r="J7" s="246">
        <f>+H7*100/H51</f>
        <v>4.6722713905127025</v>
      </c>
      <c r="L7" s="236">
        <v>5</v>
      </c>
      <c r="M7" s="219" t="s">
        <v>571</v>
      </c>
      <c r="N7" s="242">
        <v>0</v>
      </c>
      <c r="O7" s="242">
        <v>0</v>
      </c>
      <c r="P7" s="242">
        <v>0</v>
      </c>
      <c r="Q7" s="237">
        <v>990.75</v>
      </c>
      <c r="R7" s="242">
        <v>0</v>
      </c>
      <c r="S7" s="242">
        <v>0</v>
      </c>
      <c r="T7" s="242">
        <f t="shared" si="1"/>
        <v>990.75</v>
      </c>
      <c r="U7" s="241">
        <f>+T7*100/T12</f>
        <v>1.4089887151487726</v>
      </c>
      <c r="V7" s="236">
        <v>5</v>
      </c>
      <c r="W7" s="219" t="s">
        <v>571</v>
      </c>
      <c r="X7" s="237">
        <v>990.75</v>
      </c>
      <c r="Y7" s="242">
        <v>0</v>
      </c>
      <c r="Z7" s="242">
        <f t="shared" si="2"/>
        <v>990.75</v>
      </c>
      <c r="AA7" s="243"/>
      <c r="AB7" s="236">
        <v>5</v>
      </c>
      <c r="AC7" s="219" t="s">
        <v>572</v>
      </c>
      <c r="AD7" s="237">
        <v>598</v>
      </c>
      <c r="AE7" s="244">
        <v>1000</v>
      </c>
      <c r="AF7" s="245">
        <v>0</v>
      </c>
      <c r="AG7" s="242">
        <f t="shared" si="3"/>
        <v>598</v>
      </c>
    </row>
    <row r="8" spans="1:34" x14ac:dyDescent="0.5">
      <c r="A8" s="236">
        <v>6</v>
      </c>
      <c r="B8" s="221" t="s">
        <v>338</v>
      </c>
      <c r="C8" s="237">
        <v>24339.85</v>
      </c>
      <c r="D8" s="237">
        <v>0</v>
      </c>
      <c r="E8" s="237">
        <v>0</v>
      </c>
      <c r="F8" s="238">
        <v>0</v>
      </c>
      <c r="G8" s="239">
        <v>0</v>
      </c>
      <c r="H8" s="240">
        <f t="shared" si="0"/>
        <v>24339.85</v>
      </c>
      <c r="I8" s="337"/>
      <c r="J8" s="246">
        <f>+H8*100/H51</f>
        <v>3.3782976791881851</v>
      </c>
      <c r="L8" s="236">
        <v>6</v>
      </c>
      <c r="M8" s="219" t="s">
        <v>344</v>
      </c>
      <c r="N8" s="242">
        <v>0</v>
      </c>
      <c r="O8" s="237">
        <v>501</v>
      </c>
      <c r="P8" s="242">
        <v>0</v>
      </c>
      <c r="Q8" s="242">
        <v>0</v>
      </c>
      <c r="R8" s="242">
        <v>0</v>
      </c>
      <c r="S8" s="242">
        <v>0</v>
      </c>
      <c r="T8" s="242">
        <f t="shared" si="1"/>
        <v>501</v>
      </c>
      <c r="U8" s="241">
        <f>+T8*100/T12</f>
        <v>0.71249391500331571</v>
      </c>
      <c r="V8" s="236">
        <v>6</v>
      </c>
      <c r="W8" s="219" t="s">
        <v>344</v>
      </c>
      <c r="X8" s="237">
        <v>501</v>
      </c>
      <c r="Y8" s="242">
        <v>0</v>
      </c>
      <c r="Z8" s="242">
        <f t="shared" si="2"/>
        <v>501</v>
      </c>
      <c r="AA8" s="243"/>
      <c r="AB8" s="236">
        <v>6</v>
      </c>
      <c r="AC8" s="219" t="s">
        <v>767</v>
      </c>
      <c r="AD8" s="237">
        <v>0</v>
      </c>
      <c r="AE8" s="244">
        <v>0</v>
      </c>
      <c r="AF8" s="245">
        <v>2447</v>
      </c>
      <c r="AG8" s="242">
        <f t="shared" ref="AG8" si="4">+AD8+AF8</f>
        <v>2447</v>
      </c>
    </row>
    <row r="9" spans="1:34" ht="24" thickBot="1" x14ac:dyDescent="0.55000000000000004">
      <c r="A9" s="236">
        <v>7</v>
      </c>
      <c r="B9" s="219" t="s">
        <v>337</v>
      </c>
      <c r="C9" s="237">
        <v>7899.2499999999991</v>
      </c>
      <c r="D9" s="237">
        <v>14858.150000000001</v>
      </c>
      <c r="E9" s="237">
        <v>0</v>
      </c>
      <c r="F9" s="238">
        <v>0</v>
      </c>
      <c r="G9" s="239">
        <v>0</v>
      </c>
      <c r="H9" s="240">
        <f t="shared" si="0"/>
        <v>22757.4</v>
      </c>
      <c r="I9" s="337" t="s">
        <v>392</v>
      </c>
      <c r="J9" s="246">
        <f>+H9*100/H51</f>
        <v>3.1586583978273164</v>
      </c>
      <c r="L9" s="236">
        <v>7</v>
      </c>
      <c r="M9" s="219" t="s">
        <v>367</v>
      </c>
      <c r="N9" s="242">
        <v>0</v>
      </c>
      <c r="O9" s="237">
        <v>471.55</v>
      </c>
      <c r="P9" s="242">
        <v>0</v>
      </c>
      <c r="Q9" s="242">
        <v>0</v>
      </c>
      <c r="R9" s="242">
        <v>0</v>
      </c>
      <c r="S9" s="242">
        <v>0</v>
      </c>
      <c r="T9" s="242">
        <f t="shared" si="1"/>
        <v>471.55</v>
      </c>
      <c r="U9" s="241">
        <f>+T9*100/T12</f>
        <v>0.67061178766429852</v>
      </c>
      <c r="V9" s="236">
        <v>7</v>
      </c>
      <c r="W9" s="219" t="s">
        <v>367</v>
      </c>
      <c r="X9" s="237">
        <v>471.55</v>
      </c>
      <c r="Y9" s="242">
        <v>0</v>
      </c>
      <c r="Z9" s="242">
        <f t="shared" si="2"/>
        <v>471.55</v>
      </c>
      <c r="AA9" s="243"/>
      <c r="AB9" s="247"/>
      <c r="AC9" s="248" t="s">
        <v>397</v>
      </c>
      <c r="AD9" s="249">
        <f>SUM(AD3:AD8)</f>
        <v>7440.08</v>
      </c>
      <c r="AE9" s="250">
        <f>SUM(AE3:AE8)</f>
        <v>37500</v>
      </c>
      <c r="AF9" s="251">
        <f>SUM(AF3:AF8)</f>
        <v>2447</v>
      </c>
      <c r="AG9" s="251">
        <f>SUM(AG3:AG8)</f>
        <v>9887.08</v>
      </c>
    </row>
    <row r="10" spans="1:34" ht="24" thickTop="1" x14ac:dyDescent="0.5">
      <c r="A10" s="236">
        <v>8</v>
      </c>
      <c r="B10" s="219" t="s">
        <v>340</v>
      </c>
      <c r="C10" s="237">
        <v>0</v>
      </c>
      <c r="D10" s="237">
        <v>13143.230000000003</v>
      </c>
      <c r="E10" s="237">
        <v>0</v>
      </c>
      <c r="F10" s="238">
        <v>0</v>
      </c>
      <c r="G10" s="239">
        <v>0</v>
      </c>
      <c r="H10" s="240">
        <f t="shared" si="0"/>
        <v>13143.230000000003</v>
      </c>
      <c r="I10" s="337" t="s">
        <v>392</v>
      </c>
      <c r="J10" s="246">
        <f>+H10*100/H51</f>
        <v>1.8242406344343347</v>
      </c>
      <c r="L10" s="236">
        <v>8</v>
      </c>
      <c r="M10" s="219" t="s">
        <v>667</v>
      </c>
      <c r="N10" s="242">
        <v>0</v>
      </c>
      <c r="O10" s="237">
        <v>876.75</v>
      </c>
      <c r="P10" s="242">
        <v>0</v>
      </c>
      <c r="Q10" s="242">
        <v>0</v>
      </c>
      <c r="R10" s="242">
        <v>0</v>
      </c>
      <c r="S10" s="242">
        <v>0</v>
      </c>
      <c r="T10" s="242">
        <f t="shared" si="1"/>
        <v>876.75</v>
      </c>
      <c r="U10" s="241">
        <f>+T10*100/T12</f>
        <v>1.2468643512558026</v>
      </c>
      <c r="V10" s="236">
        <v>8</v>
      </c>
      <c r="W10" s="219" t="s">
        <v>667</v>
      </c>
      <c r="X10" s="237">
        <v>876.75</v>
      </c>
      <c r="Y10" s="242">
        <v>0</v>
      </c>
      <c r="Z10" s="242">
        <f t="shared" si="2"/>
        <v>876.75</v>
      </c>
      <c r="AA10" s="243"/>
    </row>
    <row r="11" spans="1:34" x14ac:dyDescent="0.5">
      <c r="A11" s="236">
        <v>9</v>
      </c>
      <c r="B11" s="219" t="s">
        <v>675</v>
      </c>
      <c r="C11" s="237">
        <v>11889.9</v>
      </c>
      <c r="D11" s="237">
        <v>0</v>
      </c>
      <c r="E11" s="237">
        <v>0</v>
      </c>
      <c r="F11" s="238">
        <v>0</v>
      </c>
      <c r="G11" s="239">
        <v>0</v>
      </c>
      <c r="H11" s="240">
        <f t="shared" si="0"/>
        <v>11889.9</v>
      </c>
      <c r="I11" s="220"/>
      <c r="J11" s="246">
        <f>+H11*100/H51</f>
        <v>1.6502822152059116</v>
      </c>
      <c r="L11" s="236">
        <v>10</v>
      </c>
      <c r="M11" s="219" t="s">
        <v>351</v>
      </c>
      <c r="N11" s="237">
        <v>186.15</v>
      </c>
      <c r="O11" s="242">
        <v>0</v>
      </c>
      <c r="P11" s="242">
        <v>0</v>
      </c>
      <c r="Q11" s="242">
        <v>0</v>
      </c>
      <c r="R11" s="242">
        <v>0</v>
      </c>
      <c r="S11" s="242">
        <v>0</v>
      </c>
      <c r="T11" s="242">
        <f t="shared" si="1"/>
        <v>186.15</v>
      </c>
      <c r="U11" s="241">
        <f>+T11*100/T12</f>
        <v>0.26473202051470501</v>
      </c>
      <c r="V11" s="236">
        <v>10</v>
      </c>
      <c r="W11" s="219" t="s">
        <v>351</v>
      </c>
      <c r="X11" s="237">
        <v>186.15</v>
      </c>
      <c r="Y11" s="242">
        <v>0</v>
      </c>
      <c r="Z11" s="242">
        <f>+X11+Y11</f>
        <v>186.15</v>
      </c>
      <c r="AA11" s="253"/>
    </row>
    <row r="12" spans="1:34" ht="24" thickBot="1" x14ac:dyDescent="0.55000000000000004">
      <c r="A12" s="236">
        <v>10</v>
      </c>
      <c r="B12" s="219" t="s">
        <v>343</v>
      </c>
      <c r="C12" s="237">
        <v>9573.7999999999975</v>
      </c>
      <c r="D12" s="237">
        <v>0</v>
      </c>
      <c r="E12" s="237">
        <v>0</v>
      </c>
      <c r="F12" s="238">
        <v>0</v>
      </c>
      <c r="G12" s="239">
        <v>0</v>
      </c>
      <c r="H12" s="240">
        <f t="shared" si="0"/>
        <v>9573.7999999999975</v>
      </c>
      <c r="I12" s="337"/>
      <c r="J12" s="246">
        <f>+H12*100/H51</f>
        <v>1.328814529301201</v>
      </c>
      <c r="L12" s="254"/>
      <c r="M12" s="255" t="s">
        <v>397</v>
      </c>
      <c r="N12" s="256">
        <f t="shared" ref="N12:T12" si="5">SUM(N3:N11)</f>
        <v>762.20999999999992</v>
      </c>
      <c r="O12" s="256">
        <f t="shared" si="5"/>
        <v>57127.320000000007</v>
      </c>
      <c r="P12" s="256">
        <f t="shared" si="5"/>
        <v>41.71</v>
      </c>
      <c r="Q12" s="256">
        <f t="shared" si="5"/>
        <v>990.75</v>
      </c>
      <c r="R12" s="256">
        <f t="shared" si="5"/>
        <v>11394.4</v>
      </c>
      <c r="S12" s="256">
        <f t="shared" si="5"/>
        <v>0</v>
      </c>
      <c r="T12" s="256">
        <f t="shared" si="5"/>
        <v>70316.39</v>
      </c>
      <c r="U12" s="241"/>
      <c r="V12" s="254"/>
      <c r="W12" s="255" t="s">
        <v>397</v>
      </c>
      <c r="X12" s="256">
        <f>SUM(X3:X11)</f>
        <v>70316.38</v>
      </c>
      <c r="Y12" s="256">
        <f t="shared" ref="Y12" si="6">SUM(Y3:Y11)</f>
        <v>0</v>
      </c>
      <c r="Z12" s="256">
        <f>SUM(Z3:Z11)</f>
        <v>70316.38</v>
      </c>
    </row>
    <row r="13" spans="1:34" ht="24" thickTop="1" x14ac:dyDescent="0.5">
      <c r="A13" s="236">
        <v>11</v>
      </c>
      <c r="B13" s="219" t="s">
        <v>342</v>
      </c>
      <c r="C13" s="237">
        <v>9551.15</v>
      </c>
      <c r="D13" s="237">
        <v>0</v>
      </c>
      <c r="E13" s="237">
        <v>0</v>
      </c>
      <c r="F13" s="238">
        <v>0</v>
      </c>
      <c r="G13" s="239">
        <v>0</v>
      </c>
      <c r="H13" s="240">
        <f t="shared" si="0"/>
        <v>9551.15</v>
      </c>
      <c r="I13" s="220"/>
      <c r="J13" s="257"/>
      <c r="U13" s="241"/>
    </row>
    <row r="14" spans="1:34" x14ac:dyDescent="0.5">
      <c r="A14" s="236">
        <v>12</v>
      </c>
      <c r="B14" s="219" t="s">
        <v>773</v>
      </c>
      <c r="C14" s="237">
        <v>8634.35</v>
      </c>
      <c r="D14" s="237">
        <v>0</v>
      </c>
      <c r="E14" s="237">
        <v>0</v>
      </c>
      <c r="F14" s="238">
        <v>0</v>
      </c>
      <c r="G14" s="239">
        <v>0</v>
      </c>
      <c r="H14" s="240">
        <f t="shared" si="0"/>
        <v>8634.35</v>
      </c>
      <c r="I14" s="220"/>
      <c r="J14" s="257"/>
      <c r="K14" s="258"/>
      <c r="N14" s="259">
        <f>+N12*100/T12</f>
        <v>1.0839720298496551</v>
      </c>
      <c r="O14" s="259">
        <f>+O12*100/T12</f>
        <v>81.243249262369716</v>
      </c>
      <c r="P14" s="259">
        <f>+P12*100/T12</f>
        <v>5.9317607175226147E-2</v>
      </c>
      <c r="Q14" s="259">
        <f>+Q12*100/T12</f>
        <v>1.4089887151487726</v>
      </c>
      <c r="R14" s="259">
        <f>+R12*100/T12</f>
        <v>16.204472385456647</v>
      </c>
      <c r="S14" s="259">
        <f>+S12*100/T12</f>
        <v>0</v>
      </c>
      <c r="X14" s="259">
        <f>+X12*100/Z12</f>
        <v>100</v>
      </c>
      <c r="Y14" s="259">
        <f>+Y12*100/Z12</f>
        <v>0</v>
      </c>
      <c r="Z14" s="259"/>
    </row>
    <row r="15" spans="1:34" ht="23.25" customHeight="1" x14ac:dyDescent="0.5">
      <c r="A15" s="236">
        <v>13</v>
      </c>
      <c r="B15" s="219" t="s">
        <v>341</v>
      </c>
      <c r="C15" s="237">
        <v>5983.25</v>
      </c>
      <c r="D15" s="237">
        <v>0</v>
      </c>
      <c r="E15" s="237">
        <v>0</v>
      </c>
      <c r="F15" s="238">
        <v>0</v>
      </c>
      <c r="G15" s="239">
        <v>0</v>
      </c>
      <c r="H15" s="240">
        <f t="shared" si="0"/>
        <v>5983.25</v>
      </c>
      <c r="I15" s="337"/>
      <c r="J15" s="257"/>
      <c r="K15" s="258"/>
    </row>
    <row r="16" spans="1:34" ht="23.25" customHeight="1" x14ac:dyDescent="0.6">
      <c r="A16" s="236">
        <v>14</v>
      </c>
      <c r="B16" s="219" t="s">
        <v>354</v>
      </c>
      <c r="C16" s="237">
        <v>5019.2500000000009</v>
      </c>
      <c r="D16" s="237">
        <v>0</v>
      </c>
      <c r="E16" s="237">
        <v>0</v>
      </c>
      <c r="F16" s="238">
        <v>0</v>
      </c>
      <c r="G16" s="239">
        <v>0</v>
      </c>
      <c r="H16" s="240">
        <f t="shared" si="0"/>
        <v>5019.2500000000009</v>
      </c>
      <c r="I16" s="220"/>
      <c r="J16" s="257"/>
      <c r="K16" s="258"/>
      <c r="AH16" s="226"/>
    </row>
    <row r="17" spans="1:11" ht="23.25" customHeight="1" x14ac:dyDescent="0.5">
      <c r="A17" s="236">
        <v>15</v>
      </c>
      <c r="B17" s="219" t="s">
        <v>347</v>
      </c>
      <c r="C17" s="237">
        <v>4707.9000000000005</v>
      </c>
      <c r="D17" s="237">
        <v>0</v>
      </c>
      <c r="E17" s="237">
        <v>0</v>
      </c>
      <c r="F17" s="238">
        <v>0</v>
      </c>
      <c r="G17" s="239">
        <v>0</v>
      </c>
      <c r="H17" s="240">
        <f t="shared" si="0"/>
        <v>4707.9000000000005</v>
      </c>
      <c r="I17" s="220"/>
      <c r="J17" s="257"/>
      <c r="K17" s="258"/>
    </row>
    <row r="18" spans="1:11" ht="23.25" customHeight="1" x14ac:dyDescent="0.5">
      <c r="A18" s="236">
        <v>16</v>
      </c>
      <c r="B18" s="219" t="s">
        <v>348</v>
      </c>
      <c r="C18" s="237">
        <v>4562.1499999999996</v>
      </c>
      <c r="D18" s="237">
        <v>0</v>
      </c>
      <c r="E18" s="237">
        <v>0</v>
      </c>
      <c r="F18" s="238">
        <v>0</v>
      </c>
      <c r="G18" s="239">
        <v>0</v>
      </c>
      <c r="H18" s="240">
        <f t="shared" si="0"/>
        <v>4562.1499999999996</v>
      </c>
      <c r="I18" s="220"/>
      <c r="J18" s="257"/>
      <c r="K18" s="258"/>
    </row>
    <row r="19" spans="1:11" ht="23.25" customHeight="1" x14ac:dyDescent="0.5">
      <c r="A19" s="236">
        <v>17</v>
      </c>
      <c r="B19" s="219" t="s">
        <v>569</v>
      </c>
      <c r="C19" s="237">
        <v>554.85</v>
      </c>
      <c r="D19" s="237">
        <v>0</v>
      </c>
      <c r="E19" s="237">
        <v>3253</v>
      </c>
      <c r="F19" s="238">
        <v>0</v>
      </c>
      <c r="G19" s="239">
        <v>0</v>
      </c>
      <c r="H19" s="240">
        <f t="shared" si="0"/>
        <v>3807.85</v>
      </c>
      <c r="I19" s="220"/>
      <c r="J19" s="257"/>
      <c r="K19" s="258"/>
    </row>
    <row r="20" spans="1:11" ht="23.25" customHeight="1" x14ac:dyDescent="0.5">
      <c r="A20" s="236">
        <v>18</v>
      </c>
      <c r="B20" s="219" t="s">
        <v>571</v>
      </c>
      <c r="C20" s="237">
        <v>2794.75</v>
      </c>
      <c r="D20" s="237">
        <v>990.75</v>
      </c>
      <c r="E20" s="237">
        <v>0</v>
      </c>
      <c r="F20" s="238">
        <v>0</v>
      </c>
      <c r="G20" s="239">
        <v>0</v>
      </c>
      <c r="H20" s="240">
        <f t="shared" si="0"/>
        <v>3785.5</v>
      </c>
      <c r="I20" s="337" t="s">
        <v>392</v>
      </c>
      <c r="J20" s="257"/>
      <c r="K20" s="258"/>
    </row>
    <row r="21" spans="1:11" x14ac:dyDescent="0.5">
      <c r="A21" s="236">
        <v>19</v>
      </c>
      <c r="B21" s="219" t="s">
        <v>568</v>
      </c>
      <c r="C21" s="237">
        <v>2980.55</v>
      </c>
      <c r="D21" s="237">
        <v>0</v>
      </c>
      <c r="E21" s="237">
        <v>0</v>
      </c>
      <c r="F21" s="238">
        <v>0</v>
      </c>
      <c r="G21" s="239">
        <v>0</v>
      </c>
      <c r="H21" s="240">
        <f t="shared" si="0"/>
        <v>2980.55</v>
      </c>
      <c r="I21" s="220"/>
      <c r="J21" s="257"/>
      <c r="K21" s="258"/>
    </row>
    <row r="22" spans="1:11" x14ac:dyDescent="0.5">
      <c r="A22" s="236">
        <v>20</v>
      </c>
      <c r="B22" s="219" t="s">
        <v>361</v>
      </c>
      <c r="C22" s="237">
        <v>2581.9499999999998</v>
      </c>
      <c r="D22" s="237">
        <v>0</v>
      </c>
      <c r="E22" s="237">
        <v>0</v>
      </c>
      <c r="F22" s="238">
        <v>0</v>
      </c>
      <c r="G22" s="239">
        <v>0</v>
      </c>
      <c r="H22" s="240">
        <f t="shared" si="0"/>
        <v>2581.9499999999998</v>
      </c>
      <c r="I22" s="220"/>
      <c r="J22" s="257"/>
      <c r="K22" s="258"/>
    </row>
    <row r="23" spans="1:11" x14ac:dyDescent="0.5">
      <c r="A23" s="236">
        <v>21</v>
      </c>
      <c r="B23" s="219" t="s">
        <v>350</v>
      </c>
      <c r="C23" s="237">
        <v>2544.0499999999997</v>
      </c>
      <c r="D23" s="237">
        <v>0</v>
      </c>
      <c r="E23" s="237">
        <v>0</v>
      </c>
      <c r="F23" s="238">
        <v>0</v>
      </c>
      <c r="G23" s="239">
        <v>0</v>
      </c>
      <c r="H23" s="240">
        <f t="shared" si="0"/>
        <v>2544.0499999999997</v>
      </c>
      <c r="I23" s="220"/>
      <c r="J23" s="257"/>
      <c r="K23" s="258"/>
    </row>
    <row r="24" spans="1:11" x14ac:dyDescent="0.5">
      <c r="A24" s="236">
        <v>22</v>
      </c>
      <c r="B24" s="219" t="s">
        <v>344</v>
      </c>
      <c r="C24" s="237">
        <v>1988.8</v>
      </c>
      <c r="D24" s="237">
        <v>501</v>
      </c>
      <c r="E24" s="237">
        <v>0</v>
      </c>
      <c r="F24" s="238">
        <v>0</v>
      </c>
      <c r="G24" s="239">
        <v>0</v>
      </c>
      <c r="H24" s="240">
        <f t="shared" si="0"/>
        <v>2489.8000000000002</v>
      </c>
      <c r="I24" s="337" t="s">
        <v>392</v>
      </c>
      <c r="J24" s="257"/>
      <c r="K24" s="258"/>
    </row>
    <row r="25" spans="1:11" x14ac:dyDescent="0.5">
      <c r="A25" s="236">
        <v>23</v>
      </c>
      <c r="B25" s="219" t="s">
        <v>767</v>
      </c>
      <c r="C25" s="237">
        <v>0</v>
      </c>
      <c r="D25" s="237">
        <v>0</v>
      </c>
      <c r="E25" s="237">
        <v>0</v>
      </c>
      <c r="F25" s="238">
        <v>0</v>
      </c>
      <c r="G25" s="239">
        <v>2447</v>
      </c>
      <c r="H25" s="240">
        <f t="shared" si="0"/>
        <v>2447</v>
      </c>
      <c r="I25" s="337" t="s">
        <v>784</v>
      </c>
      <c r="J25" s="257"/>
      <c r="K25" s="258"/>
    </row>
    <row r="26" spans="1:11" x14ac:dyDescent="0.5">
      <c r="A26" s="236">
        <v>24</v>
      </c>
      <c r="B26" s="219" t="s">
        <v>355</v>
      </c>
      <c r="C26" s="237">
        <v>2078.85</v>
      </c>
      <c r="D26" s="237">
        <v>0</v>
      </c>
      <c r="E26" s="237">
        <v>0</v>
      </c>
      <c r="F26" s="238">
        <v>0</v>
      </c>
      <c r="G26" s="239">
        <v>0</v>
      </c>
      <c r="H26" s="240">
        <f t="shared" si="0"/>
        <v>2078.85</v>
      </c>
      <c r="I26" s="220"/>
      <c r="J26" s="257"/>
      <c r="K26" s="258"/>
    </row>
    <row r="27" spans="1:11" x14ac:dyDescent="0.5">
      <c r="A27" s="236">
        <v>25</v>
      </c>
      <c r="B27" s="219" t="s">
        <v>349</v>
      </c>
      <c r="C27" s="237">
        <v>0</v>
      </c>
      <c r="D27" s="237">
        <v>0</v>
      </c>
      <c r="E27" s="237">
        <v>1994.4</v>
      </c>
      <c r="F27" s="238">
        <v>0</v>
      </c>
      <c r="G27" s="239">
        <v>0</v>
      </c>
      <c r="H27" s="240">
        <f t="shared" si="0"/>
        <v>1994.4</v>
      </c>
      <c r="I27" s="220"/>
      <c r="J27" s="257"/>
      <c r="K27" s="258"/>
    </row>
    <row r="28" spans="1:11" x14ac:dyDescent="0.5">
      <c r="A28" s="236">
        <v>26</v>
      </c>
      <c r="B28" s="219" t="s">
        <v>352</v>
      </c>
      <c r="C28" s="237">
        <v>1549.5</v>
      </c>
      <c r="D28" s="237">
        <v>0</v>
      </c>
      <c r="E28" s="237">
        <v>0</v>
      </c>
      <c r="F28" s="238">
        <v>0</v>
      </c>
      <c r="G28" s="239">
        <v>0</v>
      </c>
      <c r="H28" s="240">
        <f t="shared" si="0"/>
        <v>1549.5</v>
      </c>
      <c r="I28" s="220"/>
      <c r="J28" s="257"/>
      <c r="K28" s="258"/>
    </row>
    <row r="29" spans="1:11" x14ac:dyDescent="0.5">
      <c r="A29" s="236">
        <v>27</v>
      </c>
      <c r="B29" s="219" t="s">
        <v>367</v>
      </c>
      <c r="C29" s="237">
        <v>991.7</v>
      </c>
      <c r="D29" s="237">
        <v>471.55</v>
      </c>
      <c r="E29" s="237">
        <v>0</v>
      </c>
      <c r="F29" s="238">
        <v>0</v>
      </c>
      <c r="G29" s="239">
        <v>0</v>
      </c>
      <c r="H29" s="240">
        <f t="shared" si="0"/>
        <v>1463.25</v>
      </c>
      <c r="I29" s="337" t="s">
        <v>392</v>
      </c>
      <c r="J29" s="257"/>
      <c r="K29" s="258"/>
    </row>
    <row r="30" spans="1:11" x14ac:dyDescent="0.5">
      <c r="A30" s="236">
        <v>28</v>
      </c>
      <c r="B30" s="219" t="s">
        <v>359</v>
      </c>
      <c r="C30" s="237">
        <v>1387.8</v>
      </c>
      <c r="D30" s="237">
        <v>0</v>
      </c>
      <c r="E30" s="237">
        <v>0</v>
      </c>
      <c r="F30" s="238">
        <v>0</v>
      </c>
      <c r="G30" s="239">
        <v>0</v>
      </c>
      <c r="H30" s="240">
        <f t="shared" si="0"/>
        <v>1387.8</v>
      </c>
      <c r="I30" s="220"/>
      <c r="J30" s="257"/>
      <c r="K30" s="258"/>
    </row>
    <row r="31" spans="1:11" x14ac:dyDescent="0.5">
      <c r="A31" s="236">
        <v>29</v>
      </c>
      <c r="B31" s="219" t="s">
        <v>339</v>
      </c>
      <c r="C31" s="237">
        <v>0</v>
      </c>
      <c r="D31" s="237">
        <v>0</v>
      </c>
      <c r="E31" s="237">
        <v>994.68000000000006</v>
      </c>
      <c r="F31" s="238">
        <v>0</v>
      </c>
      <c r="G31" s="239">
        <v>0</v>
      </c>
      <c r="H31" s="240">
        <f t="shared" si="0"/>
        <v>994.68000000000006</v>
      </c>
      <c r="I31" s="337"/>
      <c r="J31" s="257"/>
      <c r="K31" s="258"/>
    </row>
    <row r="32" spans="1:11" x14ac:dyDescent="0.5">
      <c r="A32" s="236">
        <v>30</v>
      </c>
      <c r="B32" s="219" t="s">
        <v>769</v>
      </c>
      <c r="C32" s="237">
        <v>974.34999999999991</v>
      </c>
      <c r="D32" s="237">
        <v>0</v>
      </c>
      <c r="E32" s="237">
        <v>0</v>
      </c>
      <c r="F32" s="238">
        <v>0</v>
      </c>
      <c r="G32" s="239">
        <v>0</v>
      </c>
      <c r="H32" s="240">
        <f t="shared" si="0"/>
        <v>974.34999999999991</v>
      </c>
      <c r="I32" s="220"/>
      <c r="J32" s="257"/>
      <c r="K32" s="258"/>
    </row>
    <row r="33" spans="1:11" x14ac:dyDescent="0.5">
      <c r="A33" s="236">
        <v>31</v>
      </c>
      <c r="B33" s="219" t="s">
        <v>772</v>
      </c>
      <c r="C33" s="237">
        <v>969.5</v>
      </c>
      <c r="D33" s="237">
        <v>0</v>
      </c>
      <c r="E33" s="237">
        <v>0</v>
      </c>
      <c r="F33" s="238">
        <v>0</v>
      </c>
      <c r="G33" s="239">
        <v>0</v>
      </c>
      <c r="H33" s="240">
        <f t="shared" si="0"/>
        <v>969.5</v>
      </c>
      <c r="I33" s="220"/>
      <c r="J33" s="257"/>
      <c r="K33" s="258"/>
    </row>
    <row r="34" spans="1:11" x14ac:dyDescent="0.5">
      <c r="A34" s="236">
        <v>32</v>
      </c>
      <c r="B34" s="219" t="s">
        <v>575</v>
      </c>
      <c r="C34" s="237">
        <v>967.96</v>
      </c>
      <c r="D34" s="237">
        <v>0</v>
      </c>
      <c r="E34" s="237">
        <v>0</v>
      </c>
      <c r="F34" s="238">
        <v>0</v>
      </c>
      <c r="G34" s="239">
        <v>0</v>
      </c>
      <c r="H34" s="240">
        <f t="shared" si="0"/>
        <v>967.96</v>
      </c>
      <c r="I34" s="220"/>
      <c r="J34" s="257"/>
      <c r="K34" s="258"/>
    </row>
    <row r="35" spans="1:11" x14ac:dyDescent="0.5">
      <c r="A35" s="236">
        <v>33</v>
      </c>
      <c r="B35" s="219" t="s">
        <v>667</v>
      </c>
      <c r="C35" s="237">
        <v>0</v>
      </c>
      <c r="D35" s="237">
        <v>876.75</v>
      </c>
      <c r="E35" s="237">
        <v>0</v>
      </c>
      <c r="F35" s="238">
        <v>0</v>
      </c>
      <c r="G35" s="239">
        <v>0</v>
      </c>
      <c r="H35" s="240">
        <f t="shared" si="0"/>
        <v>876.75</v>
      </c>
      <c r="I35" s="337" t="s">
        <v>392</v>
      </c>
      <c r="J35" s="257"/>
      <c r="K35" s="258"/>
    </row>
    <row r="36" spans="1:11" x14ac:dyDescent="0.5">
      <c r="A36" s="236">
        <v>34</v>
      </c>
      <c r="B36" s="219" t="s">
        <v>351</v>
      </c>
      <c r="C36" s="237">
        <v>580.29999999999995</v>
      </c>
      <c r="D36" s="237">
        <v>186.15</v>
      </c>
      <c r="E36" s="237">
        <v>0</v>
      </c>
      <c r="F36" s="238">
        <v>0</v>
      </c>
      <c r="G36" s="239">
        <v>0</v>
      </c>
      <c r="H36" s="240">
        <f t="shared" si="0"/>
        <v>766.44999999999993</v>
      </c>
      <c r="I36" s="337" t="s">
        <v>392</v>
      </c>
      <c r="J36" s="257"/>
      <c r="K36" s="258"/>
    </row>
    <row r="37" spans="1:11" x14ac:dyDescent="0.5">
      <c r="A37" s="236">
        <v>35</v>
      </c>
      <c r="B37" s="219" t="s">
        <v>574</v>
      </c>
      <c r="C37" s="237">
        <v>0</v>
      </c>
      <c r="D37" s="237">
        <v>0</v>
      </c>
      <c r="E37" s="237">
        <v>600</v>
      </c>
      <c r="F37" s="238">
        <v>0</v>
      </c>
      <c r="G37" s="239">
        <v>0</v>
      </c>
      <c r="H37" s="240">
        <f t="shared" si="0"/>
        <v>600</v>
      </c>
      <c r="I37" s="220"/>
      <c r="J37" s="257"/>
      <c r="K37" s="258"/>
    </row>
    <row r="38" spans="1:11" x14ac:dyDescent="0.5">
      <c r="A38" s="236">
        <v>36</v>
      </c>
      <c r="B38" s="219" t="s">
        <v>572</v>
      </c>
      <c r="C38" s="237">
        <v>0</v>
      </c>
      <c r="D38" s="237">
        <v>0</v>
      </c>
      <c r="E38" s="237">
        <v>598</v>
      </c>
      <c r="F38" s="238">
        <v>0</v>
      </c>
      <c r="G38" s="239">
        <v>0</v>
      </c>
      <c r="H38" s="240">
        <f t="shared" si="0"/>
        <v>598</v>
      </c>
      <c r="I38" s="337"/>
      <c r="J38" s="257"/>
      <c r="K38" s="258"/>
    </row>
    <row r="39" spans="1:11" x14ac:dyDescent="0.5">
      <c r="A39" s="236">
        <v>37</v>
      </c>
      <c r="B39" s="219" t="s">
        <v>364</v>
      </c>
      <c r="C39" s="237">
        <v>434.8</v>
      </c>
      <c r="D39" s="237">
        <v>0</v>
      </c>
      <c r="E39" s="237">
        <v>0</v>
      </c>
      <c r="F39" s="238">
        <v>0</v>
      </c>
      <c r="G39" s="239">
        <v>0</v>
      </c>
      <c r="H39" s="240">
        <f t="shared" si="0"/>
        <v>434.8</v>
      </c>
      <c r="I39" s="220"/>
      <c r="J39" s="257"/>
      <c r="K39" s="258"/>
    </row>
    <row r="40" spans="1:11" x14ac:dyDescent="0.5">
      <c r="A40" s="236">
        <v>38</v>
      </c>
      <c r="B40" s="219" t="s">
        <v>776</v>
      </c>
      <c r="C40" s="237">
        <v>0</v>
      </c>
      <c r="D40" s="237">
        <v>0</v>
      </c>
      <c r="E40" s="237">
        <v>0</v>
      </c>
      <c r="F40" s="238">
        <v>331.4</v>
      </c>
      <c r="G40" s="239">
        <v>0</v>
      </c>
      <c r="H40" s="240">
        <f t="shared" si="0"/>
        <v>331.4</v>
      </c>
      <c r="I40" s="220"/>
      <c r="J40" s="257"/>
      <c r="K40" s="258"/>
    </row>
    <row r="41" spans="1:11" x14ac:dyDescent="0.5">
      <c r="A41" s="236">
        <v>39</v>
      </c>
      <c r="B41" s="219" t="s">
        <v>771</v>
      </c>
      <c r="C41" s="237">
        <v>0</v>
      </c>
      <c r="D41" s="237">
        <v>0</v>
      </c>
      <c r="E41" s="237">
        <v>0</v>
      </c>
      <c r="F41" s="238">
        <v>331.2</v>
      </c>
      <c r="G41" s="239">
        <v>0</v>
      </c>
      <c r="H41" s="240">
        <f t="shared" si="0"/>
        <v>331.2</v>
      </c>
      <c r="I41" s="220"/>
      <c r="J41" s="257"/>
      <c r="K41" s="258"/>
    </row>
    <row r="42" spans="1:11" x14ac:dyDescent="0.5">
      <c r="A42" s="236">
        <v>40</v>
      </c>
      <c r="B42" s="219" t="s">
        <v>770</v>
      </c>
      <c r="C42" s="237">
        <v>313.5</v>
      </c>
      <c r="D42" s="237">
        <v>0</v>
      </c>
      <c r="E42" s="237">
        <v>0</v>
      </c>
      <c r="F42" s="238">
        <v>0</v>
      </c>
      <c r="G42" s="239">
        <v>0</v>
      </c>
      <c r="H42" s="240">
        <f t="shared" si="0"/>
        <v>313.5</v>
      </c>
      <c r="I42" s="220"/>
      <c r="J42" s="257"/>
      <c r="K42" s="258"/>
    </row>
    <row r="43" spans="1:11" x14ac:dyDescent="0.5">
      <c r="A43" s="236">
        <v>41</v>
      </c>
      <c r="B43" s="219" t="s">
        <v>365</v>
      </c>
      <c r="C43" s="237">
        <v>299.39999999999998</v>
      </c>
      <c r="D43" s="237">
        <v>0</v>
      </c>
      <c r="E43" s="237">
        <v>0</v>
      </c>
      <c r="F43" s="238">
        <v>0</v>
      </c>
      <c r="G43" s="239">
        <v>0</v>
      </c>
      <c r="H43" s="240">
        <f t="shared" si="0"/>
        <v>299.39999999999998</v>
      </c>
      <c r="I43" s="220"/>
      <c r="J43" s="257"/>
      <c r="K43" s="258"/>
    </row>
    <row r="44" spans="1:11" x14ac:dyDescent="0.5">
      <c r="A44" s="236">
        <v>42</v>
      </c>
      <c r="B44" s="219" t="s">
        <v>363</v>
      </c>
      <c r="C44" s="237">
        <v>284</v>
      </c>
      <c r="D44" s="237">
        <v>0</v>
      </c>
      <c r="E44" s="237">
        <v>0</v>
      </c>
      <c r="F44" s="238">
        <v>0</v>
      </c>
      <c r="G44" s="239">
        <v>0</v>
      </c>
      <c r="H44" s="240">
        <f t="shared" si="0"/>
        <v>284</v>
      </c>
      <c r="I44" s="220"/>
      <c r="J44" s="257"/>
      <c r="K44" s="258"/>
    </row>
    <row r="45" spans="1:11" x14ac:dyDescent="0.5">
      <c r="A45" s="236">
        <v>43</v>
      </c>
      <c r="B45" s="219" t="s">
        <v>774</v>
      </c>
      <c r="C45" s="237">
        <v>0</v>
      </c>
      <c r="D45" s="237">
        <v>0</v>
      </c>
      <c r="E45" s="237">
        <v>0</v>
      </c>
      <c r="F45" s="238">
        <v>260.82</v>
      </c>
      <c r="G45" s="239">
        <v>0</v>
      </c>
      <c r="H45" s="240">
        <f t="shared" si="0"/>
        <v>260.82</v>
      </c>
      <c r="I45" s="220"/>
      <c r="J45" s="257"/>
      <c r="K45" s="258"/>
    </row>
    <row r="46" spans="1:11" x14ac:dyDescent="0.5">
      <c r="A46" s="236">
        <v>44</v>
      </c>
      <c r="B46" s="219" t="s">
        <v>777</v>
      </c>
      <c r="C46" s="237">
        <v>0</v>
      </c>
      <c r="D46" s="237">
        <v>0</v>
      </c>
      <c r="E46" s="237">
        <v>0</v>
      </c>
      <c r="F46" s="238">
        <v>215.39999999999998</v>
      </c>
      <c r="G46" s="239">
        <v>0</v>
      </c>
      <c r="H46" s="240">
        <f t="shared" si="0"/>
        <v>215.39999999999998</v>
      </c>
      <c r="I46" s="220"/>
      <c r="J46" s="257"/>
      <c r="K46" s="258"/>
    </row>
    <row r="47" spans="1:11" x14ac:dyDescent="0.5">
      <c r="A47" s="236">
        <v>45</v>
      </c>
      <c r="B47" s="219" t="s">
        <v>570</v>
      </c>
      <c r="C47" s="237">
        <v>0</v>
      </c>
      <c r="D47" s="237">
        <v>0</v>
      </c>
      <c r="E47" s="237">
        <v>0</v>
      </c>
      <c r="F47" s="238">
        <v>124.19999999999999</v>
      </c>
      <c r="G47" s="239">
        <v>0</v>
      </c>
      <c r="H47" s="240">
        <f t="shared" si="0"/>
        <v>124.19999999999999</v>
      </c>
      <c r="I47" s="220"/>
      <c r="J47" s="257"/>
      <c r="K47" s="258"/>
    </row>
    <row r="48" spans="1:11" x14ac:dyDescent="0.5">
      <c r="A48" s="236">
        <v>46</v>
      </c>
      <c r="B48" s="219" t="s">
        <v>775</v>
      </c>
      <c r="C48" s="237">
        <v>0</v>
      </c>
      <c r="D48" s="237">
        <v>0</v>
      </c>
      <c r="E48" s="237">
        <v>0</v>
      </c>
      <c r="F48" s="238">
        <v>124.19999999999999</v>
      </c>
      <c r="G48" s="239">
        <v>0</v>
      </c>
      <c r="H48" s="240">
        <f t="shared" si="0"/>
        <v>124.19999999999999</v>
      </c>
      <c r="I48" s="220"/>
      <c r="J48" s="257"/>
      <c r="K48" s="258"/>
    </row>
    <row r="49" spans="1:33" x14ac:dyDescent="0.5">
      <c r="A49" s="236">
        <v>47</v>
      </c>
      <c r="B49" s="219" t="s">
        <v>778</v>
      </c>
      <c r="C49" s="237">
        <v>0</v>
      </c>
      <c r="D49" s="237">
        <v>0</v>
      </c>
      <c r="E49" s="237">
        <v>0</v>
      </c>
      <c r="F49" s="238">
        <v>124.19999999999999</v>
      </c>
      <c r="G49" s="239">
        <v>0</v>
      </c>
      <c r="H49" s="240">
        <f t="shared" si="0"/>
        <v>124.19999999999999</v>
      </c>
      <c r="I49" s="220"/>
      <c r="J49" s="257"/>
      <c r="K49" s="258"/>
    </row>
    <row r="50" spans="1:33" x14ac:dyDescent="0.5">
      <c r="A50" s="236">
        <v>48</v>
      </c>
      <c r="B50" s="219" t="s">
        <v>768</v>
      </c>
      <c r="C50" s="237">
        <v>0</v>
      </c>
      <c r="D50" s="237">
        <v>0</v>
      </c>
      <c r="E50" s="237">
        <v>0</v>
      </c>
      <c r="F50" s="238">
        <v>24.599999999999998</v>
      </c>
      <c r="G50" s="239">
        <v>0</v>
      </c>
      <c r="H50" s="240">
        <f t="shared" si="0"/>
        <v>24.599999999999998</v>
      </c>
      <c r="I50" s="220"/>
      <c r="J50" s="257"/>
      <c r="K50" s="258"/>
    </row>
    <row r="51" spans="1:33" ht="24" thickBot="1" x14ac:dyDescent="0.55000000000000004">
      <c r="A51" s="366" t="s">
        <v>397</v>
      </c>
      <c r="B51" s="367"/>
      <c r="C51" s="260">
        <f t="shared" ref="C51:H51" si="7">SUM(C3:C50)</f>
        <v>638737.29000000027</v>
      </c>
      <c r="D51" s="260">
        <f t="shared" si="7"/>
        <v>70316.38</v>
      </c>
      <c r="E51" s="260">
        <f t="shared" si="7"/>
        <v>7440.08</v>
      </c>
      <c r="F51" s="261">
        <f t="shared" si="7"/>
        <v>1536.0199999999998</v>
      </c>
      <c r="G51" s="262">
        <f t="shared" si="7"/>
        <v>2447</v>
      </c>
      <c r="H51" s="260">
        <f t="shared" si="7"/>
        <v>720476.77</v>
      </c>
      <c r="I51" s="222"/>
      <c r="J51" s="257"/>
      <c r="K51" s="258"/>
    </row>
    <row r="52" spans="1:33" ht="24" thickTop="1" x14ac:dyDescent="0.5">
      <c r="I52" s="265"/>
      <c r="J52" s="266"/>
    </row>
    <row r="53" spans="1:33" x14ac:dyDescent="0.5">
      <c r="C53" s="259">
        <f>+C51*100/H51</f>
        <v>88.654807010641065</v>
      </c>
      <c r="D53" s="259">
        <f>+D51*100/H51</f>
        <v>9.7597012045232212</v>
      </c>
      <c r="E53" s="259">
        <f>+E51*100/H51</f>
        <v>1.032660636650367</v>
      </c>
      <c r="F53" s="259">
        <f>+F51*100/H51</f>
        <v>0.21319493756891006</v>
      </c>
      <c r="G53" s="259">
        <f>+G51*100/H51</f>
        <v>0.33963621061647831</v>
      </c>
    </row>
    <row r="59" spans="1:33" ht="29.25" x14ac:dyDescent="0.6">
      <c r="A59" s="368" t="s">
        <v>399</v>
      </c>
      <c r="B59" s="368"/>
      <c r="C59" s="368"/>
      <c r="D59" s="368"/>
      <c r="E59" s="368"/>
      <c r="F59" s="368"/>
      <c r="G59" s="368"/>
      <c r="H59" s="368"/>
      <c r="I59" s="368"/>
      <c r="L59" s="370" t="s">
        <v>400</v>
      </c>
      <c r="M59" s="370"/>
      <c r="N59" s="370"/>
      <c r="O59" s="370"/>
      <c r="P59" s="370"/>
      <c r="Q59" s="370"/>
      <c r="R59" s="370"/>
      <c r="S59" s="370"/>
      <c r="T59" s="370"/>
      <c r="V59" s="370" t="s">
        <v>401</v>
      </c>
      <c r="W59" s="370"/>
      <c r="X59" s="370"/>
      <c r="Y59" s="370"/>
      <c r="Z59" s="370"/>
      <c r="AB59" s="370" t="s">
        <v>402</v>
      </c>
      <c r="AC59" s="370"/>
      <c r="AD59" s="370"/>
      <c r="AE59" s="370"/>
      <c r="AF59" s="370"/>
      <c r="AG59" s="370"/>
    </row>
    <row r="60" spans="1:33" ht="46.5" x14ac:dyDescent="0.5">
      <c r="A60" s="227" t="s">
        <v>377</v>
      </c>
      <c r="B60" s="227" t="s">
        <v>403</v>
      </c>
      <c r="C60" s="228" t="s">
        <v>379</v>
      </c>
      <c r="D60" s="228" t="s">
        <v>380</v>
      </c>
      <c r="E60" s="228" t="s">
        <v>381</v>
      </c>
      <c r="F60" s="229" t="s">
        <v>404</v>
      </c>
      <c r="G60" s="230" t="s">
        <v>383</v>
      </c>
      <c r="H60" s="228" t="s">
        <v>384</v>
      </c>
      <c r="I60" s="227" t="s">
        <v>385</v>
      </c>
      <c r="J60" s="231"/>
      <c r="L60" s="227" t="s">
        <v>377</v>
      </c>
      <c r="M60" s="227" t="s">
        <v>403</v>
      </c>
      <c r="N60" s="227" t="s">
        <v>386</v>
      </c>
      <c r="O60" s="227" t="s">
        <v>387</v>
      </c>
      <c r="P60" s="227" t="s">
        <v>388</v>
      </c>
      <c r="Q60" s="227" t="s">
        <v>389</v>
      </c>
      <c r="R60" s="227" t="s">
        <v>681</v>
      </c>
      <c r="S60" s="227" t="s">
        <v>390</v>
      </c>
      <c r="T60" s="227" t="s">
        <v>391</v>
      </c>
      <c r="V60" s="227" t="s">
        <v>377</v>
      </c>
      <c r="W60" s="227" t="s">
        <v>403</v>
      </c>
      <c r="X60" s="227" t="s">
        <v>392</v>
      </c>
      <c r="Y60" s="227" t="s">
        <v>393</v>
      </c>
      <c r="Z60" s="227" t="s">
        <v>391</v>
      </c>
      <c r="AB60" s="227" t="s">
        <v>377</v>
      </c>
      <c r="AC60" s="227" t="s">
        <v>378</v>
      </c>
      <c r="AD60" s="227" t="s">
        <v>394</v>
      </c>
      <c r="AE60" s="235" t="s">
        <v>395</v>
      </c>
      <c r="AF60" s="228" t="s">
        <v>396</v>
      </c>
      <c r="AG60" s="227" t="s">
        <v>391</v>
      </c>
    </row>
    <row r="61" spans="1:33" x14ac:dyDescent="0.5">
      <c r="A61" s="236">
        <v>1</v>
      </c>
      <c r="B61" s="267" t="s">
        <v>319</v>
      </c>
      <c r="C61" s="267">
        <v>438464.53</v>
      </c>
      <c r="D61" s="267">
        <v>108239.80999999998</v>
      </c>
      <c r="E61" s="267">
        <v>10409.939999999999</v>
      </c>
      <c r="F61" s="267">
        <v>1826.7799999999997</v>
      </c>
      <c r="G61" s="267">
        <v>0</v>
      </c>
      <c r="H61" s="268">
        <f>+C61+D61+E61+F61+G61</f>
        <v>558941.05999999994</v>
      </c>
      <c r="I61" s="237"/>
      <c r="J61" s="266"/>
      <c r="L61" s="236">
        <v>1</v>
      </c>
      <c r="M61" s="267" t="s">
        <v>319</v>
      </c>
      <c r="N61" s="242">
        <v>593.65</v>
      </c>
      <c r="O61" s="242">
        <v>107609.75999999998</v>
      </c>
      <c r="P61" s="242">
        <v>0</v>
      </c>
      <c r="Q61" s="242">
        <v>0</v>
      </c>
      <c r="R61" s="242">
        <v>0</v>
      </c>
      <c r="S61" s="242">
        <v>36.4</v>
      </c>
      <c r="T61" s="269">
        <f>+N61+O61</f>
        <v>108203.40999999997</v>
      </c>
      <c r="V61" s="236">
        <v>1</v>
      </c>
      <c r="W61" s="267" t="s">
        <v>319</v>
      </c>
      <c r="X61" s="242">
        <v>102484.54999999999</v>
      </c>
      <c r="Y61" s="242">
        <v>5755.26</v>
      </c>
      <c r="Z61" s="269">
        <f>+X61+Y61</f>
        <v>108239.80999999998</v>
      </c>
      <c r="AB61" s="236">
        <v>1</v>
      </c>
      <c r="AC61" s="267" t="s">
        <v>319</v>
      </c>
      <c r="AD61" s="242">
        <v>10409.941999999997</v>
      </c>
      <c r="AE61" s="242">
        <v>22800</v>
      </c>
      <c r="AF61" s="242">
        <v>0</v>
      </c>
      <c r="AG61" s="269">
        <f t="shared" ref="AG61:AG72" si="8">+AD61+AF61</f>
        <v>10409.941999999997</v>
      </c>
    </row>
    <row r="62" spans="1:33" x14ac:dyDescent="0.5">
      <c r="A62" s="236">
        <v>2</v>
      </c>
      <c r="B62" s="267" t="s">
        <v>320</v>
      </c>
      <c r="C62" s="267"/>
      <c r="D62" s="267"/>
      <c r="E62" s="267"/>
      <c r="F62" s="267"/>
      <c r="G62" s="267"/>
      <c r="H62" s="268">
        <f t="shared" ref="H62:H72" si="9">+C62+D62+E62+F62+G62</f>
        <v>0</v>
      </c>
      <c r="I62" s="237"/>
      <c r="J62" s="266"/>
      <c r="L62" s="236">
        <v>2</v>
      </c>
      <c r="M62" s="267" t="s">
        <v>320</v>
      </c>
      <c r="N62" s="242"/>
      <c r="O62" s="242"/>
      <c r="P62" s="242"/>
      <c r="Q62" s="242"/>
      <c r="R62" s="242"/>
      <c r="S62" s="242"/>
      <c r="T62" s="269">
        <f t="shared" ref="T62:T72" si="10">+N62+O62</f>
        <v>0</v>
      </c>
      <c r="V62" s="236">
        <v>2</v>
      </c>
      <c r="W62" s="267" t="s">
        <v>320</v>
      </c>
      <c r="X62" s="242"/>
      <c r="Y62" s="242"/>
      <c r="Z62" s="269">
        <f t="shared" ref="Z62:Z72" si="11">+X62+Y62</f>
        <v>0</v>
      </c>
      <c r="AB62" s="236">
        <v>2</v>
      </c>
      <c r="AC62" s="267" t="s">
        <v>320</v>
      </c>
      <c r="AD62" s="242">
        <v>0</v>
      </c>
      <c r="AE62" s="242">
        <v>0</v>
      </c>
      <c r="AF62" s="242">
        <v>0</v>
      </c>
      <c r="AG62" s="269">
        <f t="shared" si="8"/>
        <v>0</v>
      </c>
    </row>
    <row r="63" spans="1:33" x14ac:dyDescent="0.5">
      <c r="A63" s="236">
        <v>3</v>
      </c>
      <c r="B63" s="267" t="s">
        <v>321</v>
      </c>
      <c r="C63" s="267">
        <v>521075.58999999997</v>
      </c>
      <c r="D63" s="267">
        <v>118235.74</v>
      </c>
      <c r="E63" s="267">
        <v>10580.638800000001</v>
      </c>
      <c r="F63" s="267">
        <v>3446.8399999999997</v>
      </c>
      <c r="G63" s="267">
        <v>0</v>
      </c>
      <c r="H63" s="268">
        <f t="shared" si="9"/>
        <v>653338.80879999988</v>
      </c>
      <c r="I63" s="237"/>
      <c r="J63" s="266"/>
      <c r="L63" s="236">
        <v>3</v>
      </c>
      <c r="M63" s="267" t="s">
        <v>321</v>
      </c>
      <c r="N63" s="242">
        <v>1436.5</v>
      </c>
      <c r="O63" s="242">
        <v>112027.54</v>
      </c>
      <c r="P63" s="242">
        <v>296.5</v>
      </c>
      <c r="Q63" s="242">
        <v>0</v>
      </c>
      <c r="R63" s="242">
        <v>4475.2</v>
      </c>
      <c r="S63" s="242">
        <v>0</v>
      </c>
      <c r="T63" s="269">
        <f t="shared" si="10"/>
        <v>113464.04</v>
      </c>
      <c r="V63" s="236">
        <v>3</v>
      </c>
      <c r="W63" s="267" t="s">
        <v>321</v>
      </c>
      <c r="X63" s="242">
        <v>111893.06</v>
      </c>
      <c r="Y63" s="242">
        <v>6342.68</v>
      </c>
      <c r="Z63" s="269">
        <f t="shared" si="11"/>
        <v>118235.73999999999</v>
      </c>
      <c r="AB63" s="236">
        <v>3</v>
      </c>
      <c r="AC63" s="267" t="s">
        <v>321</v>
      </c>
      <c r="AD63" s="242">
        <v>10580.638800000001</v>
      </c>
      <c r="AE63" s="242">
        <v>42360</v>
      </c>
      <c r="AF63" s="242">
        <v>0</v>
      </c>
      <c r="AG63" s="269">
        <f t="shared" si="8"/>
        <v>10580.638800000001</v>
      </c>
    </row>
    <row r="64" spans="1:33" x14ac:dyDescent="0.5">
      <c r="A64" s="236">
        <v>4</v>
      </c>
      <c r="B64" s="267" t="s">
        <v>322</v>
      </c>
      <c r="C64" s="267">
        <v>638737.29000000027</v>
      </c>
      <c r="D64" s="267">
        <v>70316.38</v>
      </c>
      <c r="E64" s="267">
        <v>7440.08</v>
      </c>
      <c r="F64" s="267">
        <v>1536.0199999999998</v>
      </c>
      <c r="G64" s="267">
        <v>2447</v>
      </c>
      <c r="H64" s="268">
        <f t="shared" si="9"/>
        <v>720476.77000000025</v>
      </c>
      <c r="I64" s="237"/>
      <c r="J64" s="266"/>
      <c r="L64" s="236">
        <v>4</v>
      </c>
      <c r="M64" s="267" t="s">
        <v>322</v>
      </c>
      <c r="N64" s="242">
        <v>762.20999999999992</v>
      </c>
      <c r="O64" s="242">
        <v>57127.320000000007</v>
      </c>
      <c r="P64" s="242">
        <v>41.71</v>
      </c>
      <c r="Q64" s="242">
        <v>990.75</v>
      </c>
      <c r="R64" s="242">
        <v>11394.4</v>
      </c>
      <c r="S64" s="242">
        <v>0</v>
      </c>
      <c r="T64" s="269">
        <f t="shared" si="10"/>
        <v>57889.530000000006</v>
      </c>
      <c r="V64" s="236">
        <v>4</v>
      </c>
      <c r="W64" s="267" t="s">
        <v>322</v>
      </c>
      <c r="X64" s="242">
        <v>70316.38</v>
      </c>
      <c r="Y64" s="242">
        <v>0</v>
      </c>
      <c r="Z64" s="269">
        <f t="shared" si="11"/>
        <v>70316.38</v>
      </c>
      <c r="AB64" s="236">
        <v>4</v>
      </c>
      <c r="AC64" s="267" t="s">
        <v>322</v>
      </c>
      <c r="AD64" s="242">
        <v>7440.08</v>
      </c>
      <c r="AE64" s="242">
        <v>37500</v>
      </c>
      <c r="AF64" s="242">
        <v>2447</v>
      </c>
      <c r="AG64" s="269">
        <f t="shared" si="8"/>
        <v>9887.08</v>
      </c>
    </row>
    <row r="65" spans="1:35" x14ac:dyDescent="0.5">
      <c r="A65" s="236">
        <v>5</v>
      </c>
      <c r="B65" s="267" t="s">
        <v>323</v>
      </c>
      <c r="C65" s="267"/>
      <c r="D65" s="267"/>
      <c r="E65" s="267"/>
      <c r="F65" s="267"/>
      <c r="G65" s="267"/>
      <c r="H65" s="268">
        <f t="shared" si="9"/>
        <v>0</v>
      </c>
      <c r="I65" s="237"/>
      <c r="J65" s="266"/>
      <c r="L65" s="236">
        <v>5</v>
      </c>
      <c r="M65" s="267" t="s">
        <v>323</v>
      </c>
      <c r="N65" s="242"/>
      <c r="O65" s="242"/>
      <c r="P65" s="242"/>
      <c r="Q65" s="242"/>
      <c r="R65" s="242"/>
      <c r="S65" s="242"/>
      <c r="T65" s="269">
        <f t="shared" si="10"/>
        <v>0</v>
      </c>
      <c r="V65" s="236">
        <v>5</v>
      </c>
      <c r="W65" s="267" t="s">
        <v>323</v>
      </c>
      <c r="X65" s="242"/>
      <c r="Y65" s="242"/>
      <c r="Z65" s="269">
        <f t="shared" si="11"/>
        <v>0</v>
      </c>
      <c r="AA65" s="270"/>
      <c r="AB65" s="236">
        <v>5</v>
      </c>
      <c r="AC65" s="267" t="s">
        <v>323</v>
      </c>
      <c r="AD65" s="242">
        <v>0</v>
      </c>
      <c r="AE65" s="242">
        <v>0</v>
      </c>
      <c r="AF65" s="242">
        <f t="shared" ref="AF65:AF72" si="12">AF12</f>
        <v>0</v>
      </c>
      <c r="AG65" s="269">
        <f>+AD65+AF65</f>
        <v>0</v>
      </c>
    </row>
    <row r="66" spans="1:35" ht="23.25" customHeight="1" x14ac:dyDescent="0.5">
      <c r="A66" s="236">
        <v>6</v>
      </c>
      <c r="B66" s="267" t="s">
        <v>324</v>
      </c>
      <c r="C66" s="267"/>
      <c r="D66" s="267"/>
      <c r="E66" s="267"/>
      <c r="F66" s="267"/>
      <c r="G66" s="267"/>
      <c r="H66" s="268">
        <f>+C66+D66+E66+F66+G66</f>
        <v>0</v>
      </c>
      <c r="I66" s="237"/>
      <c r="J66" s="266"/>
      <c r="L66" s="236">
        <v>6</v>
      </c>
      <c r="M66" s="267" t="s">
        <v>324</v>
      </c>
      <c r="N66" s="242"/>
      <c r="O66" s="242"/>
      <c r="P66" s="242"/>
      <c r="Q66" s="242"/>
      <c r="R66" s="242"/>
      <c r="S66" s="242"/>
      <c r="T66" s="269">
        <f t="shared" si="10"/>
        <v>0</v>
      </c>
      <c r="U66" s="233"/>
      <c r="V66" s="236">
        <v>6</v>
      </c>
      <c r="W66" s="267" t="s">
        <v>324</v>
      </c>
      <c r="X66" s="242"/>
      <c r="Y66" s="242"/>
      <c r="Z66" s="269">
        <f t="shared" si="11"/>
        <v>0</v>
      </c>
      <c r="AB66" s="236">
        <v>6</v>
      </c>
      <c r="AC66" s="267" t="s">
        <v>324</v>
      </c>
      <c r="AD66" s="242">
        <v>0</v>
      </c>
      <c r="AE66" s="242">
        <v>0</v>
      </c>
      <c r="AF66" s="242">
        <f t="shared" si="12"/>
        <v>0</v>
      </c>
      <c r="AG66" s="269">
        <f t="shared" si="8"/>
        <v>0</v>
      </c>
    </row>
    <row r="67" spans="1:35" ht="23.25" customHeight="1" x14ac:dyDescent="0.6">
      <c r="A67" s="236">
        <v>7</v>
      </c>
      <c r="B67" s="267" t="s">
        <v>325</v>
      </c>
      <c r="C67" s="267"/>
      <c r="D67" s="267"/>
      <c r="E67" s="267"/>
      <c r="F67" s="267"/>
      <c r="G67" s="267"/>
      <c r="H67" s="268">
        <f t="shared" si="9"/>
        <v>0</v>
      </c>
      <c r="I67" s="237"/>
      <c r="J67" s="266"/>
      <c r="L67" s="236">
        <v>7</v>
      </c>
      <c r="M67" s="267" t="s">
        <v>325</v>
      </c>
      <c r="N67" s="242"/>
      <c r="O67" s="242"/>
      <c r="P67" s="242"/>
      <c r="Q67" s="242"/>
      <c r="R67" s="242"/>
      <c r="S67" s="242"/>
      <c r="T67" s="269">
        <f t="shared" si="10"/>
        <v>0</v>
      </c>
      <c r="V67" s="236">
        <v>7</v>
      </c>
      <c r="W67" s="267" t="s">
        <v>325</v>
      </c>
      <c r="X67" s="242"/>
      <c r="Y67" s="242"/>
      <c r="Z67" s="269">
        <f t="shared" si="11"/>
        <v>0</v>
      </c>
      <c r="AB67" s="236">
        <v>7</v>
      </c>
      <c r="AC67" s="267" t="s">
        <v>325</v>
      </c>
      <c r="AD67" s="242">
        <v>0</v>
      </c>
      <c r="AE67" s="242">
        <v>0</v>
      </c>
      <c r="AF67" s="242">
        <f t="shared" si="12"/>
        <v>0</v>
      </c>
      <c r="AG67" s="269">
        <f>+AD67+AF67</f>
        <v>0</v>
      </c>
      <c r="AH67" s="226"/>
      <c r="AI67" s="233"/>
    </row>
    <row r="68" spans="1:35" s="233" customFormat="1" x14ac:dyDescent="0.5">
      <c r="A68" s="236">
        <v>8</v>
      </c>
      <c r="B68" s="267" t="s">
        <v>326</v>
      </c>
      <c r="C68" s="267"/>
      <c r="D68" s="267"/>
      <c r="E68" s="267"/>
      <c r="F68" s="267"/>
      <c r="G68" s="267"/>
      <c r="H68" s="268">
        <f t="shared" si="9"/>
        <v>0</v>
      </c>
      <c r="I68" s="237"/>
      <c r="J68" s="266"/>
      <c r="K68" s="232"/>
      <c r="L68" s="236">
        <v>8</v>
      </c>
      <c r="M68" s="267" t="s">
        <v>326</v>
      </c>
      <c r="N68" s="242"/>
      <c r="O68" s="242"/>
      <c r="P68" s="242"/>
      <c r="Q68" s="242"/>
      <c r="R68" s="242"/>
      <c r="S68" s="242"/>
      <c r="T68" s="269">
        <f t="shared" si="10"/>
        <v>0</v>
      </c>
      <c r="U68" s="225"/>
      <c r="V68" s="236">
        <v>8</v>
      </c>
      <c r="W68" s="267" t="s">
        <v>326</v>
      </c>
      <c r="X68" s="242"/>
      <c r="Y68" s="242"/>
      <c r="Z68" s="269">
        <f t="shared" si="11"/>
        <v>0</v>
      </c>
      <c r="AA68" s="225"/>
      <c r="AB68" s="236">
        <v>8</v>
      </c>
      <c r="AC68" s="267" t="s">
        <v>326</v>
      </c>
      <c r="AD68" s="242">
        <v>0</v>
      </c>
      <c r="AE68" s="242">
        <v>0</v>
      </c>
      <c r="AF68" s="242">
        <f t="shared" si="12"/>
        <v>0</v>
      </c>
      <c r="AG68" s="269">
        <f t="shared" si="8"/>
        <v>0</v>
      </c>
      <c r="AH68" s="225"/>
      <c r="AI68" s="225"/>
    </row>
    <row r="69" spans="1:35" x14ac:dyDescent="0.5">
      <c r="A69" s="236">
        <v>9</v>
      </c>
      <c r="B69" s="267" t="s">
        <v>327</v>
      </c>
      <c r="C69" s="267"/>
      <c r="D69" s="267"/>
      <c r="E69" s="267"/>
      <c r="F69" s="267"/>
      <c r="G69" s="267"/>
      <c r="H69" s="268">
        <f>+C69+D69+E69+F69+G69</f>
        <v>0</v>
      </c>
      <c r="I69" s="237"/>
      <c r="J69" s="266"/>
      <c r="L69" s="236">
        <v>9</v>
      </c>
      <c r="M69" s="267" t="s">
        <v>327</v>
      </c>
      <c r="N69" s="242"/>
      <c r="O69" s="242"/>
      <c r="P69" s="242"/>
      <c r="Q69" s="242"/>
      <c r="R69" s="242"/>
      <c r="S69" s="242"/>
      <c r="T69" s="269">
        <f t="shared" si="10"/>
        <v>0</v>
      </c>
      <c r="V69" s="236">
        <v>9</v>
      </c>
      <c r="W69" s="267" t="s">
        <v>327</v>
      </c>
      <c r="X69" s="242"/>
      <c r="Y69" s="242"/>
      <c r="Z69" s="269">
        <f t="shared" si="11"/>
        <v>0</v>
      </c>
      <c r="AB69" s="236">
        <v>9</v>
      </c>
      <c r="AC69" s="267" t="s">
        <v>327</v>
      </c>
      <c r="AD69" s="242">
        <v>0</v>
      </c>
      <c r="AE69" s="242">
        <v>0</v>
      </c>
      <c r="AF69" s="242">
        <f t="shared" si="12"/>
        <v>0</v>
      </c>
      <c r="AG69" s="269">
        <f t="shared" si="8"/>
        <v>0</v>
      </c>
    </row>
    <row r="70" spans="1:35" x14ac:dyDescent="0.5">
      <c r="A70" s="236">
        <v>10</v>
      </c>
      <c r="B70" s="267" t="s">
        <v>328</v>
      </c>
      <c r="C70" s="267"/>
      <c r="D70" s="267"/>
      <c r="E70" s="267"/>
      <c r="F70" s="267"/>
      <c r="G70" s="267"/>
      <c r="H70" s="268">
        <f>+C70+D70+E70+F70+G70</f>
        <v>0</v>
      </c>
      <c r="I70" s="237"/>
      <c r="J70" s="266"/>
      <c r="L70" s="236">
        <v>10</v>
      </c>
      <c r="M70" s="267" t="s">
        <v>328</v>
      </c>
      <c r="N70" s="242"/>
      <c r="O70" s="242"/>
      <c r="P70" s="242"/>
      <c r="Q70" s="242"/>
      <c r="R70" s="242"/>
      <c r="S70" s="242"/>
      <c r="T70" s="269">
        <f t="shared" si="10"/>
        <v>0</v>
      </c>
      <c r="V70" s="236">
        <v>10</v>
      </c>
      <c r="W70" s="267" t="s">
        <v>328</v>
      </c>
      <c r="X70" s="242"/>
      <c r="Y70" s="242"/>
      <c r="Z70" s="269">
        <f t="shared" si="11"/>
        <v>0</v>
      </c>
      <c r="AB70" s="236">
        <v>10</v>
      </c>
      <c r="AC70" s="267" t="s">
        <v>328</v>
      </c>
      <c r="AD70" s="242">
        <v>0</v>
      </c>
      <c r="AE70" s="242">
        <v>0</v>
      </c>
      <c r="AF70" s="242">
        <f t="shared" si="12"/>
        <v>0</v>
      </c>
      <c r="AG70" s="269">
        <f>+AD70+AF70</f>
        <v>0</v>
      </c>
    </row>
    <row r="71" spans="1:35" x14ac:dyDescent="0.5">
      <c r="A71" s="236">
        <v>11</v>
      </c>
      <c r="B71" s="267" t="s">
        <v>329</v>
      </c>
      <c r="C71" s="267"/>
      <c r="D71" s="267"/>
      <c r="E71" s="267"/>
      <c r="F71" s="267"/>
      <c r="G71" s="267"/>
      <c r="H71" s="268">
        <f t="shared" si="9"/>
        <v>0</v>
      </c>
      <c r="I71" s="237"/>
      <c r="J71" s="266"/>
      <c r="L71" s="236">
        <v>11</v>
      </c>
      <c r="M71" s="267" t="s">
        <v>329</v>
      </c>
      <c r="N71" s="242"/>
      <c r="O71" s="242"/>
      <c r="P71" s="242"/>
      <c r="Q71" s="242"/>
      <c r="R71" s="242"/>
      <c r="S71" s="242"/>
      <c r="T71" s="269">
        <f t="shared" si="10"/>
        <v>0</v>
      </c>
      <c r="V71" s="236">
        <v>11</v>
      </c>
      <c r="W71" s="267" t="s">
        <v>329</v>
      </c>
      <c r="X71" s="242"/>
      <c r="Y71" s="242"/>
      <c r="Z71" s="269">
        <f t="shared" si="11"/>
        <v>0</v>
      </c>
      <c r="AB71" s="236">
        <v>11</v>
      </c>
      <c r="AC71" s="267" t="s">
        <v>329</v>
      </c>
      <c r="AD71" s="242">
        <v>0</v>
      </c>
      <c r="AE71" s="242">
        <v>0</v>
      </c>
      <c r="AF71" s="242">
        <f t="shared" si="12"/>
        <v>0</v>
      </c>
      <c r="AG71" s="269">
        <f>+AD71+AF71</f>
        <v>0</v>
      </c>
    </row>
    <row r="72" spans="1:35" x14ac:dyDescent="0.5">
      <c r="A72" s="236">
        <v>12</v>
      </c>
      <c r="B72" s="267" t="s">
        <v>330</v>
      </c>
      <c r="C72" s="267"/>
      <c r="D72" s="267"/>
      <c r="E72" s="267"/>
      <c r="F72" s="267"/>
      <c r="G72" s="267"/>
      <c r="H72" s="268">
        <f t="shared" si="9"/>
        <v>0</v>
      </c>
      <c r="I72" s="237"/>
      <c r="J72" s="266"/>
      <c r="L72" s="236">
        <v>12</v>
      </c>
      <c r="M72" s="267" t="s">
        <v>330</v>
      </c>
      <c r="N72" s="242"/>
      <c r="O72" s="242"/>
      <c r="P72" s="242"/>
      <c r="Q72" s="242"/>
      <c r="R72" s="242"/>
      <c r="S72" s="242"/>
      <c r="T72" s="269">
        <f t="shared" si="10"/>
        <v>0</v>
      </c>
      <c r="V72" s="236">
        <v>12</v>
      </c>
      <c r="W72" s="267" t="s">
        <v>330</v>
      </c>
      <c r="X72" s="242"/>
      <c r="Y72" s="242"/>
      <c r="Z72" s="269">
        <f t="shared" si="11"/>
        <v>0</v>
      </c>
      <c r="AB72" s="236">
        <v>12</v>
      </c>
      <c r="AC72" s="267" t="s">
        <v>330</v>
      </c>
      <c r="AD72" s="242">
        <v>0</v>
      </c>
      <c r="AE72" s="242">
        <v>0</v>
      </c>
      <c r="AF72" s="242">
        <f t="shared" si="12"/>
        <v>0</v>
      </c>
      <c r="AG72" s="269">
        <f t="shared" si="8"/>
        <v>0</v>
      </c>
    </row>
    <row r="73" spans="1:35" ht="24" thickBot="1" x14ac:dyDescent="0.55000000000000004">
      <c r="A73" s="366" t="s">
        <v>397</v>
      </c>
      <c r="B73" s="367"/>
      <c r="C73" s="260">
        <f>SUM(C61:C72)</f>
        <v>1598277.4100000001</v>
      </c>
      <c r="D73" s="260">
        <f>SUM(D61:D72)</f>
        <v>296791.93</v>
      </c>
      <c r="E73" s="260">
        <f>SUM(E61:E72)</f>
        <v>28430.658799999997</v>
      </c>
      <c r="F73" s="261">
        <f>SUM(F61:F72)</f>
        <v>6809.6399999999985</v>
      </c>
      <c r="G73" s="262">
        <f t="shared" ref="G73" si="13">SUM(G61:G72)</f>
        <v>2447</v>
      </c>
      <c r="H73" s="260">
        <f>SUM(H61:H72)</f>
        <v>1932756.6388000001</v>
      </c>
      <c r="I73" s="260"/>
      <c r="J73" s="266"/>
      <c r="L73" s="247"/>
      <c r="M73" s="248" t="s">
        <v>397</v>
      </c>
      <c r="N73" s="251">
        <f>SUM(N61:N72)</f>
        <v>2792.36</v>
      </c>
      <c r="O73" s="251">
        <f t="shared" ref="O73:S73" si="14">SUM(O61:O72)</f>
        <v>276764.62</v>
      </c>
      <c r="P73" s="251">
        <f t="shared" si="14"/>
        <v>338.21</v>
      </c>
      <c r="Q73" s="251">
        <f t="shared" si="14"/>
        <v>990.75</v>
      </c>
      <c r="R73" s="251"/>
      <c r="S73" s="251">
        <f t="shared" si="14"/>
        <v>36.4</v>
      </c>
      <c r="T73" s="251">
        <f>SUM(T61:T72)</f>
        <v>279556.98</v>
      </c>
      <c r="V73" s="247"/>
      <c r="W73" s="248" t="s">
        <v>397</v>
      </c>
      <c r="X73" s="251">
        <f>SUM(X61:X72)</f>
        <v>284693.99</v>
      </c>
      <c r="Y73" s="251">
        <f>SUM(Y61:Y72)</f>
        <v>12097.94</v>
      </c>
      <c r="Z73" s="251">
        <f>SUM(Z61:Z72)</f>
        <v>296791.93</v>
      </c>
      <c r="AB73" s="247"/>
      <c r="AC73" s="248" t="s">
        <v>397</v>
      </c>
      <c r="AD73" s="251">
        <f>SUM(AD61:AD72)</f>
        <v>28430.660799999998</v>
      </c>
      <c r="AE73" s="250">
        <f>SUM(AE61:AE72)</f>
        <v>102660</v>
      </c>
      <c r="AF73" s="251">
        <f>SUM(AF61:AF72)</f>
        <v>2447</v>
      </c>
      <c r="AG73" s="251">
        <f>SUM(AG61:AG72)</f>
        <v>30877.660799999998</v>
      </c>
    </row>
    <row r="74" spans="1:35" ht="24" thickTop="1" x14ac:dyDescent="0.5">
      <c r="H74" s="270"/>
    </row>
    <row r="75" spans="1:35" x14ac:dyDescent="0.5">
      <c r="C75" s="271">
        <f>+C73*100/H73</f>
        <v>82.694188079070841</v>
      </c>
      <c r="D75" s="271">
        <f>+D73*100/H73</f>
        <v>15.355887235977658</v>
      </c>
      <c r="E75" s="271">
        <f>+E73*100/H73</f>
        <v>1.4709900992838849</v>
      </c>
      <c r="F75" s="271">
        <f>+F73*100/H73</f>
        <v>0.3523278545936302</v>
      </c>
      <c r="G75" s="271">
        <f>+G73*100/H73</f>
        <v>0.12660673107397943</v>
      </c>
      <c r="N75" s="271">
        <f>+N73*100/T73</f>
        <v>0.99885182620015434</v>
      </c>
      <c r="O75" s="271">
        <f>+O73*100/T73</f>
        <v>99.001148173799848</v>
      </c>
      <c r="P75" s="271">
        <f>+P73*100/T73</f>
        <v>0.12098070311104378</v>
      </c>
      <c r="Q75" s="271">
        <f>+Q73*100/T73</f>
        <v>0.35440002249273123</v>
      </c>
      <c r="R75" s="271">
        <f>+R73*100/T73</f>
        <v>0</v>
      </c>
      <c r="S75" s="271">
        <f>+S73*100/T73</f>
        <v>1.3020601381514424E-2</v>
      </c>
      <c r="X75" s="271">
        <f>+X73*100/Z73</f>
        <v>95.92376383010145</v>
      </c>
      <c r="Y75" s="271">
        <f>+Y73*100/Z73</f>
        <v>4.0762361698985545</v>
      </c>
      <c r="AA75" s="233"/>
    </row>
    <row r="76" spans="1:35" x14ac:dyDescent="0.5">
      <c r="C76" s="272"/>
    </row>
    <row r="78" spans="1:35" ht="29.25" x14ac:dyDescent="0.6">
      <c r="A78" s="368" t="s">
        <v>405</v>
      </c>
      <c r="B78" s="368"/>
      <c r="C78" s="368"/>
      <c r="D78" s="368"/>
      <c r="E78" s="368"/>
      <c r="F78" s="368"/>
      <c r="G78" s="368"/>
      <c r="H78" s="368"/>
      <c r="I78" s="368"/>
      <c r="L78" s="370" t="s">
        <v>406</v>
      </c>
      <c r="M78" s="370"/>
      <c r="N78" s="370"/>
      <c r="O78" s="370"/>
      <c r="P78" s="370"/>
      <c r="Q78" s="370"/>
      <c r="R78" s="370"/>
      <c r="S78" s="370"/>
      <c r="T78" s="370"/>
      <c r="V78" s="370" t="s">
        <v>407</v>
      </c>
      <c r="W78" s="370"/>
      <c r="X78" s="370"/>
      <c r="Y78" s="370"/>
      <c r="Z78" s="370"/>
      <c r="AB78" s="370" t="s">
        <v>408</v>
      </c>
      <c r="AC78" s="370"/>
      <c r="AD78" s="370"/>
      <c r="AE78" s="370"/>
      <c r="AF78" s="370"/>
      <c r="AG78" s="370"/>
    </row>
    <row r="79" spans="1:35" ht="46.5" x14ac:dyDescent="0.5">
      <c r="A79" s="227" t="s">
        <v>377</v>
      </c>
      <c r="B79" s="227" t="s">
        <v>403</v>
      </c>
      <c r="C79" s="228" t="s">
        <v>379</v>
      </c>
      <c r="D79" s="228" t="s">
        <v>380</v>
      </c>
      <c r="E79" s="228" t="s">
        <v>381</v>
      </c>
      <c r="F79" s="229" t="s">
        <v>404</v>
      </c>
      <c r="G79" s="230" t="s">
        <v>383</v>
      </c>
      <c r="H79" s="228" t="s">
        <v>384</v>
      </c>
      <c r="I79" s="227" t="s">
        <v>385</v>
      </c>
      <c r="L79" s="227" t="s">
        <v>377</v>
      </c>
      <c r="M79" s="227" t="s">
        <v>403</v>
      </c>
      <c r="N79" s="227" t="s">
        <v>386</v>
      </c>
      <c r="O79" s="227" t="s">
        <v>387</v>
      </c>
      <c r="P79" s="227" t="s">
        <v>388</v>
      </c>
      <c r="Q79" s="227" t="s">
        <v>389</v>
      </c>
      <c r="R79" s="227"/>
      <c r="S79" s="227" t="s">
        <v>390</v>
      </c>
      <c r="T79" s="227" t="s">
        <v>391</v>
      </c>
      <c r="V79" s="227" t="s">
        <v>377</v>
      </c>
      <c r="W79" s="227" t="s">
        <v>403</v>
      </c>
      <c r="X79" s="227" t="s">
        <v>392</v>
      </c>
      <c r="Y79" s="227" t="s">
        <v>393</v>
      </c>
      <c r="Z79" s="227" t="s">
        <v>391</v>
      </c>
      <c r="AB79" s="227" t="s">
        <v>377</v>
      </c>
      <c r="AC79" s="227" t="s">
        <v>378</v>
      </c>
      <c r="AD79" s="227" t="s">
        <v>394</v>
      </c>
      <c r="AE79" s="235" t="s">
        <v>395</v>
      </c>
      <c r="AF79" s="228" t="s">
        <v>396</v>
      </c>
      <c r="AG79" s="227" t="s">
        <v>391</v>
      </c>
    </row>
    <row r="80" spans="1:35" x14ac:dyDescent="0.5">
      <c r="A80" s="236">
        <v>1</v>
      </c>
      <c r="B80" s="267" t="s">
        <v>319</v>
      </c>
      <c r="C80" s="267">
        <f t="shared" ref="C80:C90" si="15">C61*100/H61</f>
        <v>78.445575281229125</v>
      </c>
      <c r="D80" s="267">
        <f t="shared" ref="D80:D91" si="16">D61*100/H61</f>
        <v>19.365156318986475</v>
      </c>
      <c r="E80" s="267">
        <f t="shared" ref="E80:E91" si="17">E61*100/H61</f>
        <v>1.862439664031839</v>
      </c>
      <c r="F80" s="267">
        <f t="shared" ref="F80:F91" si="18">F61*100/H61</f>
        <v>0.32682873575256755</v>
      </c>
      <c r="G80" s="267">
        <f t="shared" ref="G80:G91" si="19">G61*100/H61</f>
        <v>0</v>
      </c>
      <c r="H80" s="268">
        <f>+C80+D80+E80+F80+G80</f>
        <v>100.00000000000001</v>
      </c>
      <c r="I80" s="237"/>
      <c r="L80" s="236">
        <v>1</v>
      </c>
      <c r="M80" s="267" t="s">
        <v>319</v>
      </c>
      <c r="N80" s="242">
        <f t="shared" ref="N80:N91" si="20">N61*100/T61</f>
        <v>0.54864259823234784</v>
      </c>
      <c r="O80" s="242">
        <f t="shared" ref="O80:O91" si="21">O61*100/T61</f>
        <v>99.451357401767652</v>
      </c>
      <c r="P80" s="242"/>
      <c r="Q80" s="242"/>
      <c r="R80" s="242"/>
      <c r="S80" s="242"/>
      <c r="T80" s="269">
        <f>+N80+O80</f>
        <v>100</v>
      </c>
      <c r="V80" s="236">
        <v>1</v>
      </c>
      <c r="W80" s="267" t="s">
        <v>319</v>
      </c>
      <c r="X80" s="242">
        <f t="shared" ref="X80:X91" si="22">X61*100/Z61</f>
        <v>94.682862063412713</v>
      </c>
      <c r="Y80" s="242">
        <f t="shared" ref="Y80:Y91" si="23">Y61*100/Z61</f>
        <v>5.3171379365872875</v>
      </c>
      <c r="Z80" s="269">
        <f>+X80+Y80</f>
        <v>100</v>
      </c>
      <c r="AB80" s="236">
        <v>1</v>
      </c>
      <c r="AC80" s="267" t="s">
        <v>319</v>
      </c>
      <c r="AD80" s="242">
        <f>AD61*100/AG61</f>
        <v>100</v>
      </c>
      <c r="AE80" s="242"/>
      <c r="AF80" s="242">
        <f>AF61*100/AG61</f>
        <v>0</v>
      </c>
      <c r="AG80" s="269">
        <f t="shared" ref="AG80:AG83" si="24">+AD80+AF80</f>
        <v>100</v>
      </c>
    </row>
    <row r="81" spans="1:33" x14ac:dyDescent="0.5">
      <c r="A81" s="236">
        <v>2</v>
      </c>
      <c r="B81" s="267" t="s">
        <v>320</v>
      </c>
      <c r="C81" s="267" t="e">
        <f t="shared" si="15"/>
        <v>#DIV/0!</v>
      </c>
      <c r="D81" s="267" t="e">
        <f t="shared" si="16"/>
        <v>#DIV/0!</v>
      </c>
      <c r="E81" s="267" t="e">
        <f t="shared" si="17"/>
        <v>#DIV/0!</v>
      </c>
      <c r="F81" s="267" t="e">
        <f t="shared" si="18"/>
        <v>#DIV/0!</v>
      </c>
      <c r="G81" s="267" t="e">
        <f t="shared" si="19"/>
        <v>#DIV/0!</v>
      </c>
      <c r="H81" s="268" t="e">
        <f t="shared" ref="H81:H84" si="25">+C81+D81+E81+F81+G81</f>
        <v>#DIV/0!</v>
      </c>
      <c r="I81" s="237"/>
      <c r="L81" s="236">
        <v>2</v>
      </c>
      <c r="M81" s="267" t="s">
        <v>320</v>
      </c>
      <c r="N81" s="242" t="e">
        <f t="shared" si="20"/>
        <v>#DIV/0!</v>
      </c>
      <c r="O81" s="242" t="e">
        <f t="shared" si="21"/>
        <v>#DIV/0!</v>
      </c>
      <c r="P81" s="242"/>
      <c r="Q81" s="242"/>
      <c r="R81" s="242"/>
      <c r="S81" s="242"/>
      <c r="T81" s="269" t="e">
        <f>+N81+O81+#REF!</f>
        <v>#DIV/0!</v>
      </c>
      <c r="V81" s="236">
        <v>2</v>
      </c>
      <c r="W81" s="267" t="s">
        <v>320</v>
      </c>
      <c r="X81" s="242" t="e">
        <f t="shared" si="22"/>
        <v>#DIV/0!</v>
      </c>
      <c r="Y81" s="242" t="e">
        <f t="shared" si="23"/>
        <v>#DIV/0!</v>
      </c>
      <c r="Z81" s="269" t="e">
        <f>+X81+Y81</f>
        <v>#DIV/0!</v>
      </c>
      <c r="AB81" s="236">
        <v>2</v>
      </c>
      <c r="AC81" s="267" t="s">
        <v>320</v>
      </c>
      <c r="AD81" s="242" t="e">
        <f t="shared" ref="AD81:AD91" si="26">AD62*100/AG62</f>
        <v>#DIV/0!</v>
      </c>
      <c r="AE81" s="242"/>
      <c r="AF81" s="242" t="e">
        <f t="shared" ref="AF81:AF91" si="27">AF62*100/AG62</f>
        <v>#DIV/0!</v>
      </c>
      <c r="AG81" s="269" t="e">
        <f t="shared" si="24"/>
        <v>#DIV/0!</v>
      </c>
    </row>
    <row r="82" spans="1:33" x14ac:dyDescent="0.5">
      <c r="A82" s="236">
        <v>3</v>
      </c>
      <c r="B82" s="267" t="s">
        <v>321</v>
      </c>
      <c r="C82" s="267">
        <f t="shared" si="15"/>
        <v>79.755799438436796</v>
      </c>
      <c r="D82" s="267">
        <f t="shared" si="16"/>
        <v>18.097155473921088</v>
      </c>
      <c r="E82" s="267">
        <f t="shared" si="17"/>
        <v>1.6194719581152184</v>
      </c>
      <c r="F82" s="267">
        <f t="shared" si="18"/>
        <v>0.52757312952691082</v>
      </c>
      <c r="G82" s="267">
        <f t="shared" si="19"/>
        <v>0</v>
      </c>
      <c r="H82" s="268">
        <f t="shared" si="25"/>
        <v>100.00000000000001</v>
      </c>
      <c r="I82" s="237"/>
      <c r="L82" s="236">
        <v>3</v>
      </c>
      <c r="M82" s="267" t="s">
        <v>321</v>
      </c>
      <c r="N82" s="242">
        <f t="shared" si="20"/>
        <v>1.2660398836494806</v>
      </c>
      <c r="O82" s="242">
        <f t="shared" si="21"/>
        <v>98.733960116350531</v>
      </c>
      <c r="P82" s="242"/>
      <c r="Q82" s="242"/>
      <c r="R82" s="242"/>
      <c r="S82" s="242"/>
      <c r="T82" s="269" t="e">
        <f>+N82+O82+#REF!</f>
        <v>#REF!</v>
      </c>
      <c r="V82" s="236">
        <v>3</v>
      </c>
      <c r="W82" s="267" t="s">
        <v>321</v>
      </c>
      <c r="X82" s="242">
        <f t="shared" si="22"/>
        <v>94.635564508667187</v>
      </c>
      <c r="Y82" s="242">
        <f t="shared" si="23"/>
        <v>5.3644354913328245</v>
      </c>
      <c r="Z82" s="269">
        <f t="shared" ref="Z82:Z91" si="28">+X82+Y82</f>
        <v>100.00000000000001</v>
      </c>
      <c r="AB82" s="236">
        <v>3</v>
      </c>
      <c r="AC82" s="267" t="s">
        <v>321</v>
      </c>
      <c r="AD82" s="242">
        <f t="shared" si="26"/>
        <v>100</v>
      </c>
      <c r="AE82" s="242"/>
      <c r="AF82" s="242">
        <f t="shared" si="27"/>
        <v>0</v>
      </c>
      <c r="AG82" s="269">
        <f t="shared" si="24"/>
        <v>100</v>
      </c>
    </row>
    <row r="83" spans="1:33" x14ac:dyDescent="0.5">
      <c r="A83" s="236">
        <v>4</v>
      </c>
      <c r="B83" s="267" t="s">
        <v>322</v>
      </c>
      <c r="C83" s="267">
        <f t="shared" si="15"/>
        <v>88.654807010641036</v>
      </c>
      <c r="D83" s="267">
        <f t="shared" si="16"/>
        <v>9.7597012045232177</v>
      </c>
      <c r="E83" s="267">
        <f t="shared" si="17"/>
        <v>1.0326606366503666</v>
      </c>
      <c r="F83" s="267">
        <f t="shared" si="18"/>
        <v>0.21319493756890998</v>
      </c>
      <c r="G83" s="267">
        <f t="shared" si="19"/>
        <v>0.3396362106164782</v>
      </c>
      <c r="H83" s="268">
        <f t="shared" si="25"/>
        <v>100.00000000000001</v>
      </c>
      <c r="I83" s="237"/>
      <c r="L83" s="236">
        <v>4</v>
      </c>
      <c r="M83" s="267" t="s">
        <v>322</v>
      </c>
      <c r="N83" s="242">
        <f t="shared" si="20"/>
        <v>1.316662961333422</v>
      </c>
      <c r="O83" s="242">
        <f t="shared" si="21"/>
        <v>98.683337038666579</v>
      </c>
      <c r="P83" s="242"/>
      <c r="Q83" s="242"/>
      <c r="R83" s="242"/>
      <c r="S83" s="242"/>
      <c r="T83" s="269" t="e">
        <f>+N83+O83+#REF!</f>
        <v>#REF!</v>
      </c>
      <c r="V83" s="236">
        <v>4</v>
      </c>
      <c r="W83" s="267" t="s">
        <v>322</v>
      </c>
      <c r="X83" s="242">
        <f t="shared" si="22"/>
        <v>100</v>
      </c>
      <c r="Y83" s="242">
        <f t="shared" si="23"/>
        <v>0</v>
      </c>
      <c r="Z83" s="269">
        <f t="shared" si="28"/>
        <v>100</v>
      </c>
      <c r="AB83" s="236">
        <v>4</v>
      </c>
      <c r="AC83" s="267" t="s">
        <v>322</v>
      </c>
      <c r="AD83" s="242">
        <f t="shared" si="26"/>
        <v>75.250528973164975</v>
      </c>
      <c r="AE83" s="242"/>
      <c r="AF83" s="242">
        <f t="shared" si="27"/>
        <v>24.749471026835021</v>
      </c>
      <c r="AG83" s="269">
        <f t="shared" si="24"/>
        <v>100</v>
      </c>
    </row>
    <row r="84" spans="1:33" x14ac:dyDescent="0.5">
      <c r="A84" s="236">
        <v>5</v>
      </c>
      <c r="B84" s="267" t="s">
        <v>323</v>
      </c>
      <c r="C84" s="267" t="e">
        <f t="shared" si="15"/>
        <v>#DIV/0!</v>
      </c>
      <c r="D84" s="267" t="e">
        <f t="shared" si="16"/>
        <v>#DIV/0!</v>
      </c>
      <c r="E84" s="267" t="e">
        <f t="shared" si="17"/>
        <v>#DIV/0!</v>
      </c>
      <c r="F84" s="267" t="e">
        <f t="shared" si="18"/>
        <v>#DIV/0!</v>
      </c>
      <c r="G84" s="267" t="e">
        <f t="shared" si="19"/>
        <v>#DIV/0!</v>
      </c>
      <c r="H84" s="268" t="e">
        <f t="shared" si="25"/>
        <v>#DIV/0!</v>
      </c>
      <c r="I84" s="237"/>
      <c r="L84" s="236">
        <v>5</v>
      </c>
      <c r="M84" s="267" t="s">
        <v>323</v>
      </c>
      <c r="N84" s="242" t="e">
        <f t="shared" si="20"/>
        <v>#DIV/0!</v>
      </c>
      <c r="O84" s="242" t="e">
        <f t="shared" si="21"/>
        <v>#DIV/0!</v>
      </c>
      <c r="P84" s="242"/>
      <c r="Q84" s="242"/>
      <c r="R84" s="242"/>
      <c r="S84" s="242"/>
      <c r="T84" s="269" t="e">
        <f>+N84+O84+#REF!</f>
        <v>#DIV/0!</v>
      </c>
      <c r="V84" s="236">
        <v>5</v>
      </c>
      <c r="W84" s="267" t="s">
        <v>323</v>
      </c>
      <c r="X84" s="242" t="e">
        <f t="shared" si="22"/>
        <v>#DIV/0!</v>
      </c>
      <c r="Y84" s="242" t="e">
        <f t="shared" si="23"/>
        <v>#DIV/0!</v>
      </c>
      <c r="Z84" s="269" t="e">
        <f t="shared" si="28"/>
        <v>#DIV/0!</v>
      </c>
      <c r="AB84" s="236">
        <v>5</v>
      </c>
      <c r="AC84" s="267" t="s">
        <v>323</v>
      </c>
      <c r="AD84" s="242" t="e">
        <f t="shared" si="26"/>
        <v>#DIV/0!</v>
      </c>
      <c r="AE84" s="242"/>
      <c r="AF84" s="242" t="e">
        <f t="shared" si="27"/>
        <v>#DIV/0!</v>
      </c>
      <c r="AG84" s="269" t="e">
        <f>+AD84+AF84</f>
        <v>#DIV/0!</v>
      </c>
    </row>
    <row r="85" spans="1:33" x14ac:dyDescent="0.5">
      <c r="A85" s="236">
        <v>6</v>
      </c>
      <c r="B85" s="267" t="s">
        <v>324</v>
      </c>
      <c r="C85" s="267" t="e">
        <f t="shared" si="15"/>
        <v>#DIV/0!</v>
      </c>
      <c r="D85" s="267" t="e">
        <f t="shared" si="16"/>
        <v>#DIV/0!</v>
      </c>
      <c r="E85" s="267" t="e">
        <f t="shared" si="17"/>
        <v>#DIV/0!</v>
      </c>
      <c r="F85" s="267" t="e">
        <f t="shared" si="18"/>
        <v>#DIV/0!</v>
      </c>
      <c r="G85" s="267" t="e">
        <f t="shared" si="19"/>
        <v>#DIV/0!</v>
      </c>
      <c r="H85" s="268" t="e">
        <f>+C85+D85+E85+F85+G85</f>
        <v>#DIV/0!</v>
      </c>
      <c r="I85" s="237"/>
      <c r="L85" s="236">
        <v>6</v>
      </c>
      <c r="M85" s="267" t="s">
        <v>324</v>
      </c>
      <c r="N85" s="242" t="e">
        <f t="shared" si="20"/>
        <v>#DIV/0!</v>
      </c>
      <c r="O85" s="242" t="e">
        <f t="shared" si="21"/>
        <v>#DIV/0!</v>
      </c>
      <c r="P85" s="242"/>
      <c r="Q85" s="242"/>
      <c r="R85" s="242"/>
      <c r="S85" s="242"/>
      <c r="T85" s="269" t="e">
        <f>+N85+O85+#REF!</f>
        <v>#DIV/0!</v>
      </c>
      <c r="U85" s="233"/>
      <c r="V85" s="236">
        <v>6</v>
      </c>
      <c r="W85" s="267" t="s">
        <v>324</v>
      </c>
      <c r="X85" s="242" t="e">
        <f t="shared" si="22"/>
        <v>#DIV/0!</v>
      </c>
      <c r="Y85" s="242" t="e">
        <f t="shared" si="23"/>
        <v>#DIV/0!</v>
      </c>
      <c r="Z85" s="269" t="e">
        <f t="shared" si="28"/>
        <v>#DIV/0!</v>
      </c>
      <c r="AB85" s="236">
        <v>6</v>
      </c>
      <c r="AC85" s="267" t="s">
        <v>324</v>
      </c>
      <c r="AD85" s="242" t="e">
        <f t="shared" si="26"/>
        <v>#DIV/0!</v>
      </c>
      <c r="AE85" s="242"/>
      <c r="AF85" s="242" t="e">
        <f t="shared" si="27"/>
        <v>#DIV/0!</v>
      </c>
      <c r="AG85" s="269" t="e">
        <f t="shared" ref="AG85" si="29">+AD85+AF85</f>
        <v>#DIV/0!</v>
      </c>
    </row>
    <row r="86" spans="1:33" x14ac:dyDescent="0.5">
      <c r="A86" s="236">
        <v>7</v>
      </c>
      <c r="B86" s="267" t="s">
        <v>325</v>
      </c>
      <c r="C86" s="267" t="e">
        <f t="shared" si="15"/>
        <v>#DIV/0!</v>
      </c>
      <c r="D86" s="267" t="e">
        <f t="shared" si="16"/>
        <v>#DIV/0!</v>
      </c>
      <c r="E86" s="267" t="e">
        <f t="shared" si="17"/>
        <v>#DIV/0!</v>
      </c>
      <c r="F86" s="267" t="e">
        <f t="shared" si="18"/>
        <v>#DIV/0!</v>
      </c>
      <c r="G86" s="267" t="e">
        <f t="shared" si="19"/>
        <v>#DIV/0!</v>
      </c>
      <c r="H86" s="268" t="e">
        <f t="shared" ref="H86:H87" si="30">+C86+D86+E86+F86+G86</f>
        <v>#DIV/0!</v>
      </c>
      <c r="I86" s="237"/>
      <c r="L86" s="236">
        <v>7</v>
      </c>
      <c r="M86" s="267" t="s">
        <v>325</v>
      </c>
      <c r="N86" s="242" t="e">
        <f t="shared" si="20"/>
        <v>#DIV/0!</v>
      </c>
      <c r="O86" s="242" t="e">
        <f t="shared" si="21"/>
        <v>#DIV/0!</v>
      </c>
      <c r="P86" s="242"/>
      <c r="Q86" s="242"/>
      <c r="R86" s="242"/>
      <c r="S86" s="242"/>
      <c r="T86" s="269" t="e">
        <f>+N86+O86+#REF!</f>
        <v>#DIV/0!</v>
      </c>
      <c r="V86" s="236">
        <v>7</v>
      </c>
      <c r="W86" s="267" t="s">
        <v>325</v>
      </c>
      <c r="X86" s="242" t="e">
        <f t="shared" si="22"/>
        <v>#DIV/0!</v>
      </c>
      <c r="Y86" s="242" t="e">
        <f t="shared" si="23"/>
        <v>#DIV/0!</v>
      </c>
      <c r="Z86" s="269" t="e">
        <f t="shared" si="28"/>
        <v>#DIV/0!</v>
      </c>
      <c r="AB86" s="236">
        <v>7</v>
      </c>
      <c r="AC86" s="267" t="s">
        <v>325</v>
      </c>
      <c r="AD86" s="242" t="e">
        <f t="shared" si="26"/>
        <v>#DIV/0!</v>
      </c>
      <c r="AE86" s="242"/>
      <c r="AF86" s="242" t="e">
        <f t="shared" si="27"/>
        <v>#DIV/0!</v>
      </c>
      <c r="AG86" s="269" t="e">
        <f>+AD86+AF86</f>
        <v>#DIV/0!</v>
      </c>
    </row>
    <row r="87" spans="1:33" x14ac:dyDescent="0.5">
      <c r="A87" s="236">
        <v>8</v>
      </c>
      <c r="B87" s="267" t="s">
        <v>326</v>
      </c>
      <c r="C87" s="267" t="e">
        <f t="shared" si="15"/>
        <v>#DIV/0!</v>
      </c>
      <c r="D87" s="267" t="e">
        <f t="shared" si="16"/>
        <v>#DIV/0!</v>
      </c>
      <c r="E87" s="267" t="e">
        <f t="shared" si="17"/>
        <v>#DIV/0!</v>
      </c>
      <c r="F87" s="267" t="e">
        <f t="shared" si="18"/>
        <v>#DIV/0!</v>
      </c>
      <c r="G87" s="267" t="e">
        <f t="shared" si="19"/>
        <v>#DIV/0!</v>
      </c>
      <c r="H87" s="268" t="e">
        <f t="shared" si="30"/>
        <v>#DIV/0!</v>
      </c>
      <c r="I87" s="237"/>
      <c r="L87" s="236">
        <v>8</v>
      </c>
      <c r="M87" s="267" t="s">
        <v>326</v>
      </c>
      <c r="N87" s="242" t="e">
        <f t="shared" si="20"/>
        <v>#DIV/0!</v>
      </c>
      <c r="O87" s="242" t="e">
        <f t="shared" si="21"/>
        <v>#DIV/0!</v>
      </c>
      <c r="P87" s="242"/>
      <c r="Q87" s="242"/>
      <c r="R87" s="242"/>
      <c r="S87" s="242"/>
      <c r="T87" s="269" t="e">
        <f>+N87+O87+#REF!</f>
        <v>#DIV/0!</v>
      </c>
      <c r="V87" s="236">
        <v>8</v>
      </c>
      <c r="W87" s="267" t="s">
        <v>326</v>
      </c>
      <c r="X87" s="242" t="e">
        <f t="shared" si="22"/>
        <v>#DIV/0!</v>
      </c>
      <c r="Y87" s="242" t="e">
        <f t="shared" si="23"/>
        <v>#DIV/0!</v>
      </c>
      <c r="Z87" s="269" t="e">
        <f t="shared" si="28"/>
        <v>#DIV/0!</v>
      </c>
      <c r="AB87" s="236">
        <v>8</v>
      </c>
      <c r="AC87" s="267" t="s">
        <v>326</v>
      </c>
      <c r="AD87" s="242" t="e">
        <f t="shared" si="26"/>
        <v>#DIV/0!</v>
      </c>
      <c r="AE87" s="242"/>
      <c r="AF87" s="242" t="e">
        <f t="shared" si="27"/>
        <v>#DIV/0!</v>
      </c>
      <c r="AG87" s="269" t="e">
        <f t="shared" ref="AG87:AG91" si="31">+AD87+AF87</f>
        <v>#DIV/0!</v>
      </c>
    </row>
    <row r="88" spans="1:33" x14ac:dyDescent="0.5">
      <c r="A88" s="236">
        <v>9</v>
      </c>
      <c r="B88" s="267" t="s">
        <v>327</v>
      </c>
      <c r="C88" s="267" t="e">
        <f t="shared" si="15"/>
        <v>#DIV/0!</v>
      </c>
      <c r="D88" s="267" t="e">
        <f t="shared" si="16"/>
        <v>#DIV/0!</v>
      </c>
      <c r="E88" s="267" t="e">
        <f t="shared" si="17"/>
        <v>#DIV/0!</v>
      </c>
      <c r="F88" s="267" t="e">
        <f t="shared" si="18"/>
        <v>#DIV/0!</v>
      </c>
      <c r="G88" s="267" t="e">
        <f t="shared" si="19"/>
        <v>#DIV/0!</v>
      </c>
      <c r="H88" s="268" t="e">
        <f>+C88+D88+E88+F88+G88</f>
        <v>#DIV/0!</v>
      </c>
      <c r="I88" s="237"/>
      <c r="L88" s="236">
        <v>9</v>
      </c>
      <c r="M88" s="267" t="s">
        <v>327</v>
      </c>
      <c r="N88" s="242" t="e">
        <f t="shared" si="20"/>
        <v>#DIV/0!</v>
      </c>
      <c r="O88" s="242" t="e">
        <f t="shared" si="21"/>
        <v>#DIV/0!</v>
      </c>
      <c r="P88" s="242"/>
      <c r="Q88" s="242"/>
      <c r="R88" s="242"/>
      <c r="S88" s="242"/>
      <c r="T88" s="269" t="e">
        <f>+N88+O88+#REF!</f>
        <v>#DIV/0!</v>
      </c>
      <c r="V88" s="236">
        <v>9</v>
      </c>
      <c r="W88" s="267" t="s">
        <v>327</v>
      </c>
      <c r="X88" s="242" t="e">
        <f t="shared" si="22"/>
        <v>#DIV/0!</v>
      </c>
      <c r="Y88" s="242" t="e">
        <f t="shared" si="23"/>
        <v>#DIV/0!</v>
      </c>
      <c r="Z88" s="269" t="e">
        <f t="shared" si="28"/>
        <v>#DIV/0!</v>
      </c>
      <c r="AB88" s="236">
        <v>9</v>
      </c>
      <c r="AC88" s="267" t="s">
        <v>327</v>
      </c>
      <c r="AD88" s="242" t="e">
        <f t="shared" si="26"/>
        <v>#DIV/0!</v>
      </c>
      <c r="AE88" s="242"/>
      <c r="AF88" s="242" t="e">
        <f t="shared" si="27"/>
        <v>#DIV/0!</v>
      </c>
      <c r="AG88" s="269" t="e">
        <f t="shared" si="31"/>
        <v>#DIV/0!</v>
      </c>
    </row>
    <row r="89" spans="1:33" x14ac:dyDescent="0.5">
      <c r="A89" s="236">
        <v>10</v>
      </c>
      <c r="B89" s="267" t="s">
        <v>328</v>
      </c>
      <c r="C89" s="267" t="e">
        <f t="shared" si="15"/>
        <v>#DIV/0!</v>
      </c>
      <c r="D89" s="267" t="e">
        <f t="shared" si="16"/>
        <v>#DIV/0!</v>
      </c>
      <c r="E89" s="267" t="e">
        <f t="shared" si="17"/>
        <v>#DIV/0!</v>
      </c>
      <c r="F89" s="267" t="e">
        <f t="shared" si="18"/>
        <v>#DIV/0!</v>
      </c>
      <c r="G89" s="267" t="e">
        <f t="shared" si="19"/>
        <v>#DIV/0!</v>
      </c>
      <c r="H89" s="268" t="e">
        <f t="shared" ref="H89:H91" si="32">+C89+D89+E89+F89+G89</f>
        <v>#DIV/0!</v>
      </c>
      <c r="I89" s="237"/>
      <c r="L89" s="236">
        <v>10</v>
      </c>
      <c r="M89" s="267" t="s">
        <v>328</v>
      </c>
      <c r="N89" s="242" t="e">
        <f t="shared" si="20"/>
        <v>#DIV/0!</v>
      </c>
      <c r="O89" s="242" t="e">
        <f t="shared" si="21"/>
        <v>#DIV/0!</v>
      </c>
      <c r="P89" s="242" t="e">
        <f>P70*100/T70</f>
        <v>#DIV/0!</v>
      </c>
      <c r="Q89" s="242" t="e">
        <f>Q70*100/T70</f>
        <v>#DIV/0!</v>
      </c>
      <c r="R89" s="242"/>
      <c r="S89" s="242" t="e">
        <f>S70*100/T70</f>
        <v>#DIV/0!</v>
      </c>
      <c r="T89" s="269" t="e">
        <f>N89+O89+P89+Q89+S89+#REF!</f>
        <v>#DIV/0!</v>
      </c>
      <c r="V89" s="236">
        <v>10</v>
      </c>
      <c r="W89" s="267" t="s">
        <v>397</v>
      </c>
      <c r="X89" s="242" t="e">
        <f t="shared" si="22"/>
        <v>#DIV/0!</v>
      </c>
      <c r="Y89" s="242" t="e">
        <f t="shared" si="23"/>
        <v>#DIV/0!</v>
      </c>
      <c r="Z89" s="269" t="e">
        <f t="shared" si="28"/>
        <v>#DIV/0!</v>
      </c>
      <c r="AB89" s="236">
        <v>10</v>
      </c>
      <c r="AC89" s="267" t="s">
        <v>328</v>
      </c>
      <c r="AD89" s="242" t="e">
        <f t="shared" si="26"/>
        <v>#DIV/0!</v>
      </c>
      <c r="AE89" s="242"/>
      <c r="AF89" s="242" t="e">
        <f t="shared" si="27"/>
        <v>#DIV/0!</v>
      </c>
      <c r="AG89" s="269" t="e">
        <f t="shared" si="31"/>
        <v>#DIV/0!</v>
      </c>
    </row>
    <row r="90" spans="1:33" x14ac:dyDescent="0.5">
      <c r="A90" s="236">
        <v>11</v>
      </c>
      <c r="B90" s="267" t="s">
        <v>329</v>
      </c>
      <c r="C90" s="267" t="e">
        <f t="shared" si="15"/>
        <v>#DIV/0!</v>
      </c>
      <c r="D90" s="267" t="e">
        <f t="shared" si="16"/>
        <v>#DIV/0!</v>
      </c>
      <c r="E90" s="267" t="e">
        <f t="shared" si="17"/>
        <v>#DIV/0!</v>
      </c>
      <c r="F90" s="267" t="e">
        <f t="shared" si="18"/>
        <v>#DIV/0!</v>
      </c>
      <c r="G90" s="267" t="e">
        <f t="shared" si="19"/>
        <v>#DIV/0!</v>
      </c>
      <c r="H90" s="268" t="e">
        <f t="shared" si="32"/>
        <v>#DIV/0!</v>
      </c>
      <c r="I90" s="237"/>
      <c r="L90" s="236">
        <v>11</v>
      </c>
      <c r="M90" s="267" t="s">
        <v>329</v>
      </c>
      <c r="N90" s="242" t="e">
        <f t="shared" si="20"/>
        <v>#DIV/0!</v>
      </c>
      <c r="O90" s="242" t="e">
        <f t="shared" si="21"/>
        <v>#DIV/0!</v>
      </c>
      <c r="P90" s="242" t="e">
        <f>P71*100/T71</f>
        <v>#DIV/0!</v>
      </c>
      <c r="Q90" s="242" t="e">
        <f>Q71*100/T71</f>
        <v>#DIV/0!</v>
      </c>
      <c r="R90" s="242"/>
      <c r="S90" s="242" t="e">
        <f>S71*100/T71</f>
        <v>#DIV/0!</v>
      </c>
      <c r="T90" s="269" t="e">
        <f>N90+O90+P90+Q90+S90+#REF!</f>
        <v>#DIV/0!</v>
      </c>
      <c r="V90" s="236">
        <v>11</v>
      </c>
      <c r="W90" s="267" t="s">
        <v>329</v>
      </c>
      <c r="X90" s="242" t="e">
        <f t="shared" si="22"/>
        <v>#DIV/0!</v>
      </c>
      <c r="Y90" s="242" t="e">
        <f t="shared" si="23"/>
        <v>#DIV/0!</v>
      </c>
      <c r="Z90" s="269" t="e">
        <f t="shared" si="28"/>
        <v>#DIV/0!</v>
      </c>
      <c r="AB90" s="236">
        <v>11</v>
      </c>
      <c r="AC90" s="267" t="s">
        <v>329</v>
      </c>
      <c r="AD90" s="242" t="e">
        <f t="shared" si="26"/>
        <v>#DIV/0!</v>
      </c>
      <c r="AE90" s="242"/>
      <c r="AF90" s="242" t="e">
        <f t="shared" si="27"/>
        <v>#DIV/0!</v>
      </c>
      <c r="AG90" s="269" t="e">
        <f t="shared" si="31"/>
        <v>#DIV/0!</v>
      </c>
    </row>
    <row r="91" spans="1:33" x14ac:dyDescent="0.5">
      <c r="A91" s="236">
        <v>12</v>
      </c>
      <c r="B91" s="267" t="s">
        <v>330</v>
      </c>
      <c r="C91" s="267" t="e">
        <f>C72*100/H72</f>
        <v>#DIV/0!</v>
      </c>
      <c r="D91" s="267" t="e">
        <f t="shared" si="16"/>
        <v>#DIV/0!</v>
      </c>
      <c r="E91" s="267" t="e">
        <f t="shared" si="17"/>
        <v>#DIV/0!</v>
      </c>
      <c r="F91" s="267" t="e">
        <f t="shared" si="18"/>
        <v>#DIV/0!</v>
      </c>
      <c r="G91" s="267" t="e">
        <f t="shared" si="19"/>
        <v>#DIV/0!</v>
      </c>
      <c r="H91" s="268" t="e">
        <f t="shared" si="32"/>
        <v>#DIV/0!</v>
      </c>
      <c r="I91" s="237"/>
      <c r="L91" s="236">
        <v>12</v>
      </c>
      <c r="M91" s="267" t="s">
        <v>330</v>
      </c>
      <c r="N91" s="242" t="e">
        <f t="shared" si="20"/>
        <v>#DIV/0!</v>
      </c>
      <c r="O91" s="242" t="e">
        <f t="shared" si="21"/>
        <v>#DIV/0!</v>
      </c>
      <c r="P91" s="242"/>
      <c r="Q91" s="242"/>
      <c r="R91" s="242"/>
      <c r="S91" s="242"/>
      <c r="T91" s="269" t="e">
        <f>N91+O91+P91+Q91+S91+#REF!</f>
        <v>#DIV/0!</v>
      </c>
      <c r="V91" s="236">
        <v>12</v>
      </c>
      <c r="W91" s="267" t="s">
        <v>330</v>
      </c>
      <c r="X91" s="242" t="e">
        <f t="shared" si="22"/>
        <v>#DIV/0!</v>
      </c>
      <c r="Y91" s="242" t="e">
        <f t="shared" si="23"/>
        <v>#DIV/0!</v>
      </c>
      <c r="Z91" s="269" t="e">
        <f t="shared" si="28"/>
        <v>#DIV/0!</v>
      </c>
      <c r="AB91" s="236">
        <v>12</v>
      </c>
      <c r="AC91" s="267" t="s">
        <v>330</v>
      </c>
      <c r="AD91" s="242" t="e">
        <f t="shared" si="26"/>
        <v>#DIV/0!</v>
      </c>
      <c r="AE91" s="242"/>
      <c r="AF91" s="242" t="e">
        <f t="shared" si="27"/>
        <v>#DIV/0!</v>
      </c>
      <c r="AG91" s="269" t="e">
        <f t="shared" si="31"/>
        <v>#DIV/0!</v>
      </c>
    </row>
    <row r="92" spans="1:33" ht="24" thickBot="1" x14ac:dyDescent="0.55000000000000004">
      <c r="A92" s="366" t="s">
        <v>397</v>
      </c>
      <c r="B92" s="367"/>
      <c r="C92" s="260" t="e">
        <f>SUM(C80:C91)</f>
        <v>#DIV/0!</v>
      </c>
      <c r="D92" s="260" t="e">
        <f>SUM(D80:D91)</f>
        <v>#DIV/0!</v>
      </c>
      <c r="E92" s="260" t="e">
        <f>SUM(E80:E91)</f>
        <v>#DIV/0!</v>
      </c>
      <c r="F92" s="261" t="e">
        <f>SUM(F80:F91)</f>
        <v>#DIV/0!</v>
      </c>
      <c r="G92" s="262" t="e">
        <f t="shared" ref="G92" si="33">SUM(G80:G91)</f>
        <v>#DIV/0!</v>
      </c>
      <c r="H92" s="260" t="e">
        <f>SUM(H80:H91)</f>
        <v>#DIV/0!</v>
      </c>
      <c r="I92" s="260"/>
      <c r="L92" s="247"/>
      <c r="M92" s="248" t="s">
        <v>397</v>
      </c>
      <c r="N92" s="251" t="e">
        <f>SUM(N80:N91)</f>
        <v>#DIV/0!</v>
      </c>
      <c r="O92" s="251" t="e">
        <f>SUM(O80:O91)</f>
        <v>#DIV/0!</v>
      </c>
      <c r="P92" s="251"/>
      <c r="Q92" s="251"/>
      <c r="R92" s="251"/>
      <c r="S92" s="251"/>
      <c r="T92" s="251" t="e">
        <f>SUM(T80:T91)</f>
        <v>#DIV/0!</v>
      </c>
      <c r="V92" s="247"/>
      <c r="W92" s="248" t="s">
        <v>397</v>
      </c>
      <c r="X92" s="251" t="e">
        <f>SUM(X80:X91)</f>
        <v>#DIV/0!</v>
      </c>
      <c r="Y92" s="251" t="e">
        <f>SUM(Y80:Y91)</f>
        <v>#DIV/0!</v>
      </c>
      <c r="Z92" s="251" t="e">
        <f>SUM(Z80:Z91)</f>
        <v>#DIV/0!</v>
      </c>
      <c r="AB92" s="247"/>
      <c r="AC92" s="248" t="s">
        <v>397</v>
      </c>
      <c r="AD92" s="251" t="e">
        <f>SUM(AD80:AD91)</f>
        <v>#DIV/0!</v>
      </c>
      <c r="AE92" s="250">
        <f>SUM(AE80:AE91)</f>
        <v>0</v>
      </c>
      <c r="AF92" s="251" t="e">
        <f>SUM(AF80:AF91)</f>
        <v>#DIV/0!</v>
      </c>
      <c r="AG92" s="251" t="e">
        <f>SUM(AG80:AG91)</f>
        <v>#DIV/0!</v>
      </c>
    </row>
    <row r="93" spans="1:33" ht="24" thickTop="1" x14ac:dyDescent="0.5">
      <c r="H93" s="270"/>
    </row>
  </sheetData>
  <mergeCells count="15">
    <mergeCell ref="A92:B92"/>
    <mergeCell ref="A1:I1"/>
    <mergeCell ref="L1:T1"/>
    <mergeCell ref="V1:Z1"/>
    <mergeCell ref="AB1:AG1"/>
    <mergeCell ref="A51:B51"/>
    <mergeCell ref="A59:I59"/>
    <mergeCell ref="L59:T59"/>
    <mergeCell ref="V59:Z59"/>
    <mergeCell ref="AB59:AG59"/>
    <mergeCell ref="A73:B73"/>
    <mergeCell ref="A78:I78"/>
    <mergeCell ref="L78:T78"/>
    <mergeCell ref="V78:Z78"/>
    <mergeCell ref="AB78:AG78"/>
  </mergeCells>
  <pageMargins left="0.38" right="0.2" top="0.61" bottom="0.56000000000000005" header="0.3" footer="0.3"/>
  <pageSetup paperSize="9" scale="22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111B-0753-4E8F-A325-B2527A2900D6}">
  <dimension ref="A1:P723"/>
  <sheetViews>
    <sheetView view="pageLayout" topLeftCell="A702" zoomScaleNormal="100" workbookViewId="0">
      <selection activeCell="G723" sqref="A1:G723"/>
    </sheetView>
  </sheetViews>
  <sheetFormatPr defaultRowHeight="16.5" x14ac:dyDescent="0.3"/>
  <cols>
    <col min="1" max="1" width="5.25" customWidth="1"/>
    <col min="2" max="2" width="37.625" customWidth="1"/>
    <col min="3" max="3" width="9.125" customWidth="1"/>
    <col min="4" max="4" width="6.75" customWidth="1"/>
    <col min="5" max="5" width="11.125" customWidth="1"/>
    <col min="6" max="6" width="10.25" customWidth="1"/>
    <col min="7" max="7" width="9.875" customWidth="1"/>
  </cols>
  <sheetData>
    <row r="1" spans="1:9" ht="23.25" x14ac:dyDescent="0.5">
      <c r="A1" s="363" t="s">
        <v>0</v>
      </c>
      <c r="B1" s="364"/>
      <c r="C1" s="364"/>
      <c r="D1" s="364"/>
      <c r="E1" s="364"/>
      <c r="F1" s="364"/>
      <c r="G1" s="364"/>
    </row>
    <row r="2" spans="1:9" ht="23.25" x14ac:dyDescent="0.3">
      <c r="A2" s="359" t="s">
        <v>1</v>
      </c>
      <c r="B2" s="365"/>
      <c r="C2" s="365"/>
      <c r="D2" s="365"/>
      <c r="E2" s="365"/>
      <c r="F2" s="365"/>
      <c r="G2" s="365"/>
    </row>
    <row r="3" spans="1:9" ht="18" customHeight="1" x14ac:dyDescent="0.3">
      <c r="A3" s="1" t="s">
        <v>2</v>
      </c>
      <c r="B3" s="2" t="s">
        <v>3</v>
      </c>
      <c r="C3" s="2" t="s">
        <v>4</v>
      </c>
      <c r="D3" s="206" t="s">
        <v>5</v>
      </c>
      <c r="E3" s="2" t="s">
        <v>6</v>
      </c>
      <c r="F3" s="2" t="s">
        <v>7</v>
      </c>
      <c r="G3" s="2" t="s">
        <v>8</v>
      </c>
    </row>
    <row r="4" spans="1:9" ht="18" customHeight="1" x14ac:dyDescent="0.4">
      <c r="A4" s="4" t="s">
        <v>785</v>
      </c>
      <c r="B4" s="5" t="s">
        <v>686</v>
      </c>
      <c r="C4" s="6">
        <v>989.05</v>
      </c>
      <c r="D4" s="7">
        <v>82.5</v>
      </c>
      <c r="E4" s="37">
        <f t="shared" ref="E4:E50" si="0">+C4*D4</f>
        <v>81596.625</v>
      </c>
      <c r="F4" s="37">
        <f t="shared" ref="F4:F50" si="1">+E4*7%</f>
        <v>5711.763750000001</v>
      </c>
      <c r="G4" s="37">
        <f t="shared" ref="G4:G50" si="2">+E4+F4</f>
        <v>87308.388749999998</v>
      </c>
      <c r="I4">
        <v>6905147</v>
      </c>
    </row>
    <row r="5" spans="1:9" ht="18" customHeight="1" x14ac:dyDescent="0.4">
      <c r="A5" s="4" t="s">
        <v>788</v>
      </c>
      <c r="B5" s="5" t="s">
        <v>688</v>
      </c>
      <c r="C5" s="6">
        <v>2996.3</v>
      </c>
      <c r="D5" s="7">
        <v>82.5</v>
      </c>
      <c r="E5" s="37">
        <f t="shared" si="0"/>
        <v>247194.75000000003</v>
      </c>
      <c r="F5" s="37">
        <f t="shared" si="1"/>
        <v>17303.632500000003</v>
      </c>
      <c r="G5" s="37">
        <f t="shared" si="2"/>
        <v>264498.38250000001</v>
      </c>
      <c r="I5">
        <v>6905076</v>
      </c>
    </row>
    <row r="6" spans="1:9" ht="18" customHeight="1" x14ac:dyDescent="0.4">
      <c r="A6" s="4" t="s">
        <v>789</v>
      </c>
      <c r="B6" s="5" t="s">
        <v>688</v>
      </c>
      <c r="C6" s="6">
        <v>2990.7</v>
      </c>
      <c r="D6" s="7">
        <v>82.5</v>
      </c>
      <c r="E6" s="37">
        <f t="shared" si="0"/>
        <v>246732.74999999997</v>
      </c>
      <c r="F6" s="37">
        <f t="shared" si="1"/>
        <v>17271.2925</v>
      </c>
      <c r="G6" s="37">
        <f t="shared" si="2"/>
        <v>264004.04249999998</v>
      </c>
      <c r="I6">
        <v>6905097</v>
      </c>
    </row>
    <row r="7" spans="1:9" ht="18" customHeight="1" x14ac:dyDescent="0.4">
      <c r="A7" s="4" t="s">
        <v>790</v>
      </c>
      <c r="B7" s="5" t="s">
        <v>688</v>
      </c>
      <c r="C7" s="6">
        <v>2797.5</v>
      </c>
      <c r="D7" s="7">
        <v>82.5</v>
      </c>
      <c r="E7" s="37">
        <f t="shared" si="0"/>
        <v>230793.75</v>
      </c>
      <c r="F7" s="37">
        <f t="shared" si="1"/>
        <v>16155.562500000002</v>
      </c>
      <c r="G7" s="37">
        <f t="shared" si="2"/>
        <v>246949.3125</v>
      </c>
      <c r="I7">
        <v>6905118</v>
      </c>
    </row>
    <row r="8" spans="1:9" ht="18" customHeight="1" x14ac:dyDescent="0.4">
      <c r="A8" s="4" t="s">
        <v>785</v>
      </c>
      <c r="B8" s="5" t="s">
        <v>688</v>
      </c>
      <c r="C8" s="6">
        <v>2995.6</v>
      </c>
      <c r="D8" s="7">
        <v>82.5</v>
      </c>
      <c r="E8" s="37">
        <f t="shared" si="0"/>
        <v>247137</v>
      </c>
      <c r="F8" s="37">
        <f t="shared" si="1"/>
        <v>17299.59</v>
      </c>
      <c r="G8" s="37">
        <f t="shared" si="2"/>
        <v>264436.59000000003</v>
      </c>
      <c r="I8">
        <v>6905148</v>
      </c>
    </row>
    <row r="9" spans="1:9" ht="18" customHeight="1" x14ac:dyDescent="0.4">
      <c r="A9" s="4" t="s">
        <v>791</v>
      </c>
      <c r="B9" s="5" t="s">
        <v>688</v>
      </c>
      <c r="C9" s="6">
        <v>2995.6</v>
      </c>
      <c r="D9" s="7">
        <v>82.5</v>
      </c>
      <c r="E9" s="37">
        <f t="shared" si="0"/>
        <v>247137</v>
      </c>
      <c r="F9" s="37">
        <f t="shared" si="1"/>
        <v>17299.59</v>
      </c>
      <c r="G9" s="37">
        <f t="shared" si="2"/>
        <v>264436.59000000003</v>
      </c>
      <c r="I9">
        <v>6905163</v>
      </c>
    </row>
    <row r="10" spans="1:9" ht="18" customHeight="1" x14ac:dyDescent="0.4">
      <c r="A10" s="4" t="s">
        <v>792</v>
      </c>
      <c r="B10" s="5" t="s">
        <v>688</v>
      </c>
      <c r="C10" s="6">
        <v>2988.85</v>
      </c>
      <c r="D10" s="7">
        <v>82.5</v>
      </c>
      <c r="E10" s="37">
        <f t="shared" si="0"/>
        <v>246580.125</v>
      </c>
      <c r="F10" s="37">
        <f t="shared" si="1"/>
        <v>17260.608750000003</v>
      </c>
      <c r="G10" s="37">
        <f t="shared" si="2"/>
        <v>263840.73375000001</v>
      </c>
      <c r="I10">
        <v>6905173</v>
      </c>
    </row>
    <row r="11" spans="1:9" ht="18" customHeight="1" x14ac:dyDescent="0.4">
      <c r="A11" s="4" t="s">
        <v>793</v>
      </c>
      <c r="B11" s="5" t="s">
        <v>688</v>
      </c>
      <c r="C11" s="6">
        <v>2976.65</v>
      </c>
      <c r="D11" s="7">
        <v>82.5</v>
      </c>
      <c r="E11" s="37">
        <f t="shared" si="0"/>
        <v>245573.625</v>
      </c>
      <c r="F11" s="37">
        <f t="shared" si="1"/>
        <v>17190.153750000001</v>
      </c>
      <c r="G11" s="37">
        <f t="shared" si="2"/>
        <v>262763.77875</v>
      </c>
      <c r="I11">
        <v>6905195</v>
      </c>
    </row>
    <row r="12" spans="1:9" ht="18" customHeight="1" x14ac:dyDescent="0.4">
      <c r="A12" s="4" t="s">
        <v>794</v>
      </c>
      <c r="B12" s="5" t="s">
        <v>688</v>
      </c>
      <c r="C12" s="6">
        <v>2993.05</v>
      </c>
      <c r="D12" s="7">
        <v>82.5</v>
      </c>
      <c r="E12" s="37">
        <f t="shared" si="0"/>
        <v>246926.62500000003</v>
      </c>
      <c r="F12" s="37">
        <f t="shared" si="1"/>
        <v>17284.863750000004</v>
      </c>
      <c r="G12" s="37">
        <f t="shared" si="2"/>
        <v>264211.48875000002</v>
      </c>
      <c r="I12">
        <v>6905222</v>
      </c>
    </row>
    <row r="13" spans="1:9" ht="18" customHeight="1" x14ac:dyDescent="0.4">
      <c r="A13" s="4" t="s">
        <v>795</v>
      </c>
      <c r="B13" s="5" t="s">
        <v>688</v>
      </c>
      <c r="C13" s="6">
        <v>2993.6</v>
      </c>
      <c r="D13" s="7">
        <v>82.5</v>
      </c>
      <c r="E13" s="37">
        <f t="shared" si="0"/>
        <v>246972</v>
      </c>
      <c r="F13" s="37">
        <f t="shared" si="1"/>
        <v>17288.04</v>
      </c>
      <c r="G13" s="37">
        <f t="shared" si="2"/>
        <v>264260.03999999998</v>
      </c>
      <c r="I13">
        <v>6905247</v>
      </c>
    </row>
    <row r="14" spans="1:9" ht="18" customHeight="1" x14ac:dyDescent="0.4">
      <c r="A14" s="4" t="s">
        <v>796</v>
      </c>
      <c r="B14" s="5" t="s">
        <v>688</v>
      </c>
      <c r="C14" s="6">
        <v>2992.45</v>
      </c>
      <c r="D14" s="7">
        <v>82.5</v>
      </c>
      <c r="E14" s="37">
        <f t="shared" si="0"/>
        <v>246877.12499999997</v>
      </c>
      <c r="F14" s="37">
        <f t="shared" si="1"/>
        <v>17281.39875</v>
      </c>
      <c r="G14" s="37">
        <f t="shared" si="2"/>
        <v>264158.52374999999</v>
      </c>
      <c r="I14">
        <v>6905273</v>
      </c>
    </row>
    <row r="15" spans="1:9" ht="18" customHeight="1" x14ac:dyDescent="0.4">
      <c r="A15" s="4" t="s">
        <v>797</v>
      </c>
      <c r="B15" s="5" t="s">
        <v>688</v>
      </c>
      <c r="C15" s="6">
        <v>2985.25</v>
      </c>
      <c r="D15" s="7">
        <v>82.5</v>
      </c>
      <c r="E15" s="37">
        <f t="shared" si="0"/>
        <v>246283.125</v>
      </c>
      <c r="F15" s="37">
        <f t="shared" si="1"/>
        <v>17239.818750000002</v>
      </c>
      <c r="G15" s="37">
        <f t="shared" si="2"/>
        <v>263522.94374999998</v>
      </c>
      <c r="I15">
        <v>6905293</v>
      </c>
    </row>
    <row r="16" spans="1:9" ht="18" customHeight="1" x14ac:dyDescent="0.4">
      <c r="A16" s="4" t="s">
        <v>798</v>
      </c>
      <c r="B16" s="5" t="s">
        <v>688</v>
      </c>
      <c r="C16" s="6">
        <v>2993.9</v>
      </c>
      <c r="D16" s="7">
        <v>82.5</v>
      </c>
      <c r="E16" s="37">
        <f t="shared" si="0"/>
        <v>246996.75</v>
      </c>
      <c r="F16" s="37">
        <f t="shared" si="1"/>
        <v>17289.772500000003</v>
      </c>
      <c r="G16" s="37">
        <f t="shared" si="2"/>
        <v>264286.52250000002</v>
      </c>
      <c r="I16">
        <v>6905323</v>
      </c>
    </row>
    <row r="17" spans="1:9" ht="18" customHeight="1" x14ac:dyDescent="0.4">
      <c r="A17" s="4" t="s">
        <v>799</v>
      </c>
      <c r="B17" s="5" t="s">
        <v>688</v>
      </c>
      <c r="C17" s="6">
        <v>2997.7</v>
      </c>
      <c r="D17" s="7">
        <v>82.5</v>
      </c>
      <c r="E17" s="37">
        <f t="shared" si="0"/>
        <v>247310.24999999997</v>
      </c>
      <c r="F17" s="37">
        <f t="shared" si="1"/>
        <v>17311.717499999999</v>
      </c>
      <c r="G17" s="37">
        <f t="shared" si="2"/>
        <v>264621.96749999997</v>
      </c>
      <c r="I17">
        <v>6905350</v>
      </c>
    </row>
    <row r="18" spans="1:9" ht="18" customHeight="1" x14ac:dyDescent="0.4">
      <c r="A18" s="4" t="s">
        <v>788</v>
      </c>
      <c r="B18" s="5" t="s">
        <v>460</v>
      </c>
      <c r="C18" s="6">
        <v>1998.5</v>
      </c>
      <c r="D18" s="7">
        <v>82.5</v>
      </c>
      <c r="E18" s="37">
        <f t="shared" si="0"/>
        <v>164876.25</v>
      </c>
      <c r="F18" s="37">
        <f t="shared" si="1"/>
        <v>11541.337500000001</v>
      </c>
      <c r="G18" s="37">
        <f t="shared" si="2"/>
        <v>176417.58749999999</v>
      </c>
      <c r="I18">
        <v>6905075</v>
      </c>
    </row>
    <row r="19" spans="1:9" ht="18" customHeight="1" x14ac:dyDescent="0.4">
      <c r="A19" s="4" t="s">
        <v>787</v>
      </c>
      <c r="B19" s="5" t="s">
        <v>460</v>
      </c>
      <c r="C19" s="6">
        <v>1996.6</v>
      </c>
      <c r="D19" s="7">
        <v>82.5</v>
      </c>
      <c r="E19" s="37">
        <f t="shared" si="0"/>
        <v>164719.5</v>
      </c>
      <c r="F19" s="37">
        <f t="shared" si="1"/>
        <v>11530.365000000002</v>
      </c>
      <c r="G19" s="37">
        <f t="shared" si="2"/>
        <v>176249.86499999999</v>
      </c>
      <c r="I19">
        <v>6905045</v>
      </c>
    </row>
    <row r="20" spans="1:9" ht="18" customHeight="1" x14ac:dyDescent="0.4">
      <c r="A20" s="4" t="s">
        <v>800</v>
      </c>
      <c r="B20" s="5" t="s">
        <v>705</v>
      </c>
      <c r="C20" s="6">
        <v>392.14</v>
      </c>
      <c r="D20" s="7">
        <v>82.5</v>
      </c>
      <c r="E20" s="37">
        <f t="shared" si="0"/>
        <v>32351.55</v>
      </c>
      <c r="F20" s="37">
        <f t="shared" si="1"/>
        <v>2264.6085000000003</v>
      </c>
      <c r="G20" s="37">
        <f t="shared" si="2"/>
        <v>34616.158499999998</v>
      </c>
      <c r="I20">
        <v>6905015</v>
      </c>
    </row>
    <row r="21" spans="1:9" ht="18" customHeight="1" x14ac:dyDescent="0.4">
      <c r="A21" s="4" t="s">
        <v>792</v>
      </c>
      <c r="B21" s="5" t="s">
        <v>802</v>
      </c>
      <c r="C21" s="6">
        <v>955.9</v>
      </c>
      <c r="D21" s="7">
        <v>82.5</v>
      </c>
      <c r="E21" s="37">
        <f>+C21*D21</f>
        <v>78861.75</v>
      </c>
      <c r="F21" s="37">
        <f>+E21*7%</f>
        <v>5520.3225000000002</v>
      </c>
      <c r="G21" s="37">
        <f>+E21+F21</f>
        <v>84382.072499999995</v>
      </c>
      <c r="I21">
        <v>6905174</v>
      </c>
    </row>
    <row r="22" spans="1:9" ht="18" customHeight="1" x14ac:dyDescent="0.4">
      <c r="A22" s="4" t="s">
        <v>801</v>
      </c>
      <c r="B22" s="5" t="s">
        <v>9</v>
      </c>
      <c r="C22" s="6">
        <v>988.65</v>
      </c>
      <c r="D22" s="7">
        <v>82.5</v>
      </c>
      <c r="E22" s="37">
        <f t="shared" si="0"/>
        <v>81563.625</v>
      </c>
      <c r="F22" s="37">
        <f t="shared" si="1"/>
        <v>5709.4537500000006</v>
      </c>
      <c r="G22" s="37">
        <f t="shared" si="2"/>
        <v>87273.078750000001</v>
      </c>
      <c r="I22">
        <v>6905204</v>
      </c>
    </row>
    <row r="23" spans="1:9" ht="18" customHeight="1" x14ac:dyDescent="0.4">
      <c r="A23" s="4" t="s">
        <v>800</v>
      </c>
      <c r="B23" s="5" t="s">
        <v>504</v>
      </c>
      <c r="C23" s="6">
        <v>984.9</v>
      </c>
      <c r="D23" s="7">
        <v>82.5</v>
      </c>
      <c r="E23" s="37">
        <f t="shared" si="0"/>
        <v>81254.25</v>
      </c>
      <c r="F23" s="37">
        <f t="shared" si="1"/>
        <v>5687.7975000000006</v>
      </c>
      <c r="G23" s="37">
        <f t="shared" si="2"/>
        <v>86942.047500000001</v>
      </c>
      <c r="I23">
        <v>6905016</v>
      </c>
    </row>
    <row r="24" spans="1:9" ht="18" customHeight="1" x14ac:dyDescent="0.4">
      <c r="A24" s="4" t="s">
        <v>786</v>
      </c>
      <c r="B24" s="5" t="s">
        <v>706</v>
      </c>
      <c r="C24" s="6">
        <v>1490.9</v>
      </c>
      <c r="D24" s="7">
        <v>82.5</v>
      </c>
      <c r="E24" s="37">
        <f t="shared" si="0"/>
        <v>122999.25000000001</v>
      </c>
      <c r="F24" s="37">
        <f t="shared" si="1"/>
        <v>8609.947500000002</v>
      </c>
      <c r="G24" s="37">
        <f t="shared" si="2"/>
        <v>131609.19750000001</v>
      </c>
      <c r="I24">
        <v>6905002</v>
      </c>
    </row>
    <row r="25" spans="1:9" ht="18" customHeight="1" x14ac:dyDescent="0.4">
      <c r="A25" s="4" t="s">
        <v>803</v>
      </c>
      <c r="B25" s="5" t="s">
        <v>706</v>
      </c>
      <c r="C25" s="6">
        <v>1257.9000000000001</v>
      </c>
      <c r="D25" s="7">
        <v>82.5</v>
      </c>
      <c r="E25" s="37">
        <f t="shared" si="0"/>
        <v>103776.75000000001</v>
      </c>
      <c r="F25" s="37">
        <f t="shared" si="1"/>
        <v>7264.3725000000013</v>
      </c>
      <c r="G25" s="37">
        <f t="shared" si="2"/>
        <v>111041.12250000001</v>
      </c>
      <c r="I25">
        <v>6905036</v>
      </c>
    </row>
    <row r="26" spans="1:9" ht="18" customHeight="1" x14ac:dyDescent="0.4">
      <c r="A26" s="4" t="s">
        <v>786</v>
      </c>
      <c r="B26" s="5" t="s">
        <v>10</v>
      </c>
      <c r="C26" s="6">
        <v>4796.82</v>
      </c>
      <c r="D26" s="7">
        <v>82.5</v>
      </c>
      <c r="E26" s="37">
        <f t="shared" si="0"/>
        <v>395737.64999999997</v>
      </c>
      <c r="F26" s="37">
        <f t="shared" si="1"/>
        <v>27701.6355</v>
      </c>
      <c r="G26" s="37">
        <f t="shared" si="2"/>
        <v>423439.28549999994</v>
      </c>
      <c r="I26">
        <v>6905003</v>
      </c>
    </row>
    <row r="27" spans="1:9" ht="18" customHeight="1" x14ac:dyDescent="0.4">
      <c r="A27" s="4" t="s">
        <v>803</v>
      </c>
      <c r="B27" s="5" t="s">
        <v>10</v>
      </c>
      <c r="C27" s="6">
        <v>4796.3900000000003</v>
      </c>
      <c r="D27" s="7">
        <v>82.5</v>
      </c>
      <c r="E27" s="37">
        <f>+C27*D27</f>
        <v>395702.17500000005</v>
      </c>
      <c r="F27" s="37">
        <f>+E27*7%</f>
        <v>27699.152250000006</v>
      </c>
      <c r="G27" s="37">
        <f>+E27+F27</f>
        <v>423401.32725000003</v>
      </c>
      <c r="I27">
        <v>6905034</v>
      </c>
    </row>
    <row r="28" spans="1:9" ht="18" customHeight="1" x14ac:dyDescent="0.4">
      <c r="A28" s="4" t="s">
        <v>803</v>
      </c>
      <c r="B28" s="5" t="s">
        <v>10</v>
      </c>
      <c r="C28" s="6">
        <v>2957.38</v>
      </c>
      <c r="D28" s="7">
        <v>82.5</v>
      </c>
      <c r="E28" s="37">
        <f t="shared" si="0"/>
        <v>243983.85</v>
      </c>
      <c r="F28" s="37">
        <f t="shared" si="1"/>
        <v>17078.869500000001</v>
      </c>
      <c r="G28" s="37">
        <f t="shared" si="2"/>
        <v>261062.71950000001</v>
      </c>
      <c r="I28">
        <v>6905035</v>
      </c>
    </row>
    <row r="29" spans="1:9" ht="18" customHeight="1" x14ac:dyDescent="0.4">
      <c r="A29" s="4" t="s">
        <v>787</v>
      </c>
      <c r="B29" s="5" t="s">
        <v>10</v>
      </c>
      <c r="C29" s="6">
        <v>4436.9799999999996</v>
      </c>
      <c r="D29" s="7">
        <v>82.5</v>
      </c>
      <c r="E29" s="37">
        <f>+C29*D29</f>
        <v>366050.85</v>
      </c>
      <c r="F29" s="37">
        <f>+E29*7%</f>
        <v>25623.559499999999</v>
      </c>
      <c r="G29" s="37">
        <f>+E29+F29</f>
        <v>391674.40949999995</v>
      </c>
      <c r="I29">
        <v>6905046</v>
      </c>
    </row>
    <row r="30" spans="1:9" ht="18" customHeight="1" x14ac:dyDescent="0.4">
      <c r="A30" s="4" t="s">
        <v>788</v>
      </c>
      <c r="B30" s="5" t="s">
        <v>10</v>
      </c>
      <c r="C30" s="6">
        <v>4795.96</v>
      </c>
      <c r="D30" s="7">
        <v>82.5</v>
      </c>
      <c r="E30" s="37">
        <f t="shared" si="0"/>
        <v>395666.7</v>
      </c>
      <c r="F30" s="37">
        <f t="shared" si="1"/>
        <v>27696.669000000002</v>
      </c>
      <c r="G30" s="37">
        <f t="shared" si="2"/>
        <v>423363.36900000001</v>
      </c>
      <c r="I30">
        <v>6905077</v>
      </c>
    </row>
    <row r="31" spans="1:9" ht="18" customHeight="1" x14ac:dyDescent="0.4">
      <c r="A31" s="4" t="s">
        <v>789</v>
      </c>
      <c r="B31" s="5" t="s">
        <v>10</v>
      </c>
      <c r="C31" s="6">
        <v>4783.22</v>
      </c>
      <c r="D31" s="7">
        <v>82.5</v>
      </c>
      <c r="E31" s="37">
        <f t="shared" si="0"/>
        <v>394615.65</v>
      </c>
      <c r="F31" s="37">
        <f t="shared" si="1"/>
        <v>27623.095500000003</v>
      </c>
      <c r="G31" s="37">
        <f t="shared" si="2"/>
        <v>422238.74550000002</v>
      </c>
      <c r="I31">
        <v>6905096</v>
      </c>
    </row>
    <row r="32" spans="1:9" ht="18" customHeight="1" x14ac:dyDescent="0.4">
      <c r="A32" s="4" t="s">
        <v>804</v>
      </c>
      <c r="B32" s="5" t="s">
        <v>10</v>
      </c>
      <c r="C32" s="6">
        <v>6592.05</v>
      </c>
      <c r="D32" s="7">
        <v>82.5</v>
      </c>
      <c r="E32" s="37">
        <f t="shared" si="0"/>
        <v>543844.125</v>
      </c>
      <c r="F32" s="37">
        <f t="shared" si="1"/>
        <v>38069.088750000003</v>
      </c>
      <c r="G32" s="37">
        <f t="shared" si="2"/>
        <v>581913.21375</v>
      </c>
      <c r="I32">
        <v>6905124</v>
      </c>
    </row>
    <row r="33" spans="1:9" ht="18" customHeight="1" x14ac:dyDescent="0.4">
      <c r="A33" s="4" t="s">
        <v>785</v>
      </c>
      <c r="B33" s="5" t="s">
        <v>10</v>
      </c>
      <c r="C33" s="6">
        <v>4784.43</v>
      </c>
      <c r="D33" s="7">
        <v>82.5</v>
      </c>
      <c r="E33" s="37">
        <f t="shared" si="0"/>
        <v>394715.47500000003</v>
      </c>
      <c r="F33" s="37">
        <f t="shared" si="1"/>
        <v>27630.083250000003</v>
      </c>
      <c r="G33" s="37">
        <f t="shared" si="2"/>
        <v>422345.55825000006</v>
      </c>
      <c r="I33">
        <v>6905146</v>
      </c>
    </row>
    <row r="34" spans="1:9" ht="18" customHeight="1" x14ac:dyDescent="0.4">
      <c r="A34" s="4" t="s">
        <v>791</v>
      </c>
      <c r="B34" s="5" t="s">
        <v>10</v>
      </c>
      <c r="C34" s="6">
        <v>5582.84</v>
      </c>
      <c r="D34" s="7">
        <v>82.5</v>
      </c>
      <c r="E34" s="37">
        <f t="shared" si="0"/>
        <v>460584.3</v>
      </c>
      <c r="F34" s="37">
        <f t="shared" si="1"/>
        <v>32240.901000000002</v>
      </c>
      <c r="G34" s="37">
        <f t="shared" si="2"/>
        <v>492825.201</v>
      </c>
      <c r="I34">
        <v>6905162</v>
      </c>
    </row>
    <row r="35" spans="1:9" ht="18" customHeight="1" x14ac:dyDescent="0.4">
      <c r="A35" s="4" t="s">
        <v>792</v>
      </c>
      <c r="B35" s="5" t="s">
        <v>10</v>
      </c>
      <c r="C35" s="6">
        <v>4487.6899999999996</v>
      </c>
      <c r="D35" s="7">
        <v>82.5</v>
      </c>
      <c r="E35" s="37">
        <f t="shared" si="0"/>
        <v>370234.42499999999</v>
      </c>
      <c r="F35" s="37">
        <f t="shared" si="1"/>
        <v>25916.409750000003</v>
      </c>
      <c r="G35" s="37">
        <f t="shared" si="2"/>
        <v>396150.83474999998</v>
      </c>
      <c r="I35">
        <v>6905172</v>
      </c>
    </row>
    <row r="36" spans="1:9" ht="18" customHeight="1" x14ac:dyDescent="0.4">
      <c r="A36" s="4" t="s">
        <v>805</v>
      </c>
      <c r="B36" s="5" t="s">
        <v>10</v>
      </c>
      <c r="C36" s="6">
        <v>4788.6899999999996</v>
      </c>
      <c r="D36" s="7">
        <v>82.5</v>
      </c>
      <c r="E36" s="37">
        <f t="shared" si="0"/>
        <v>395066.92499999999</v>
      </c>
      <c r="F36" s="37">
        <f t="shared" si="1"/>
        <v>27654.68475</v>
      </c>
      <c r="G36" s="37">
        <f t="shared" si="2"/>
        <v>422721.60975</v>
      </c>
      <c r="I36">
        <v>6905180</v>
      </c>
    </row>
    <row r="37" spans="1:9" ht="18" customHeight="1" x14ac:dyDescent="0.4">
      <c r="A37" s="4" t="s">
        <v>793</v>
      </c>
      <c r="B37" s="5" t="s">
        <v>10</v>
      </c>
      <c r="C37" s="6">
        <v>4787.45</v>
      </c>
      <c r="D37" s="7">
        <v>82.5</v>
      </c>
      <c r="E37" s="37">
        <f t="shared" si="0"/>
        <v>394964.625</v>
      </c>
      <c r="F37" s="37">
        <f t="shared" si="1"/>
        <v>27647.523750000004</v>
      </c>
      <c r="G37" s="37">
        <f t="shared" si="2"/>
        <v>422612.14874999999</v>
      </c>
      <c r="I37">
        <v>6905194</v>
      </c>
    </row>
    <row r="38" spans="1:9" ht="18" customHeight="1" x14ac:dyDescent="0.4">
      <c r="A38" s="4" t="s">
        <v>801</v>
      </c>
      <c r="B38" s="5" t="s">
        <v>10</v>
      </c>
      <c r="C38" s="6">
        <v>4781.54</v>
      </c>
      <c r="D38" s="7">
        <v>82.5</v>
      </c>
      <c r="E38" s="37">
        <f t="shared" si="0"/>
        <v>394477.05</v>
      </c>
      <c r="F38" s="37">
        <f t="shared" si="1"/>
        <v>27613.393500000002</v>
      </c>
      <c r="G38" s="37">
        <f t="shared" si="2"/>
        <v>422090.44349999999</v>
      </c>
      <c r="I38">
        <v>6905205</v>
      </c>
    </row>
    <row r="39" spans="1:9" ht="18" customHeight="1" x14ac:dyDescent="0.4">
      <c r="A39" s="4" t="s">
        <v>794</v>
      </c>
      <c r="B39" s="5" t="s">
        <v>10</v>
      </c>
      <c r="C39" s="6">
        <v>4795.8999999999996</v>
      </c>
      <c r="D39" s="7">
        <v>82.5</v>
      </c>
      <c r="E39" s="37">
        <f t="shared" si="0"/>
        <v>395661.74999999994</v>
      </c>
      <c r="F39" s="37">
        <f t="shared" si="1"/>
        <v>27696.322499999998</v>
      </c>
      <c r="G39" s="37">
        <f t="shared" si="2"/>
        <v>423358.07249999995</v>
      </c>
      <c r="I39">
        <v>6905221</v>
      </c>
    </row>
    <row r="40" spans="1:9" ht="18" customHeight="1" x14ac:dyDescent="0.4">
      <c r="A40" s="4" t="s">
        <v>806</v>
      </c>
      <c r="B40" s="5" t="s">
        <v>10</v>
      </c>
      <c r="C40" s="6">
        <v>4796.87</v>
      </c>
      <c r="D40" s="7">
        <v>82.5</v>
      </c>
      <c r="E40" s="37">
        <f t="shared" si="0"/>
        <v>395741.77499999997</v>
      </c>
      <c r="F40" s="37">
        <f t="shared" si="1"/>
        <v>27701.92425</v>
      </c>
      <c r="G40" s="37">
        <f t="shared" si="2"/>
        <v>423443.69924999995</v>
      </c>
      <c r="I40">
        <v>6905240</v>
      </c>
    </row>
    <row r="41" spans="1:9" ht="18" customHeight="1" x14ac:dyDescent="0.4">
      <c r="A41" s="4" t="s">
        <v>795</v>
      </c>
      <c r="B41" s="5" t="s">
        <v>10</v>
      </c>
      <c r="C41" s="6">
        <v>4777.9399999999996</v>
      </c>
      <c r="D41" s="7">
        <v>82.5</v>
      </c>
      <c r="E41" s="37">
        <f t="shared" si="0"/>
        <v>394180.05</v>
      </c>
      <c r="F41" s="37">
        <f t="shared" si="1"/>
        <v>27592.603500000001</v>
      </c>
      <c r="G41" s="37">
        <f t="shared" si="2"/>
        <v>421772.65350000001</v>
      </c>
      <c r="I41">
        <v>6905246</v>
      </c>
    </row>
    <row r="42" spans="1:9" ht="18" customHeight="1" x14ac:dyDescent="0.4">
      <c r="A42" s="4" t="s">
        <v>807</v>
      </c>
      <c r="B42" s="5" t="s">
        <v>10</v>
      </c>
      <c r="C42" s="6">
        <v>4788.5</v>
      </c>
      <c r="D42" s="7">
        <v>82.5</v>
      </c>
      <c r="E42" s="37">
        <f t="shared" si="0"/>
        <v>395051.25</v>
      </c>
      <c r="F42" s="37">
        <f t="shared" si="1"/>
        <v>27653.587500000001</v>
      </c>
      <c r="G42" s="37">
        <f t="shared" si="2"/>
        <v>422704.83750000002</v>
      </c>
      <c r="I42">
        <v>6905257</v>
      </c>
    </row>
    <row r="43" spans="1:9" ht="18" customHeight="1" x14ac:dyDescent="0.4">
      <c r="A43" s="4" t="s">
        <v>808</v>
      </c>
      <c r="B43" s="5" t="s">
        <v>10</v>
      </c>
      <c r="C43" s="6">
        <v>4786.8</v>
      </c>
      <c r="D43" s="7">
        <v>82.5</v>
      </c>
      <c r="E43" s="37">
        <f t="shared" si="0"/>
        <v>394911</v>
      </c>
      <c r="F43" s="37">
        <f t="shared" si="1"/>
        <v>27643.770000000004</v>
      </c>
      <c r="G43" s="37">
        <f t="shared" si="2"/>
        <v>422554.77</v>
      </c>
      <c r="I43">
        <v>6905272</v>
      </c>
    </row>
    <row r="44" spans="1:9" ht="18" customHeight="1" x14ac:dyDescent="0.4">
      <c r="A44" s="4" t="s">
        <v>809</v>
      </c>
      <c r="B44" s="5" t="s">
        <v>10</v>
      </c>
      <c r="C44" s="6">
        <v>4793.29</v>
      </c>
      <c r="D44" s="7">
        <v>82.5</v>
      </c>
      <c r="E44" s="37">
        <f t="shared" si="0"/>
        <v>395446.42499999999</v>
      </c>
      <c r="F44" s="37">
        <f t="shared" si="1"/>
        <v>27681.249750000003</v>
      </c>
      <c r="G44" s="37">
        <f t="shared" si="2"/>
        <v>423127.67475000001</v>
      </c>
      <c r="I44">
        <v>6905277</v>
      </c>
    </row>
    <row r="45" spans="1:9" ht="18" customHeight="1" x14ac:dyDescent="0.4">
      <c r="A45" s="4" t="s">
        <v>810</v>
      </c>
      <c r="B45" s="5" t="s">
        <v>10</v>
      </c>
      <c r="C45" s="6">
        <v>4778.5200000000004</v>
      </c>
      <c r="D45" s="7">
        <v>82.5</v>
      </c>
      <c r="E45" s="37">
        <f t="shared" si="0"/>
        <v>394227.9</v>
      </c>
      <c r="F45" s="37">
        <f t="shared" si="1"/>
        <v>27595.953000000005</v>
      </c>
      <c r="G45" s="37">
        <f t="shared" si="2"/>
        <v>421823.853</v>
      </c>
      <c r="I45">
        <v>6905312</v>
      </c>
    </row>
    <row r="46" spans="1:9" ht="18" customHeight="1" x14ac:dyDescent="0.4">
      <c r="A46" s="4" t="s">
        <v>811</v>
      </c>
      <c r="B46" s="5" t="s">
        <v>10</v>
      </c>
      <c r="C46" s="6">
        <v>4783.26</v>
      </c>
      <c r="D46" s="7">
        <v>82.5</v>
      </c>
      <c r="E46" s="37">
        <f t="shared" si="0"/>
        <v>394618.95</v>
      </c>
      <c r="F46" s="37">
        <f t="shared" si="1"/>
        <v>27623.326500000003</v>
      </c>
      <c r="G46" s="37">
        <f t="shared" si="2"/>
        <v>422242.27650000004</v>
      </c>
      <c r="I46">
        <v>6905322</v>
      </c>
    </row>
    <row r="47" spans="1:9" ht="18" customHeight="1" x14ac:dyDescent="0.4">
      <c r="A47" s="4" t="s">
        <v>812</v>
      </c>
      <c r="B47" s="5" t="s">
        <v>10</v>
      </c>
      <c r="C47" s="6">
        <v>4788.8500000000004</v>
      </c>
      <c r="D47" s="7">
        <v>82.5</v>
      </c>
      <c r="E47" s="37">
        <f t="shared" si="0"/>
        <v>395080.12500000006</v>
      </c>
      <c r="F47" s="37">
        <f t="shared" si="1"/>
        <v>27655.608750000007</v>
      </c>
      <c r="G47" s="37">
        <f t="shared" si="2"/>
        <v>422735.73375000007</v>
      </c>
      <c r="I47">
        <v>6905342</v>
      </c>
    </row>
    <row r="48" spans="1:9" ht="18" customHeight="1" x14ac:dyDescent="0.4">
      <c r="A48" s="4" t="s">
        <v>799</v>
      </c>
      <c r="B48" s="5" t="s">
        <v>10</v>
      </c>
      <c r="C48" s="6">
        <v>4777.7</v>
      </c>
      <c r="D48" s="7">
        <v>82.5</v>
      </c>
      <c r="E48" s="37">
        <f t="shared" si="0"/>
        <v>394160.25</v>
      </c>
      <c r="F48" s="37">
        <f t="shared" si="1"/>
        <v>27591.217500000002</v>
      </c>
      <c r="G48" s="37">
        <f t="shared" si="2"/>
        <v>421751.46750000003</v>
      </c>
      <c r="I48">
        <v>6905351</v>
      </c>
    </row>
    <row r="49" spans="1:16" ht="18" customHeight="1" x14ac:dyDescent="0.4">
      <c r="A49" s="4" t="s">
        <v>794</v>
      </c>
      <c r="B49" s="275" t="s">
        <v>813</v>
      </c>
      <c r="C49" s="333">
        <v>1986.96</v>
      </c>
      <c r="D49" s="334">
        <v>130</v>
      </c>
      <c r="E49" s="37">
        <f t="shared" si="0"/>
        <v>258304.80000000002</v>
      </c>
      <c r="F49" s="37">
        <f t="shared" si="1"/>
        <v>18081.336000000003</v>
      </c>
      <c r="G49" s="37">
        <f t="shared" si="2"/>
        <v>276386.136</v>
      </c>
      <c r="H49" s="273" t="s">
        <v>392</v>
      </c>
      <c r="I49">
        <v>6905223</v>
      </c>
    </row>
    <row r="50" spans="1:16" ht="18" customHeight="1" x14ac:dyDescent="0.4">
      <c r="A50" s="4" t="s">
        <v>809</v>
      </c>
      <c r="B50" s="275" t="s">
        <v>814</v>
      </c>
      <c r="C50" s="333">
        <v>989.65</v>
      </c>
      <c r="D50" s="334">
        <v>130</v>
      </c>
      <c r="E50" s="37">
        <f t="shared" si="0"/>
        <v>128654.5</v>
      </c>
      <c r="F50" s="37">
        <f t="shared" si="1"/>
        <v>9005.8150000000005</v>
      </c>
      <c r="G50" s="37">
        <f t="shared" si="2"/>
        <v>137660.315</v>
      </c>
      <c r="H50" s="273" t="s">
        <v>392</v>
      </c>
      <c r="I50">
        <v>63905278</v>
      </c>
    </row>
    <row r="51" spans="1:16" ht="18" customHeight="1" thickBot="1" x14ac:dyDescent="0.45">
      <c r="A51" s="16"/>
      <c r="B51" s="17" t="s">
        <v>15</v>
      </c>
      <c r="C51" s="18">
        <f>SUM(C4:C50)</f>
        <v>162967.37</v>
      </c>
      <c r="D51" s="66"/>
      <c r="E51" s="20">
        <f>SUM(E4:E50)</f>
        <v>13586197.000000002</v>
      </c>
      <c r="F51" s="20">
        <f>SUM(F4:F50)</f>
        <v>951033.78999999992</v>
      </c>
      <c r="G51" s="20">
        <f>SUM(G4:G50)</f>
        <v>14537230.789999997</v>
      </c>
    </row>
    <row r="52" spans="1:16" ht="18.75" customHeight="1" thickTop="1" x14ac:dyDescent="0.4">
      <c r="A52" s="21"/>
      <c r="B52" s="22"/>
      <c r="C52" s="23"/>
      <c r="D52" s="140"/>
      <c r="E52" s="23"/>
      <c r="F52" s="25"/>
      <c r="G52" s="23"/>
    </row>
    <row r="53" spans="1:16" s="26" customFormat="1" ht="23.25" x14ac:dyDescent="0.45">
      <c r="A53" s="362" t="s">
        <v>16</v>
      </c>
      <c r="B53" s="362"/>
      <c r="C53" s="362"/>
      <c r="D53" s="362"/>
      <c r="E53" s="362"/>
      <c r="F53" s="362"/>
      <c r="G53" s="362"/>
    </row>
    <row r="54" spans="1:16" s="30" customFormat="1" ht="18" customHeight="1" x14ac:dyDescent="0.5">
      <c r="A54" s="27" t="s">
        <v>2</v>
      </c>
      <c r="B54" s="28" t="s">
        <v>3</v>
      </c>
      <c r="C54" s="28" t="s">
        <v>4</v>
      </c>
      <c r="D54" s="29" t="s">
        <v>5</v>
      </c>
      <c r="E54" s="28" t="s">
        <v>6</v>
      </c>
      <c r="F54" s="28" t="s">
        <v>7</v>
      </c>
      <c r="G54" s="28" t="s">
        <v>8</v>
      </c>
      <c r="P54" s="26"/>
    </row>
    <row r="55" spans="1:16" s="30" customFormat="1" ht="18" customHeight="1" x14ac:dyDescent="0.5">
      <c r="A55" s="31" t="s">
        <v>785</v>
      </c>
      <c r="B55" s="32" t="s">
        <v>182</v>
      </c>
      <c r="C55" s="33">
        <v>254.85</v>
      </c>
      <c r="D55" s="34">
        <v>85</v>
      </c>
      <c r="E55" s="35">
        <f>+C55*D55</f>
        <v>21662.25</v>
      </c>
      <c r="F55" s="35">
        <f>+E55*7%</f>
        <v>1516.3575000000001</v>
      </c>
      <c r="G55" s="35">
        <f>+E55+F55</f>
        <v>23178.607499999998</v>
      </c>
      <c r="I55" s="30">
        <v>6905158</v>
      </c>
    </row>
    <row r="56" spans="1:16" s="30" customFormat="1" ht="18" customHeight="1" x14ac:dyDescent="0.5">
      <c r="A56" s="31" t="s">
        <v>791</v>
      </c>
      <c r="B56" s="32" t="s">
        <v>182</v>
      </c>
      <c r="C56" s="33">
        <v>518.15</v>
      </c>
      <c r="D56" s="34">
        <v>85</v>
      </c>
      <c r="E56" s="35">
        <f>+C56*D56</f>
        <v>44042.75</v>
      </c>
      <c r="F56" s="35">
        <f>+E56*7%</f>
        <v>3082.9925000000003</v>
      </c>
      <c r="G56" s="35">
        <f>+E56+F56</f>
        <v>47125.7425</v>
      </c>
      <c r="I56" s="30">
        <v>6905170</v>
      </c>
    </row>
    <row r="57" spans="1:16" s="36" customFormat="1" ht="18" customHeight="1" x14ac:dyDescent="0.4">
      <c r="A57" s="31" t="s">
        <v>790</v>
      </c>
      <c r="B57" s="32" t="s">
        <v>17</v>
      </c>
      <c r="C57" s="33">
        <v>2003.45</v>
      </c>
      <c r="D57" s="34">
        <v>85</v>
      </c>
      <c r="E57" s="35">
        <f>+C57*D57</f>
        <v>170293.25</v>
      </c>
      <c r="F57" s="35">
        <f>+E57*7%</f>
        <v>11920.527500000002</v>
      </c>
      <c r="G57" s="35">
        <f>+E57+F57</f>
        <v>182213.7775</v>
      </c>
      <c r="I57" s="36">
        <v>6905117</v>
      </c>
    </row>
    <row r="58" spans="1:16" s="36" customFormat="1" ht="18" customHeight="1" x14ac:dyDescent="0.4">
      <c r="A58" s="16" t="s">
        <v>787</v>
      </c>
      <c r="B58" s="5" t="s">
        <v>18</v>
      </c>
      <c r="C58" s="37">
        <v>2541.65</v>
      </c>
      <c r="D58" s="38">
        <v>85</v>
      </c>
      <c r="E58" s="39">
        <f t="shared" ref="E58:E91" si="3">+C58*D58</f>
        <v>216040.25</v>
      </c>
      <c r="F58" s="39">
        <f t="shared" ref="F58:F91" si="4">+E58*7%</f>
        <v>15122.817500000001</v>
      </c>
      <c r="G58" s="39">
        <f t="shared" ref="G58:G91" si="5">+E58+F58</f>
        <v>231163.0675</v>
      </c>
      <c r="I58" s="36">
        <v>6905057</v>
      </c>
    </row>
    <row r="59" spans="1:16" s="36" customFormat="1" ht="18" customHeight="1" x14ac:dyDescent="0.4">
      <c r="A59" s="16" t="s">
        <v>790</v>
      </c>
      <c r="B59" s="5" t="s">
        <v>19</v>
      </c>
      <c r="C59" s="37">
        <v>3121.35</v>
      </c>
      <c r="D59" s="38">
        <v>85</v>
      </c>
      <c r="E59" s="39">
        <f t="shared" si="3"/>
        <v>265314.75</v>
      </c>
      <c r="F59" s="39">
        <f t="shared" si="4"/>
        <v>18572.032500000001</v>
      </c>
      <c r="G59" s="39">
        <f t="shared" si="5"/>
        <v>283886.78249999997</v>
      </c>
      <c r="I59" s="36">
        <v>6905116</v>
      </c>
    </row>
    <row r="60" spans="1:16" s="36" customFormat="1" ht="18" customHeight="1" x14ac:dyDescent="0.4">
      <c r="A60" s="16" t="s">
        <v>785</v>
      </c>
      <c r="B60" s="5" t="s">
        <v>19</v>
      </c>
      <c r="C60" s="37">
        <v>1373.45</v>
      </c>
      <c r="D60" s="38">
        <v>85</v>
      </c>
      <c r="E60" s="39">
        <f t="shared" si="3"/>
        <v>116743.25</v>
      </c>
      <c r="F60" s="39">
        <f t="shared" si="4"/>
        <v>8172.0275000000011</v>
      </c>
      <c r="G60" s="39">
        <f t="shared" si="5"/>
        <v>124915.2775</v>
      </c>
      <c r="I60" s="36">
        <v>6905157</v>
      </c>
    </row>
    <row r="61" spans="1:16" ht="18" customHeight="1" x14ac:dyDescent="0.4">
      <c r="A61" s="16" t="s">
        <v>791</v>
      </c>
      <c r="B61" s="5" t="s">
        <v>19</v>
      </c>
      <c r="C61" s="37">
        <v>395.35</v>
      </c>
      <c r="D61" s="38">
        <v>85</v>
      </c>
      <c r="E61" s="39">
        <f t="shared" si="3"/>
        <v>33604.75</v>
      </c>
      <c r="F61" s="39">
        <f t="shared" si="4"/>
        <v>2352.3325000000004</v>
      </c>
      <c r="G61" s="39">
        <f t="shared" si="5"/>
        <v>35957.082500000004</v>
      </c>
      <c r="I61" s="36">
        <v>6905169</v>
      </c>
    </row>
    <row r="62" spans="1:16" ht="18" customHeight="1" x14ac:dyDescent="0.4">
      <c r="A62" s="16" t="s">
        <v>797</v>
      </c>
      <c r="B62" s="5" t="s">
        <v>19</v>
      </c>
      <c r="C62" s="37">
        <v>2511.6</v>
      </c>
      <c r="D62" s="38">
        <v>85</v>
      </c>
      <c r="E62" s="39">
        <f t="shared" si="3"/>
        <v>213486</v>
      </c>
      <c r="F62" s="39">
        <f t="shared" si="4"/>
        <v>14944.020000000002</v>
      </c>
      <c r="G62" s="39">
        <f t="shared" si="5"/>
        <v>228430.02</v>
      </c>
      <c r="I62" s="36">
        <v>6905294</v>
      </c>
    </row>
    <row r="63" spans="1:16" ht="18" customHeight="1" x14ac:dyDescent="0.4">
      <c r="A63" s="16" t="s">
        <v>788</v>
      </c>
      <c r="B63" s="5" t="s">
        <v>815</v>
      </c>
      <c r="C63" s="37">
        <v>1890.7</v>
      </c>
      <c r="D63" s="38">
        <v>100</v>
      </c>
      <c r="E63" s="39">
        <f t="shared" si="3"/>
        <v>189070</v>
      </c>
      <c r="F63" s="39">
        <f t="shared" si="4"/>
        <v>13234.900000000001</v>
      </c>
      <c r="G63" s="39">
        <f t="shared" si="5"/>
        <v>202304.9</v>
      </c>
      <c r="I63">
        <v>6905086</v>
      </c>
    </row>
    <row r="64" spans="1:16" ht="18" customHeight="1" x14ac:dyDescent="0.4">
      <c r="A64" s="16" t="s">
        <v>794</v>
      </c>
      <c r="B64" s="5" t="s">
        <v>23</v>
      </c>
      <c r="C64" s="37">
        <v>4852.8500000000004</v>
      </c>
      <c r="D64" s="38">
        <v>85</v>
      </c>
      <c r="E64" s="39">
        <f t="shared" si="3"/>
        <v>412492.25000000006</v>
      </c>
      <c r="F64" s="39">
        <f t="shared" si="4"/>
        <v>28874.457500000008</v>
      </c>
      <c r="G64" s="39">
        <f t="shared" si="5"/>
        <v>441366.70750000008</v>
      </c>
      <c r="I64" s="36">
        <v>6905220</v>
      </c>
    </row>
    <row r="65" spans="1:9" ht="18" customHeight="1" x14ac:dyDescent="0.4">
      <c r="A65" s="16" t="s">
        <v>796</v>
      </c>
      <c r="B65" s="5" t="s">
        <v>23</v>
      </c>
      <c r="C65" s="37">
        <v>4754.8500000000004</v>
      </c>
      <c r="D65" s="38">
        <v>85</v>
      </c>
      <c r="E65" s="39">
        <f t="shared" si="3"/>
        <v>404162.25000000006</v>
      </c>
      <c r="F65" s="39">
        <f t="shared" si="4"/>
        <v>28291.357500000006</v>
      </c>
      <c r="G65" s="39">
        <f t="shared" si="5"/>
        <v>432453.60750000004</v>
      </c>
      <c r="I65" s="36">
        <v>6905270</v>
      </c>
    </row>
    <row r="66" spans="1:9" ht="18" customHeight="1" x14ac:dyDescent="0.4">
      <c r="A66" s="16" t="s">
        <v>788</v>
      </c>
      <c r="B66" s="5" t="s">
        <v>618</v>
      </c>
      <c r="C66" s="37">
        <v>6025.45</v>
      </c>
      <c r="D66" s="38">
        <v>100</v>
      </c>
      <c r="E66" s="39">
        <f t="shared" si="3"/>
        <v>602545</v>
      </c>
      <c r="F66" s="39">
        <f t="shared" si="4"/>
        <v>42178.15</v>
      </c>
      <c r="G66" s="39">
        <f t="shared" si="5"/>
        <v>644723.15</v>
      </c>
      <c r="I66">
        <v>6905073</v>
      </c>
    </row>
    <row r="67" spans="1:9" ht="18" customHeight="1" x14ac:dyDescent="0.4">
      <c r="A67" s="16" t="s">
        <v>801</v>
      </c>
      <c r="B67" s="5" t="s">
        <v>618</v>
      </c>
      <c r="C67" s="37">
        <v>6015.9</v>
      </c>
      <c r="D67" s="38">
        <v>100</v>
      </c>
      <c r="E67" s="39">
        <f t="shared" si="3"/>
        <v>601590</v>
      </c>
      <c r="F67" s="39">
        <f t="shared" si="4"/>
        <v>42111.3</v>
      </c>
      <c r="G67" s="39">
        <f t="shared" si="5"/>
        <v>643701.30000000005</v>
      </c>
      <c r="I67">
        <v>6905202</v>
      </c>
    </row>
    <row r="68" spans="1:9" ht="18" customHeight="1" x14ac:dyDescent="0.4">
      <c r="A68" s="16" t="s">
        <v>806</v>
      </c>
      <c r="B68" s="5" t="s">
        <v>618</v>
      </c>
      <c r="C68" s="37">
        <v>5964.65</v>
      </c>
      <c r="D68" s="38">
        <v>100</v>
      </c>
      <c r="E68" s="39">
        <f t="shared" si="3"/>
        <v>596465</v>
      </c>
      <c r="F68" s="39">
        <f t="shared" si="4"/>
        <v>41752.550000000003</v>
      </c>
      <c r="G68" s="39">
        <f t="shared" si="5"/>
        <v>638217.55000000005</v>
      </c>
      <c r="I68">
        <v>6905241</v>
      </c>
    </row>
    <row r="69" spans="1:9" ht="18" customHeight="1" x14ac:dyDescent="0.4">
      <c r="A69" s="16" t="s">
        <v>804</v>
      </c>
      <c r="B69" s="5" t="s">
        <v>714</v>
      </c>
      <c r="C69" s="37">
        <v>1884.51</v>
      </c>
      <c r="D69" s="38">
        <v>85</v>
      </c>
      <c r="E69" s="39">
        <f t="shared" si="3"/>
        <v>160183.35</v>
      </c>
      <c r="F69" s="39">
        <f t="shared" si="4"/>
        <v>11212.834500000001</v>
      </c>
      <c r="G69" s="39">
        <f t="shared" si="5"/>
        <v>171396.1845</v>
      </c>
      <c r="I69">
        <v>6905144</v>
      </c>
    </row>
    <row r="70" spans="1:9" ht="18" customHeight="1" x14ac:dyDescent="0.4">
      <c r="A70" s="16" t="s">
        <v>785</v>
      </c>
      <c r="B70" s="5" t="s">
        <v>714</v>
      </c>
      <c r="C70" s="37">
        <v>961.27</v>
      </c>
      <c r="D70" s="38">
        <v>85</v>
      </c>
      <c r="E70" s="39">
        <f t="shared" si="3"/>
        <v>81707.95</v>
      </c>
      <c r="F70" s="39">
        <f t="shared" si="4"/>
        <v>5719.5565000000006</v>
      </c>
      <c r="G70" s="39">
        <f t="shared" si="5"/>
        <v>87427.506500000003</v>
      </c>
      <c r="I70">
        <v>6905159</v>
      </c>
    </row>
    <row r="71" spans="1:9" ht="18" customHeight="1" x14ac:dyDescent="0.4">
      <c r="A71" s="16" t="s">
        <v>793</v>
      </c>
      <c r="B71" s="5" t="s">
        <v>714</v>
      </c>
      <c r="C71" s="37">
        <v>1885.01</v>
      </c>
      <c r="D71" s="38">
        <v>85</v>
      </c>
      <c r="E71" s="39">
        <f t="shared" si="3"/>
        <v>160225.85</v>
      </c>
      <c r="F71" s="39">
        <f t="shared" si="4"/>
        <v>11215.809500000001</v>
      </c>
      <c r="G71" s="39">
        <f t="shared" si="5"/>
        <v>171441.65950000001</v>
      </c>
      <c r="I71">
        <v>6905196</v>
      </c>
    </row>
    <row r="72" spans="1:9" ht="18" customHeight="1" x14ac:dyDescent="0.4">
      <c r="A72" s="4" t="s">
        <v>786</v>
      </c>
      <c r="B72" s="5" t="s">
        <v>485</v>
      </c>
      <c r="C72" s="6">
        <v>4022.1</v>
      </c>
      <c r="D72" s="40">
        <v>85</v>
      </c>
      <c r="E72" s="39">
        <f t="shared" si="3"/>
        <v>341878.5</v>
      </c>
      <c r="F72" s="39">
        <f t="shared" si="4"/>
        <v>23931.495000000003</v>
      </c>
      <c r="G72" s="39">
        <f t="shared" si="5"/>
        <v>365809.995</v>
      </c>
      <c r="I72">
        <v>6904013</v>
      </c>
    </row>
    <row r="73" spans="1:9" ht="18" customHeight="1" x14ac:dyDescent="0.4">
      <c r="A73" s="4" t="s">
        <v>800</v>
      </c>
      <c r="B73" s="5" t="s">
        <v>485</v>
      </c>
      <c r="C73" s="6">
        <v>845.7</v>
      </c>
      <c r="D73" s="40">
        <v>85</v>
      </c>
      <c r="E73" s="39">
        <f t="shared" si="3"/>
        <v>71884.5</v>
      </c>
      <c r="F73" s="39">
        <f t="shared" si="4"/>
        <v>5031.9150000000009</v>
      </c>
      <c r="G73" s="39">
        <f t="shared" si="5"/>
        <v>76916.415000000008</v>
      </c>
      <c r="I73">
        <v>6905023</v>
      </c>
    </row>
    <row r="74" spans="1:9" ht="18" customHeight="1" x14ac:dyDescent="0.4">
      <c r="A74" s="4" t="s">
        <v>789</v>
      </c>
      <c r="B74" s="5" t="s">
        <v>485</v>
      </c>
      <c r="C74" s="6">
        <v>3207.2</v>
      </c>
      <c r="D74" s="40">
        <v>85</v>
      </c>
      <c r="E74" s="39">
        <f t="shared" si="3"/>
        <v>272612</v>
      </c>
      <c r="F74" s="39">
        <f t="shared" si="4"/>
        <v>19082.84</v>
      </c>
      <c r="G74" s="39">
        <f t="shared" si="5"/>
        <v>291694.84000000003</v>
      </c>
      <c r="I74">
        <v>6905095</v>
      </c>
    </row>
    <row r="75" spans="1:9" ht="18" customHeight="1" x14ac:dyDescent="0.4">
      <c r="A75" s="4" t="s">
        <v>790</v>
      </c>
      <c r="B75" s="5" t="s">
        <v>485</v>
      </c>
      <c r="C75" s="6">
        <v>840.45</v>
      </c>
      <c r="D75" s="40">
        <v>85</v>
      </c>
      <c r="E75" s="39">
        <f t="shared" si="3"/>
        <v>71438.25</v>
      </c>
      <c r="F75" s="39">
        <f t="shared" si="4"/>
        <v>5000.6775000000007</v>
      </c>
      <c r="G75" s="39">
        <f t="shared" si="5"/>
        <v>76438.927500000005</v>
      </c>
      <c r="I75">
        <v>6905121</v>
      </c>
    </row>
    <row r="76" spans="1:9" ht="18" customHeight="1" x14ac:dyDescent="0.4">
      <c r="A76" s="4" t="s">
        <v>785</v>
      </c>
      <c r="B76" s="5" t="s">
        <v>485</v>
      </c>
      <c r="C76" s="6">
        <v>5047.6499999999996</v>
      </c>
      <c r="D76" s="40">
        <v>85</v>
      </c>
      <c r="E76" s="39">
        <f t="shared" si="3"/>
        <v>429050.24999999994</v>
      </c>
      <c r="F76" s="39">
        <f t="shared" si="4"/>
        <v>30033.517499999998</v>
      </c>
      <c r="G76" s="39">
        <f t="shared" si="5"/>
        <v>459083.76749999996</v>
      </c>
      <c r="I76">
        <v>6905160</v>
      </c>
    </row>
    <row r="77" spans="1:9" ht="18" customHeight="1" x14ac:dyDescent="0.4">
      <c r="A77" s="4" t="s">
        <v>795</v>
      </c>
      <c r="B77" s="5" t="s">
        <v>485</v>
      </c>
      <c r="C77" s="6">
        <v>1873</v>
      </c>
      <c r="D77" s="40">
        <v>85</v>
      </c>
      <c r="E77" s="39">
        <f t="shared" si="3"/>
        <v>159205</v>
      </c>
      <c r="F77" s="39">
        <f t="shared" si="4"/>
        <v>11144.35</v>
      </c>
      <c r="G77" s="39">
        <f t="shared" si="5"/>
        <v>170349.35</v>
      </c>
      <c r="I77">
        <v>6905254</v>
      </c>
    </row>
    <row r="78" spans="1:9" ht="18" customHeight="1" x14ac:dyDescent="0.4">
      <c r="A78" s="4" t="s">
        <v>810</v>
      </c>
      <c r="B78" s="5" t="s">
        <v>485</v>
      </c>
      <c r="C78" s="6">
        <v>1205.0999999999999</v>
      </c>
      <c r="D78" s="40">
        <v>85</v>
      </c>
      <c r="E78" s="39">
        <f t="shared" si="3"/>
        <v>102433.49999999999</v>
      </c>
      <c r="F78" s="39">
        <f t="shared" si="4"/>
        <v>7170.3449999999993</v>
      </c>
      <c r="G78" s="39">
        <f t="shared" si="5"/>
        <v>109603.84499999999</v>
      </c>
      <c r="I78">
        <v>6905311</v>
      </c>
    </row>
    <row r="79" spans="1:9" ht="18" customHeight="1" x14ac:dyDescent="0.4">
      <c r="A79" s="4" t="s">
        <v>798</v>
      </c>
      <c r="B79" s="5" t="s">
        <v>485</v>
      </c>
      <c r="C79" s="6">
        <v>1307.1500000000001</v>
      </c>
      <c r="D79" s="40">
        <v>85</v>
      </c>
      <c r="E79" s="39">
        <f t="shared" si="3"/>
        <v>111107.75000000001</v>
      </c>
      <c r="F79" s="39">
        <f t="shared" si="4"/>
        <v>7777.5425000000014</v>
      </c>
      <c r="G79" s="39">
        <f t="shared" si="5"/>
        <v>118885.29250000001</v>
      </c>
      <c r="I79">
        <v>6905341</v>
      </c>
    </row>
    <row r="80" spans="1:9" ht="18" customHeight="1" x14ac:dyDescent="0.4">
      <c r="A80" s="4" t="s">
        <v>812</v>
      </c>
      <c r="B80" s="5" t="s">
        <v>485</v>
      </c>
      <c r="C80" s="6">
        <v>3099</v>
      </c>
      <c r="D80" s="40">
        <v>85</v>
      </c>
      <c r="E80" s="39">
        <f t="shared" si="3"/>
        <v>263415</v>
      </c>
      <c r="F80" s="39">
        <f t="shared" si="4"/>
        <v>18439.050000000003</v>
      </c>
      <c r="G80" s="39">
        <f t="shared" si="5"/>
        <v>281854.05</v>
      </c>
      <c r="I80">
        <v>6905345</v>
      </c>
    </row>
    <row r="81" spans="1:9" ht="18" customHeight="1" x14ac:dyDescent="0.4">
      <c r="A81" s="4" t="s">
        <v>799</v>
      </c>
      <c r="B81" s="5" t="s">
        <v>485</v>
      </c>
      <c r="C81" s="6">
        <v>2083.3000000000002</v>
      </c>
      <c r="D81" s="40">
        <v>85</v>
      </c>
      <c r="E81" s="39">
        <f t="shared" si="3"/>
        <v>177080.50000000003</v>
      </c>
      <c r="F81" s="39">
        <f t="shared" si="4"/>
        <v>12395.635000000004</v>
      </c>
      <c r="G81" s="39">
        <f t="shared" si="5"/>
        <v>189476.13500000004</v>
      </c>
      <c r="I81">
        <v>6905357</v>
      </c>
    </row>
    <row r="82" spans="1:9" ht="18" customHeight="1" x14ac:dyDescent="0.4">
      <c r="A82" s="4" t="s">
        <v>800</v>
      </c>
      <c r="B82" s="5" t="s">
        <v>816</v>
      </c>
      <c r="C82" s="6">
        <v>6004.15</v>
      </c>
      <c r="D82" s="40">
        <v>100</v>
      </c>
      <c r="E82" s="39">
        <f t="shared" si="3"/>
        <v>600415</v>
      </c>
      <c r="F82" s="39">
        <f t="shared" si="4"/>
        <v>42029.05</v>
      </c>
      <c r="G82" s="39">
        <f t="shared" si="5"/>
        <v>642444.05000000005</v>
      </c>
      <c r="I82">
        <v>6905017</v>
      </c>
    </row>
    <row r="83" spans="1:9" ht="18" customHeight="1" x14ac:dyDescent="0.4">
      <c r="A83" s="4" t="s">
        <v>800</v>
      </c>
      <c r="B83" s="5" t="s">
        <v>486</v>
      </c>
      <c r="C83" s="6">
        <v>2037.1</v>
      </c>
      <c r="D83" s="40">
        <v>100</v>
      </c>
      <c r="E83" s="39">
        <f t="shared" si="3"/>
        <v>203710</v>
      </c>
      <c r="F83" s="39">
        <f t="shared" si="4"/>
        <v>14259.7</v>
      </c>
      <c r="G83" s="39">
        <f t="shared" si="5"/>
        <v>217969.7</v>
      </c>
      <c r="I83">
        <v>6905018</v>
      </c>
    </row>
    <row r="84" spans="1:9" ht="18" customHeight="1" x14ac:dyDescent="0.4">
      <c r="A84" s="4" t="s">
        <v>803</v>
      </c>
      <c r="B84" s="5" t="s">
        <v>486</v>
      </c>
      <c r="C84" s="6">
        <v>3061.95</v>
      </c>
      <c r="D84" s="40">
        <v>100</v>
      </c>
      <c r="E84" s="39">
        <f t="shared" si="3"/>
        <v>306195</v>
      </c>
      <c r="F84" s="39">
        <f t="shared" si="4"/>
        <v>21433.65</v>
      </c>
      <c r="G84" s="39">
        <f t="shared" si="5"/>
        <v>327628.65000000002</v>
      </c>
      <c r="I84">
        <v>6905038</v>
      </c>
    </row>
    <row r="85" spans="1:9" ht="18" customHeight="1" x14ac:dyDescent="0.4">
      <c r="A85" s="4" t="s">
        <v>805</v>
      </c>
      <c r="B85" s="5" t="s">
        <v>486</v>
      </c>
      <c r="C85" s="6">
        <v>4536.95</v>
      </c>
      <c r="D85" s="40">
        <v>100</v>
      </c>
      <c r="E85" s="39">
        <f t="shared" si="3"/>
        <v>453695</v>
      </c>
      <c r="F85" s="39">
        <f t="shared" si="4"/>
        <v>31758.65</v>
      </c>
      <c r="G85" s="39">
        <f t="shared" si="5"/>
        <v>485453.65</v>
      </c>
      <c r="I85">
        <v>6905189</v>
      </c>
    </row>
    <row r="86" spans="1:9" ht="18" customHeight="1" x14ac:dyDescent="0.4">
      <c r="A86" s="4" t="s">
        <v>804</v>
      </c>
      <c r="B86" s="5" t="s">
        <v>20</v>
      </c>
      <c r="C86" s="6">
        <v>4051.5</v>
      </c>
      <c r="D86" s="40">
        <v>85</v>
      </c>
      <c r="E86" s="39">
        <f t="shared" si="3"/>
        <v>344377.5</v>
      </c>
      <c r="F86" s="39">
        <f t="shared" si="4"/>
        <v>24106.425000000003</v>
      </c>
      <c r="G86" s="39">
        <f t="shared" si="5"/>
        <v>368483.92499999999</v>
      </c>
      <c r="I86">
        <v>6905143</v>
      </c>
    </row>
    <row r="87" spans="1:9" ht="18" customHeight="1" x14ac:dyDescent="0.4">
      <c r="A87" s="4" t="s">
        <v>791</v>
      </c>
      <c r="B87" s="5" t="s">
        <v>20</v>
      </c>
      <c r="C87" s="6">
        <v>912.9</v>
      </c>
      <c r="D87" s="40">
        <v>85</v>
      </c>
      <c r="E87" s="39">
        <f t="shared" si="3"/>
        <v>77596.5</v>
      </c>
      <c r="F87" s="39">
        <f t="shared" si="4"/>
        <v>5431.7550000000001</v>
      </c>
      <c r="G87" s="39">
        <f t="shared" si="5"/>
        <v>83028.255000000005</v>
      </c>
      <c r="I87">
        <v>6905171</v>
      </c>
    </row>
    <row r="88" spans="1:9" ht="18" customHeight="1" x14ac:dyDescent="0.4">
      <c r="A88" s="4" t="s">
        <v>786</v>
      </c>
      <c r="B88" s="5" t="s">
        <v>128</v>
      </c>
      <c r="C88" s="6">
        <v>4989.7</v>
      </c>
      <c r="D88" s="40">
        <v>85</v>
      </c>
      <c r="E88" s="39">
        <f t="shared" si="3"/>
        <v>424124.5</v>
      </c>
      <c r="F88" s="39">
        <f t="shared" si="4"/>
        <v>29688.715000000004</v>
      </c>
      <c r="G88" s="39">
        <f t="shared" si="5"/>
        <v>453813.21500000003</v>
      </c>
      <c r="I88">
        <v>6904012</v>
      </c>
    </row>
    <row r="89" spans="1:9" ht="18" customHeight="1" x14ac:dyDescent="0.4">
      <c r="A89" s="4" t="s">
        <v>803</v>
      </c>
      <c r="B89" s="5" t="s">
        <v>128</v>
      </c>
      <c r="C89" s="6">
        <v>4982.45</v>
      </c>
      <c r="D89" s="40">
        <v>85</v>
      </c>
      <c r="E89" s="39">
        <f t="shared" si="3"/>
        <v>423508.25</v>
      </c>
      <c r="F89" s="39">
        <f t="shared" si="4"/>
        <v>29645.577500000003</v>
      </c>
      <c r="G89" s="39">
        <f t="shared" si="5"/>
        <v>453153.82750000001</v>
      </c>
      <c r="I89">
        <v>6905037</v>
      </c>
    </row>
    <row r="90" spans="1:9" ht="18" customHeight="1" x14ac:dyDescent="0.4">
      <c r="A90" s="4" t="s">
        <v>787</v>
      </c>
      <c r="B90" s="5" t="s">
        <v>128</v>
      </c>
      <c r="C90" s="6">
        <v>2717.05</v>
      </c>
      <c r="D90" s="40">
        <v>85</v>
      </c>
      <c r="E90" s="39">
        <f t="shared" si="3"/>
        <v>230949.25000000003</v>
      </c>
      <c r="F90" s="39">
        <f t="shared" si="4"/>
        <v>16166.447500000004</v>
      </c>
      <c r="G90" s="39">
        <f t="shared" si="5"/>
        <v>247115.69750000004</v>
      </c>
      <c r="I90">
        <v>6905056</v>
      </c>
    </row>
    <row r="91" spans="1:9" ht="18" customHeight="1" x14ac:dyDescent="0.4">
      <c r="A91" s="4" t="s">
        <v>785</v>
      </c>
      <c r="B91" s="5" t="s">
        <v>128</v>
      </c>
      <c r="C91" s="6">
        <v>2364.5</v>
      </c>
      <c r="D91" s="40">
        <v>85</v>
      </c>
      <c r="E91" s="39">
        <f t="shared" si="3"/>
        <v>200982.5</v>
      </c>
      <c r="F91" s="39">
        <f t="shared" si="4"/>
        <v>14068.775000000001</v>
      </c>
      <c r="G91" s="39">
        <f t="shared" si="5"/>
        <v>215051.27499999999</v>
      </c>
      <c r="I91">
        <v>6905156</v>
      </c>
    </row>
    <row r="92" spans="1:9" ht="18" customHeight="1" thickBot="1" x14ac:dyDescent="0.45">
      <c r="A92" s="41"/>
      <c r="B92" s="42" t="s">
        <v>15</v>
      </c>
      <c r="C92" s="43">
        <f>SUM(C55:C91)</f>
        <v>106143.93999999997</v>
      </c>
      <c r="D92" s="38"/>
      <c r="E92" s="44">
        <f>SUM(E55:E91)</f>
        <v>9555287.6500000004</v>
      </c>
      <c r="F92" s="44">
        <f t="shared" ref="F92:G92" si="6">SUM(F55:F91)</f>
        <v>668870.13549999997</v>
      </c>
      <c r="G92" s="44">
        <f t="shared" si="6"/>
        <v>10224157.785500003</v>
      </c>
    </row>
    <row r="93" spans="1:9" ht="15" customHeight="1" thickTop="1" x14ac:dyDescent="0.4">
      <c r="A93" s="45"/>
      <c r="B93" s="46"/>
      <c r="C93" s="47"/>
      <c r="D93" s="48"/>
      <c r="E93" s="47"/>
      <c r="F93" s="47"/>
      <c r="G93" s="47"/>
    </row>
    <row r="94" spans="1:9" s="26" customFormat="1" ht="23.25" x14ac:dyDescent="0.45">
      <c r="A94" s="362" t="s">
        <v>21</v>
      </c>
      <c r="B94" s="362"/>
      <c r="C94" s="362"/>
      <c r="D94" s="362"/>
      <c r="E94" s="362"/>
      <c r="F94" s="362"/>
      <c r="G94" s="362"/>
    </row>
    <row r="95" spans="1:9" s="26" customFormat="1" ht="18" customHeight="1" x14ac:dyDescent="0.45">
      <c r="A95" s="27" t="s">
        <v>2</v>
      </c>
      <c r="B95" s="28" t="s">
        <v>3</v>
      </c>
      <c r="C95" s="28" t="s">
        <v>4</v>
      </c>
      <c r="D95" s="29" t="s">
        <v>5</v>
      </c>
      <c r="E95" s="28" t="s">
        <v>6</v>
      </c>
      <c r="F95" s="28" t="s">
        <v>7</v>
      </c>
      <c r="G95" s="28" t="s">
        <v>8</v>
      </c>
    </row>
    <row r="96" spans="1:9" s="26" customFormat="1" ht="18" customHeight="1" x14ac:dyDescent="0.45">
      <c r="A96" s="4" t="s">
        <v>788</v>
      </c>
      <c r="B96" s="5" t="s">
        <v>22</v>
      </c>
      <c r="C96" s="49">
        <v>2773.05</v>
      </c>
      <c r="D96" s="40">
        <v>85</v>
      </c>
      <c r="E96" s="39">
        <f t="shared" ref="E96:E107" si="7">+C96*D96</f>
        <v>235709.25000000003</v>
      </c>
      <c r="F96" s="39">
        <f t="shared" ref="F96:F107" si="8">+E96*7%</f>
        <v>16499.647500000003</v>
      </c>
      <c r="G96" s="39">
        <f t="shared" ref="G96:G107" si="9">+E96+F96</f>
        <v>252208.89750000002</v>
      </c>
      <c r="I96" s="26">
        <v>6905074</v>
      </c>
    </row>
    <row r="97" spans="1:9" s="26" customFormat="1" ht="18" customHeight="1" x14ac:dyDescent="0.45">
      <c r="A97" s="4" t="s">
        <v>803</v>
      </c>
      <c r="B97" s="5" t="s">
        <v>24</v>
      </c>
      <c r="C97" s="49">
        <v>3067.5</v>
      </c>
      <c r="D97" s="40">
        <v>85</v>
      </c>
      <c r="E97" s="39">
        <f t="shared" si="7"/>
        <v>260737.5</v>
      </c>
      <c r="F97" s="39">
        <f t="shared" si="8"/>
        <v>18251.625</v>
      </c>
      <c r="G97" s="39">
        <f t="shared" si="9"/>
        <v>278989.125</v>
      </c>
      <c r="I97" s="26">
        <v>6905025</v>
      </c>
    </row>
    <row r="98" spans="1:9" s="26" customFormat="1" ht="18" customHeight="1" x14ac:dyDescent="0.45">
      <c r="A98" s="4" t="s">
        <v>794</v>
      </c>
      <c r="B98" s="5" t="s">
        <v>24</v>
      </c>
      <c r="C98" s="49">
        <v>2832.25</v>
      </c>
      <c r="D98" s="40">
        <v>85</v>
      </c>
      <c r="E98" s="39">
        <f t="shared" si="7"/>
        <v>240741.25</v>
      </c>
      <c r="F98" s="39">
        <f t="shared" si="8"/>
        <v>16851.887500000001</v>
      </c>
      <c r="G98" s="39">
        <f t="shared" si="9"/>
        <v>257593.13750000001</v>
      </c>
      <c r="I98" s="26">
        <v>6905232</v>
      </c>
    </row>
    <row r="99" spans="1:9" s="26" customFormat="1" ht="18" customHeight="1" x14ac:dyDescent="0.45">
      <c r="A99" s="4" t="s">
        <v>810</v>
      </c>
      <c r="B99" s="5" t="s">
        <v>24</v>
      </c>
      <c r="C99" s="49">
        <v>3023.45</v>
      </c>
      <c r="D99" s="40">
        <v>85</v>
      </c>
      <c r="E99" s="39">
        <f t="shared" si="7"/>
        <v>256993.24999999997</v>
      </c>
      <c r="F99" s="39">
        <f t="shared" si="8"/>
        <v>17989.5275</v>
      </c>
      <c r="G99" s="39">
        <f t="shared" si="9"/>
        <v>274982.77749999997</v>
      </c>
      <c r="I99" s="26">
        <v>6905310</v>
      </c>
    </row>
    <row r="100" spans="1:9" s="26" customFormat="1" ht="18" customHeight="1" x14ac:dyDescent="0.45">
      <c r="A100" s="4" t="s">
        <v>804</v>
      </c>
      <c r="B100" s="5" t="s">
        <v>263</v>
      </c>
      <c r="C100" s="49">
        <v>2862.85</v>
      </c>
      <c r="D100" s="40">
        <v>85</v>
      </c>
      <c r="E100" s="39">
        <f t="shared" si="7"/>
        <v>243342.25</v>
      </c>
      <c r="F100" s="39">
        <f t="shared" si="8"/>
        <v>17033.9575</v>
      </c>
      <c r="G100" s="39">
        <f t="shared" si="9"/>
        <v>260376.20749999999</v>
      </c>
      <c r="I100" s="26">
        <v>6905138</v>
      </c>
    </row>
    <row r="101" spans="1:9" s="26" customFormat="1" ht="18" customHeight="1" x14ac:dyDescent="0.45">
      <c r="A101" s="4" t="s">
        <v>801</v>
      </c>
      <c r="B101" s="5" t="s">
        <v>263</v>
      </c>
      <c r="C101" s="49">
        <v>2573.15</v>
      </c>
      <c r="D101" s="40">
        <v>85</v>
      </c>
      <c r="E101" s="39">
        <f t="shared" si="7"/>
        <v>218717.75</v>
      </c>
      <c r="F101" s="39">
        <f t="shared" si="8"/>
        <v>15310.242500000002</v>
      </c>
      <c r="G101" s="39">
        <f t="shared" si="9"/>
        <v>234027.99249999999</v>
      </c>
      <c r="I101" s="26">
        <v>6905201</v>
      </c>
    </row>
    <row r="102" spans="1:9" s="26" customFormat="1" ht="18" customHeight="1" x14ac:dyDescent="0.45">
      <c r="A102" s="4" t="s">
        <v>810</v>
      </c>
      <c r="B102" s="5" t="s">
        <v>263</v>
      </c>
      <c r="C102" s="49">
        <v>2993.8</v>
      </c>
      <c r="D102" s="40">
        <v>85</v>
      </c>
      <c r="E102" s="39">
        <f t="shared" si="7"/>
        <v>254473.00000000003</v>
      </c>
      <c r="F102" s="39">
        <f t="shared" si="8"/>
        <v>17813.110000000004</v>
      </c>
      <c r="G102" s="39">
        <f t="shared" si="9"/>
        <v>272286.11000000004</v>
      </c>
      <c r="I102" s="26">
        <v>6905309</v>
      </c>
    </row>
    <row r="103" spans="1:9" s="26" customFormat="1" ht="18" customHeight="1" x14ac:dyDescent="0.45">
      <c r="A103" s="4" t="s">
        <v>803</v>
      </c>
      <c r="B103" s="5" t="s">
        <v>20</v>
      </c>
      <c r="C103" s="50">
        <v>3042.95</v>
      </c>
      <c r="D103" s="40">
        <v>85</v>
      </c>
      <c r="E103" s="39">
        <f t="shared" si="7"/>
        <v>258650.74999999997</v>
      </c>
      <c r="F103" s="39">
        <f t="shared" si="8"/>
        <v>18105.552499999998</v>
      </c>
      <c r="G103" s="39">
        <f t="shared" si="9"/>
        <v>276756.30249999999</v>
      </c>
      <c r="I103" s="26">
        <v>6905026</v>
      </c>
    </row>
    <row r="104" spans="1:9" s="26" customFormat="1" ht="18" customHeight="1" x14ac:dyDescent="0.45">
      <c r="A104" s="4" t="s">
        <v>804</v>
      </c>
      <c r="B104" s="5" t="s">
        <v>20</v>
      </c>
      <c r="C104" s="50">
        <v>4038.35</v>
      </c>
      <c r="D104" s="40">
        <v>85</v>
      </c>
      <c r="E104" s="39">
        <f t="shared" si="7"/>
        <v>343259.75</v>
      </c>
      <c r="F104" s="39">
        <f t="shared" si="8"/>
        <v>24028.182500000003</v>
      </c>
      <c r="G104" s="39">
        <f t="shared" si="9"/>
        <v>367287.9325</v>
      </c>
      <c r="I104" s="26">
        <v>6905123</v>
      </c>
    </row>
    <row r="105" spans="1:9" s="26" customFormat="1" ht="18" customHeight="1" x14ac:dyDescent="0.45">
      <c r="A105" s="4" t="s">
        <v>801</v>
      </c>
      <c r="B105" s="5" t="s">
        <v>20</v>
      </c>
      <c r="C105" s="50">
        <v>2023.7</v>
      </c>
      <c r="D105" s="40">
        <v>85</v>
      </c>
      <c r="E105" s="39">
        <f t="shared" si="7"/>
        <v>172014.5</v>
      </c>
      <c r="F105" s="39">
        <f t="shared" si="8"/>
        <v>12041.015000000001</v>
      </c>
      <c r="G105" s="39">
        <f t="shared" si="9"/>
        <v>184055.51500000001</v>
      </c>
      <c r="I105" s="26">
        <v>6905200</v>
      </c>
    </row>
    <row r="106" spans="1:9" s="26" customFormat="1" ht="18" customHeight="1" x14ac:dyDescent="0.45">
      <c r="A106" s="4" t="s">
        <v>794</v>
      </c>
      <c r="B106" s="5" t="s">
        <v>20</v>
      </c>
      <c r="C106" s="50">
        <v>2264.15</v>
      </c>
      <c r="D106" s="40">
        <v>85</v>
      </c>
      <c r="E106" s="39">
        <f t="shared" si="7"/>
        <v>192452.75</v>
      </c>
      <c r="F106" s="39">
        <f t="shared" si="8"/>
        <v>13471.692500000001</v>
      </c>
      <c r="G106" s="39">
        <f t="shared" si="9"/>
        <v>205924.4425</v>
      </c>
      <c r="I106" s="26">
        <v>6905231</v>
      </c>
    </row>
    <row r="107" spans="1:9" s="26" customFormat="1" ht="18" customHeight="1" x14ac:dyDescent="0.45">
      <c r="A107" s="4" t="s">
        <v>809</v>
      </c>
      <c r="B107" s="5" t="s">
        <v>20</v>
      </c>
      <c r="C107" s="50">
        <v>6711.35</v>
      </c>
      <c r="D107" s="40">
        <v>85</v>
      </c>
      <c r="E107" s="39">
        <f t="shared" si="7"/>
        <v>570464.75</v>
      </c>
      <c r="F107" s="39">
        <f t="shared" si="8"/>
        <v>39932.532500000001</v>
      </c>
      <c r="G107" s="39">
        <f t="shared" si="9"/>
        <v>610397.28249999997</v>
      </c>
      <c r="I107" s="26">
        <v>6905274</v>
      </c>
    </row>
    <row r="108" spans="1:9" s="26" customFormat="1" ht="18" customHeight="1" thickBot="1" x14ac:dyDescent="0.5">
      <c r="A108" s="41"/>
      <c r="B108" s="42" t="s">
        <v>15</v>
      </c>
      <c r="C108" s="43">
        <f>SUM(C96:C107)</f>
        <v>38206.550000000003</v>
      </c>
      <c r="D108" s="51"/>
      <c r="E108" s="44">
        <f>SUM(E96:E107)</f>
        <v>3247556.75</v>
      </c>
      <c r="F108" s="44">
        <f t="shared" ref="F108:G108" si="10">SUM(F96:F107)</f>
        <v>227328.97250000003</v>
      </c>
      <c r="G108" s="44">
        <f t="shared" si="10"/>
        <v>3474885.7225000001</v>
      </c>
    </row>
    <row r="109" spans="1:9" s="26" customFormat="1" ht="11.25" customHeight="1" thickTop="1" x14ac:dyDescent="0.45">
      <c r="A109" s="45"/>
      <c r="B109" s="46"/>
      <c r="C109" s="47"/>
      <c r="D109" s="48"/>
      <c r="E109" s="47"/>
      <c r="F109" s="47"/>
      <c r="G109" s="47"/>
    </row>
    <row r="110" spans="1:9" s="26" customFormat="1" ht="23.25" x14ac:dyDescent="0.45">
      <c r="A110" s="362" t="s">
        <v>25</v>
      </c>
      <c r="B110" s="362"/>
      <c r="C110" s="362"/>
      <c r="D110" s="362"/>
      <c r="E110" s="362"/>
      <c r="F110" s="362"/>
      <c r="G110" s="362"/>
    </row>
    <row r="111" spans="1:9" s="26" customFormat="1" ht="18" customHeight="1" x14ac:dyDescent="0.45">
      <c r="A111" s="27" t="s">
        <v>2</v>
      </c>
      <c r="B111" s="28" t="s">
        <v>3</v>
      </c>
      <c r="C111" s="28" t="s">
        <v>4</v>
      </c>
      <c r="D111" s="29" t="s">
        <v>5</v>
      </c>
      <c r="E111" s="28" t="s">
        <v>6</v>
      </c>
      <c r="F111" s="28" t="s">
        <v>7</v>
      </c>
      <c r="G111" s="28" t="s">
        <v>8</v>
      </c>
    </row>
    <row r="112" spans="1:9" s="30" customFormat="1" ht="18" customHeight="1" x14ac:dyDescent="0.5">
      <c r="A112" s="4" t="s">
        <v>792</v>
      </c>
      <c r="B112" s="5" t="s">
        <v>619</v>
      </c>
      <c r="C112" s="6">
        <v>2413.1999999999998</v>
      </c>
      <c r="D112" s="7">
        <v>85</v>
      </c>
      <c r="E112" s="39">
        <f t="shared" ref="E112:E119" si="11">+C112*D112</f>
        <v>205121.99999999997</v>
      </c>
      <c r="F112" s="39">
        <f t="shared" ref="F112:F119" si="12">+E112*7%</f>
        <v>14358.539999999999</v>
      </c>
      <c r="G112" s="39">
        <f t="shared" ref="G112:G119" si="13">+E112+F112</f>
        <v>219480.53999999998</v>
      </c>
      <c r="I112" s="30">
        <v>6905177</v>
      </c>
    </row>
    <row r="113" spans="1:9" s="30" customFormat="1" ht="18" customHeight="1" x14ac:dyDescent="0.5">
      <c r="A113" s="4" t="s">
        <v>786</v>
      </c>
      <c r="B113" s="5" t="s">
        <v>19</v>
      </c>
      <c r="C113" s="6">
        <v>4965.95</v>
      </c>
      <c r="D113" s="7">
        <v>85</v>
      </c>
      <c r="E113" s="39">
        <f t="shared" si="11"/>
        <v>422105.75</v>
      </c>
      <c r="F113" s="39">
        <f t="shared" si="12"/>
        <v>29547.402500000004</v>
      </c>
      <c r="G113" s="39">
        <f t="shared" si="13"/>
        <v>451653.15250000003</v>
      </c>
      <c r="I113" s="30">
        <v>6905001</v>
      </c>
    </row>
    <row r="114" spans="1:9" s="30" customFormat="1" ht="18" customHeight="1" x14ac:dyDescent="0.5">
      <c r="A114" s="4" t="s">
        <v>804</v>
      </c>
      <c r="B114" s="5" t="s">
        <v>19</v>
      </c>
      <c r="C114" s="6">
        <v>2713.6</v>
      </c>
      <c r="D114" s="7">
        <v>85</v>
      </c>
      <c r="E114" s="39">
        <f t="shared" si="11"/>
        <v>230656</v>
      </c>
      <c r="F114" s="39">
        <f t="shared" si="12"/>
        <v>16145.920000000002</v>
      </c>
      <c r="G114" s="39">
        <f t="shared" si="13"/>
        <v>246801.92000000001</v>
      </c>
      <c r="I114" s="30">
        <v>6905145</v>
      </c>
    </row>
    <row r="115" spans="1:9" s="30" customFormat="1" ht="18" customHeight="1" x14ac:dyDescent="0.5">
      <c r="A115" s="4" t="s">
        <v>801</v>
      </c>
      <c r="B115" s="5" t="s">
        <v>19</v>
      </c>
      <c r="C115" s="6">
        <v>2338.15</v>
      </c>
      <c r="D115" s="7">
        <v>85</v>
      </c>
      <c r="E115" s="39">
        <f t="shared" si="11"/>
        <v>198742.75</v>
      </c>
      <c r="F115" s="39">
        <f t="shared" si="12"/>
        <v>13911.992500000002</v>
      </c>
      <c r="G115" s="39">
        <f t="shared" si="13"/>
        <v>212654.74249999999</v>
      </c>
      <c r="I115" s="30">
        <v>6905203</v>
      </c>
    </row>
    <row r="116" spans="1:9" s="30" customFormat="1" ht="18" customHeight="1" x14ac:dyDescent="0.5">
      <c r="A116" s="4" t="s">
        <v>807</v>
      </c>
      <c r="B116" s="5" t="s">
        <v>19</v>
      </c>
      <c r="C116" s="6">
        <v>3042.9</v>
      </c>
      <c r="D116" s="7">
        <v>85</v>
      </c>
      <c r="E116" s="39">
        <f t="shared" si="11"/>
        <v>258646.5</v>
      </c>
      <c r="F116" s="39">
        <f t="shared" si="12"/>
        <v>18105.255000000001</v>
      </c>
      <c r="G116" s="39">
        <f t="shared" si="13"/>
        <v>276751.755</v>
      </c>
      <c r="I116" s="30">
        <v>6905267</v>
      </c>
    </row>
    <row r="117" spans="1:9" s="30" customFormat="1" ht="18" customHeight="1" x14ac:dyDescent="0.5">
      <c r="A117" s="4" t="s">
        <v>809</v>
      </c>
      <c r="B117" s="5" t="s">
        <v>19</v>
      </c>
      <c r="C117" s="6">
        <v>4393.5</v>
      </c>
      <c r="D117" s="7">
        <v>85</v>
      </c>
      <c r="E117" s="39">
        <f t="shared" si="11"/>
        <v>373447.5</v>
      </c>
      <c r="F117" s="39">
        <f t="shared" si="12"/>
        <v>26141.325000000001</v>
      </c>
      <c r="G117" s="39">
        <f t="shared" si="13"/>
        <v>399588.82500000001</v>
      </c>
      <c r="I117" s="30">
        <v>6905275</v>
      </c>
    </row>
    <row r="118" spans="1:9" s="30" customFormat="1" ht="18" customHeight="1" x14ac:dyDescent="0.5">
      <c r="A118" s="4" t="s">
        <v>812</v>
      </c>
      <c r="B118" s="5" t="s">
        <v>19</v>
      </c>
      <c r="C118" s="6">
        <v>3022.7</v>
      </c>
      <c r="D118" s="7">
        <v>85</v>
      </c>
      <c r="E118" s="39">
        <f t="shared" si="11"/>
        <v>256929.49999999997</v>
      </c>
      <c r="F118" s="39">
        <f t="shared" si="12"/>
        <v>17985.064999999999</v>
      </c>
      <c r="G118" s="39">
        <f t="shared" si="13"/>
        <v>274914.56499999994</v>
      </c>
      <c r="I118" s="30">
        <v>6905347</v>
      </c>
    </row>
    <row r="119" spans="1:9" s="30" customFormat="1" ht="18" customHeight="1" x14ac:dyDescent="0.5">
      <c r="A119" s="4" t="s">
        <v>806</v>
      </c>
      <c r="B119" s="5" t="s">
        <v>817</v>
      </c>
      <c r="C119" s="6">
        <v>2465.4</v>
      </c>
      <c r="D119" s="7">
        <v>100</v>
      </c>
      <c r="E119" s="39">
        <f t="shared" si="11"/>
        <v>246540</v>
      </c>
      <c r="F119" s="39">
        <f t="shared" si="12"/>
        <v>17257.800000000003</v>
      </c>
      <c r="G119" s="39">
        <f t="shared" si="13"/>
        <v>263797.8</v>
      </c>
      <c r="I119" s="30">
        <v>6905245</v>
      </c>
    </row>
    <row r="120" spans="1:9" ht="18" customHeight="1" x14ac:dyDescent="0.4">
      <c r="A120" s="16" t="s">
        <v>785</v>
      </c>
      <c r="B120" s="5" t="s">
        <v>26</v>
      </c>
      <c r="C120" s="37">
        <v>1307.45</v>
      </c>
      <c r="D120" s="38">
        <v>85</v>
      </c>
      <c r="E120" s="39">
        <f>+C120*D120</f>
        <v>111133.25</v>
      </c>
      <c r="F120" s="39">
        <f>+E120*7%</f>
        <v>7779.3275000000003</v>
      </c>
      <c r="G120" s="39">
        <f>+E120+F120</f>
        <v>118912.5775</v>
      </c>
      <c r="I120">
        <v>6905155</v>
      </c>
    </row>
    <row r="121" spans="1:9" s="26" customFormat="1" ht="18" customHeight="1" x14ac:dyDescent="0.45">
      <c r="A121" s="4" t="s">
        <v>792</v>
      </c>
      <c r="B121" s="5" t="s">
        <v>26</v>
      </c>
      <c r="C121" s="6">
        <v>3745</v>
      </c>
      <c r="D121" s="7">
        <v>85</v>
      </c>
      <c r="E121" s="39">
        <f t="shared" ref="E121:E123" si="14">+C121*D121</f>
        <v>318325</v>
      </c>
      <c r="F121" s="39">
        <f t="shared" ref="F121:F123" si="15">+E121*7%</f>
        <v>22282.750000000004</v>
      </c>
      <c r="G121" s="39">
        <f t="shared" ref="G121:G123" si="16">+E121+F121</f>
        <v>340607.75</v>
      </c>
      <c r="I121" s="26">
        <v>6905178</v>
      </c>
    </row>
    <row r="122" spans="1:9" s="26" customFormat="1" ht="18" customHeight="1" x14ac:dyDescent="0.45">
      <c r="A122" s="4" t="s">
        <v>809</v>
      </c>
      <c r="B122" s="5" t="s">
        <v>26</v>
      </c>
      <c r="C122" s="6">
        <v>6693.6</v>
      </c>
      <c r="D122" s="7">
        <v>85</v>
      </c>
      <c r="E122" s="39">
        <f t="shared" si="14"/>
        <v>568956</v>
      </c>
      <c r="F122" s="39">
        <f t="shared" si="15"/>
        <v>39826.920000000006</v>
      </c>
      <c r="G122" s="39">
        <f t="shared" si="16"/>
        <v>608782.92000000004</v>
      </c>
      <c r="I122" s="26">
        <v>6905276</v>
      </c>
    </row>
    <row r="123" spans="1:9" s="26" customFormat="1" ht="18" customHeight="1" x14ac:dyDescent="0.45">
      <c r="A123" s="4" t="s">
        <v>812</v>
      </c>
      <c r="B123" s="5" t="s">
        <v>26</v>
      </c>
      <c r="C123" s="6">
        <v>305.55</v>
      </c>
      <c r="D123" s="7">
        <v>85</v>
      </c>
      <c r="E123" s="39">
        <f t="shared" si="14"/>
        <v>25971.75</v>
      </c>
      <c r="F123" s="39">
        <f t="shared" si="15"/>
        <v>1818.0225000000003</v>
      </c>
      <c r="G123" s="39">
        <f t="shared" si="16"/>
        <v>27789.772499999999</v>
      </c>
      <c r="I123" s="26">
        <v>6905346</v>
      </c>
    </row>
    <row r="124" spans="1:9" s="26" customFormat="1" ht="18" customHeight="1" thickBot="1" x14ac:dyDescent="0.5">
      <c r="A124" s="41"/>
      <c r="B124" s="42" t="s">
        <v>15</v>
      </c>
      <c r="C124" s="43">
        <f>SUM(C112:C123)</f>
        <v>37407.000000000007</v>
      </c>
      <c r="D124" s="38"/>
      <c r="E124" s="44">
        <f>SUM(E112:E123)</f>
        <v>3216576</v>
      </c>
      <c r="F124" s="44">
        <f t="shared" ref="F124:G124" si="17">SUM(F112:F123)</f>
        <v>225160.32000000001</v>
      </c>
      <c r="G124" s="44">
        <f t="shared" si="17"/>
        <v>3441736.32</v>
      </c>
    </row>
    <row r="125" spans="1:9" s="26" customFormat="1" ht="18" customHeight="1" thickTop="1" x14ac:dyDescent="0.45">
      <c r="A125" s="52"/>
      <c r="B125" s="53"/>
      <c r="C125" s="54"/>
      <c r="D125" s="55"/>
      <c r="E125" s="56"/>
      <c r="F125" s="56"/>
      <c r="G125" s="56"/>
    </row>
    <row r="126" spans="1:9" ht="23.25" x14ac:dyDescent="0.3">
      <c r="A126" s="359" t="s">
        <v>818</v>
      </c>
      <c r="B126" s="359"/>
      <c r="C126" s="359"/>
      <c r="D126" s="359"/>
      <c r="E126" s="359"/>
      <c r="F126" s="359"/>
      <c r="G126" s="359"/>
    </row>
    <row r="127" spans="1:9" ht="18" customHeight="1" x14ac:dyDescent="0.4">
      <c r="A127" s="57" t="s">
        <v>2</v>
      </c>
      <c r="B127" s="58" t="s">
        <v>3</v>
      </c>
      <c r="C127" s="58" t="s">
        <v>4</v>
      </c>
      <c r="D127" s="59" t="s">
        <v>5</v>
      </c>
      <c r="E127" s="58" t="s">
        <v>6</v>
      </c>
      <c r="F127" s="58" t="s">
        <v>7</v>
      </c>
      <c r="G127" s="58" t="s">
        <v>8</v>
      </c>
    </row>
    <row r="128" spans="1:9" ht="18" customHeight="1" x14ac:dyDescent="0.4">
      <c r="A128" s="16" t="s">
        <v>810</v>
      </c>
      <c r="B128" s="5" t="s">
        <v>819</v>
      </c>
      <c r="C128" s="37">
        <v>5976.1</v>
      </c>
      <c r="D128" s="38">
        <v>63.12</v>
      </c>
      <c r="E128" s="6">
        <f t="shared" ref="E128" si="18">+C128*D128</f>
        <v>377211.43200000003</v>
      </c>
      <c r="F128" s="60"/>
      <c r="G128" s="60">
        <f t="shared" ref="G128" si="19">+E128+F128</f>
        <v>377211.43200000003</v>
      </c>
      <c r="I128">
        <v>20260501</v>
      </c>
    </row>
    <row r="129" spans="1:9" s="26" customFormat="1" ht="18" customHeight="1" thickBot="1" x14ac:dyDescent="0.5">
      <c r="A129" s="41"/>
      <c r="B129" s="42" t="s">
        <v>15</v>
      </c>
      <c r="C129" s="43">
        <f>SUM(C128:C128)</f>
        <v>5976.1</v>
      </c>
      <c r="D129" s="38"/>
      <c r="E129" s="44">
        <f>SUM(E128:E128)</f>
        <v>377211.43200000003</v>
      </c>
      <c r="F129" s="44">
        <f t="shared" ref="F129:G129" si="20">SUM(F128:F128)</f>
        <v>0</v>
      </c>
      <c r="G129" s="44">
        <f t="shared" si="20"/>
        <v>377211.43200000003</v>
      </c>
    </row>
    <row r="130" spans="1:9" s="26" customFormat="1" ht="18" customHeight="1" thickTop="1" x14ac:dyDescent="0.45">
      <c r="A130" s="52"/>
      <c r="B130" s="53"/>
      <c r="C130" s="54"/>
      <c r="D130" s="55"/>
      <c r="E130" s="56"/>
      <c r="F130" s="56"/>
      <c r="G130" s="56"/>
    </row>
    <row r="131" spans="1:9" ht="23.25" x14ac:dyDescent="0.3">
      <c r="A131" s="359" t="s">
        <v>27</v>
      </c>
      <c r="B131" s="359"/>
      <c r="C131" s="359"/>
      <c r="D131" s="359"/>
      <c r="E131" s="359"/>
      <c r="F131" s="359"/>
      <c r="G131" s="359"/>
    </row>
    <row r="132" spans="1:9" ht="18" customHeight="1" x14ac:dyDescent="0.4">
      <c r="A132" s="57" t="s">
        <v>2</v>
      </c>
      <c r="B132" s="58" t="s">
        <v>3</v>
      </c>
      <c r="C132" s="58" t="s">
        <v>4</v>
      </c>
      <c r="D132" s="59" t="s">
        <v>5</v>
      </c>
      <c r="E132" s="58" t="s">
        <v>6</v>
      </c>
      <c r="F132" s="58" t="s">
        <v>7</v>
      </c>
      <c r="G132" s="58" t="s">
        <v>8</v>
      </c>
    </row>
    <row r="133" spans="1:9" ht="18" customHeight="1" x14ac:dyDescent="0.4">
      <c r="A133" s="16" t="s">
        <v>787</v>
      </c>
      <c r="B133" s="5" t="s">
        <v>290</v>
      </c>
      <c r="C133" s="37">
        <v>116.95</v>
      </c>
      <c r="D133" s="38">
        <v>84</v>
      </c>
      <c r="E133" s="6">
        <f t="shared" ref="E133:E153" si="21">+C133*D133</f>
        <v>9823.8000000000011</v>
      </c>
      <c r="F133" s="6">
        <f t="shared" ref="F133:F153" si="22">+E133*7%</f>
        <v>687.66600000000017</v>
      </c>
      <c r="G133" s="6">
        <f t="shared" ref="G133:G153" si="23">+E133+F133</f>
        <v>10511.466</v>
      </c>
      <c r="I133">
        <v>6905072</v>
      </c>
    </row>
    <row r="134" spans="1:9" ht="18" customHeight="1" x14ac:dyDescent="0.4">
      <c r="A134" s="16" t="s">
        <v>788</v>
      </c>
      <c r="B134" s="5" t="s">
        <v>290</v>
      </c>
      <c r="C134" s="37">
        <v>2641.8</v>
      </c>
      <c r="D134" s="38">
        <v>84</v>
      </c>
      <c r="E134" s="6">
        <f t="shared" si="21"/>
        <v>221911.2</v>
      </c>
      <c r="F134" s="6">
        <f t="shared" si="22"/>
        <v>15533.784000000001</v>
      </c>
      <c r="G134" s="6">
        <f t="shared" si="23"/>
        <v>237444.98400000003</v>
      </c>
      <c r="I134">
        <v>6905088</v>
      </c>
    </row>
    <row r="135" spans="1:9" ht="18" customHeight="1" x14ac:dyDescent="0.4">
      <c r="A135" s="16" t="s">
        <v>787</v>
      </c>
      <c r="B135" s="5" t="s">
        <v>184</v>
      </c>
      <c r="C135" s="37">
        <v>2989.85</v>
      </c>
      <c r="D135" s="38">
        <v>84</v>
      </c>
      <c r="E135" s="6">
        <f t="shared" si="21"/>
        <v>251147.4</v>
      </c>
      <c r="F135" s="6">
        <f t="shared" si="22"/>
        <v>17580.318000000003</v>
      </c>
      <c r="G135" s="6">
        <f t="shared" si="23"/>
        <v>268727.71799999999</v>
      </c>
      <c r="I135">
        <v>6905059</v>
      </c>
    </row>
    <row r="136" spans="1:9" ht="18" customHeight="1" x14ac:dyDescent="0.4">
      <c r="A136" s="16" t="s">
        <v>820</v>
      </c>
      <c r="B136" s="5" t="s">
        <v>184</v>
      </c>
      <c r="C136" s="37">
        <v>444.5</v>
      </c>
      <c r="D136" s="38">
        <v>84</v>
      </c>
      <c r="E136" s="6">
        <f t="shared" si="21"/>
        <v>37338</v>
      </c>
      <c r="F136" s="6">
        <f t="shared" si="22"/>
        <v>2613.6600000000003</v>
      </c>
      <c r="G136" s="6">
        <f t="shared" si="23"/>
        <v>39951.660000000003</v>
      </c>
      <c r="I136">
        <v>6905198</v>
      </c>
    </row>
    <row r="137" spans="1:9" ht="18" customHeight="1" x14ac:dyDescent="0.4">
      <c r="A137" s="16" t="s">
        <v>801</v>
      </c>
      <c r="B137" s="5" t="s">
        <v>184</v>
      </c>
      <c r="C137" s="37">
        <v>2691.35</v>
      </c>
      <c r="D137" s="38">
        <v>84</v>
      </c>
      <c r="E137" s="6">
        <f t="shared" si="21"/>
        <v>226073.4</v>
      </c>
      <c r="F137" s="6">
        <f t="shared" si="22"/>
        <v>15825.138000000001</v>
      </c>
      <c r="G137" s="6">
        <f t="shared" si="23"/>
        <v>241898.538</v>
      </c>
      <c r="I137">
        <v>6905219</v>
      </c>
    </row>
    <row r="138" spans="1:9" ht="18" customHeight="1" x14ac:dyDescent="0.4">
      <c r="A138" s="16" t="s">
        <v>795</v>
      </c>
      <c r="B138" s="5" t="s">
        <v>184</v>
      </c>
      <c r="C138" s="37">
        <v>2900.55</v>
      </c>
      <c r="D138" s="38">
        <v>84</v>
      </c>
      <c r="E138" s="6">
        <f t="shared" si="21"/>
        <v>243646.2</v>
      </c>
      <c r="F138" s="6">
        <f t="shared" si="22"/>
        <v>17055.234000000004</v>
      </c>
      <c r="G138" s="6">
        <f t="shared" si="23"/>
        <v>260701.43400000001</v>
      </c>
      <c r="I138">
        <v>6905255</v>
      </c>
    </row>
    <row r="139" spans="1:9" ht="18" customHeight="1" x14ac:dyDescent="0.4">
      <c r="A139" s="16" t="s">
        <v>810</v>
      </c>
      <c r="B139" s="5" t="s">
        <v>184</v>
      </c>
      <c r="C139" s="37">
        <v>3051.5</v>
      </c>
      <c r="D139" s="38">
        <v>84</v>
      </c>
      <c r="E139" s="6">
        <f t="shared" si="21"/>
        <v>256326</v>
      </c>
      <c r="F139" s="6">
        <f t="shared" si="22"/>
        <v>17942.820000000003</v>
      </c>
      <c r="G139" s="6">
        <f t="shared" si="23"/>
        <v>274268.82</v>
      </c>
      <c r="I139">
        <v>6905319</v>
      </c>
    </row>
    <row r="140" spans="1:9" ht="18" customHeight="1" x14ac:dyDescent="0.4">
      <c r="A140" s="16" t="s">
        <v>812</v>
      </c>
      <c r="B140" s="5" t="s">
        <v>184</v>
      </c>
      <c r="C140" s="37">
        <v>5855.15</v>
      </c>
      <c r="D140" s="38">
        <v>84</v>
      </c>
      <c r="E140" s="6">
        <f t="shared" si="21"/>
        <v>491832.6</v>
      </c>
      <c r="F140" s="6">
        <f t="shared" si="22"/>
        <v>34428.281999999999</v>
      </c>
      <c r="G140" s="6">
        <f t="shared" si="23"/>
        <v>526260.88199999998</v>
      </c>
      <c r="I140">
        <v>6905349</v>
      </c>
    </row>
    <row r="141" spans="1:9" ht="18" customHeight="1" x14ac:dyDescent="0.4">
      <c r="A141" s="16" t="s">
        <v>803</v>
      </c>
      <c r="B141" s="5" t="s">
        <v>29</v>
      </c>
      <c r="C141" s="37">
        <v>5185.3</v>
      </c>
      <c r="D141" s="38">
        <v>84</v>
      </c>
      <c r="E141" s="6">
        <f t="shared" si="21"/>
        <v>435565.2</v>
      </c>
      <c r="F141" s="6">
        <f t="shared" si="22"/>
        <v>30489.564000000002</v>
      </c>
      <c r="G141" s="6">
        <f t="shared" si="23"/>
        <v>466054.76400000002</v>
      </c>
      <c r="I141">
        <v>6905042</v>
      </c>
    </row>
    <row r="142" spans="1:9" ht="18" customHeight="1" x14ac:dyDescent="0.4">
      <c r="A142" s="16" t="s">
        <v>787</v>
      </c>
      <c r="B142" s="5" t="s">
        <v>29</v>
      </c>
      <c r="C142" s="37">
        <v>813.6</v>
      </c>
      <c r="D142" s="38">
        <v>84</v>
      </c>
      <c r="E142" s="6">
        <f t="shared" si="21"/>
        <v>68342.400000000009</v>
      </c>
      <c r="F142" s="6">
        <f t="shared" si="22"/>
        <v>4783.9680000000008</v>
      </c>
      <c r="G142" s="6">
        <f t="shared" si="23"/>
        <v>73126.368000000017</v>
      </c>
      <c r="I142">
        <v>6905059</v>
      </c>
    </row>
    <row r="143" spans="1:9" ht="18" customHeight="1" x14ac:dyDescent="0.4">
      <c r="A143" s="16" t="s">
        <v>821</v>
      </c>
      <c r="B143" s="5" t="s">
        <v>29</v>
      </c>
      <c r="C143" s="37">
        <v>6645.1</v>
      </c>
      <c r="D143" s="38">
        <v>84</v>
      </c>
      <c r="E143" s="6">
        <f t="shared" si="21"/>
        <v>558188.4</v>
      </c>
      <c r="F143" s="6">
        <f t="shared" si="22"/>
        <v>39073.188000000002</v>
      </c>
      <c r="G143" s="6">
        <f t="shared" si="23"/>
        <v>597261.58799999999</v>
      </c>
      <c r="I143">
        <v>6905122</v>
      </c>
    </row>
    <row r="144" spans="1:9" ht="18" customHeight="1" x14ac:dyDescent="0.4">
      <c r="A144" s="16" t="s">
        <v>820</v>
      </c>
      <c r="B144" s="5" t="s">
        <v>29</v>
      </c>
      <c r="C144" s="37">
        <v>1478.15</v>
      </c>
      <c r="D144" s="38">
        <v>84</v>
      </c>
      <c r="E144" s="6">
        <f>+C144*D144</f>
        <v>124164.6</v>
      </c>
      <c r="F144" s="6">
        <f>+E144*7%</f>
        <v>8691.5220000000008</v>
      </c>
      <c r="G144" s="6">
        <f>+E144+F144</f>
        <v>132856.122</v>
      </c>
      <c r="I144">
        <v>6905198</v>
      </c>
    </row>
    <row r="145" spans="1:9" ht="18" customHeight="1" x14ac:dyDescent="0.4">
      <c r="A145" s="16" t="s">
        <v>801</v>
      </c>
      <c r="B145" s="5" t="s">
        <v>29</v>
      </c>
      <c r="C145" s="37">
        <v>1630.9</v>
      </c>
      <c r="D145" s="38">
        <v>84</v>
      </c>
      <c r="E145" s="6">
        <f>+C145*D145</f>
        <v>136995.6</v>
      </c>
      <c r="F145" s="6">
        <f>+E145*7%</f>
        <v>9589.6920000000009</v>
      </c>
      <c r="G145" s="6">
        <f>+E145+F145</f>
        <v>146585.29200000002</v>
      </c>
      <c r="I145">
        <v>6905219</v>
      </c>
    </row>
    <row r="146" spans="1:9" ht="18" customHeight="1" x14ac:dyDescent="0.4">
      <c r="A146" s="16" t="s">
        <v>795</v>
      </c>
      <c r="B146" s="5" t="s">
        <v>29</v>
      </c>
      <c r="C146" s="37">
        <v>2037.3</v>
      </c>
      <c r="D146" s="38">
        <v>84</v>
      </c>
      <c r="E146" s="6">
        <f>+C146*D146</f>
        <v>171133.19999999998</v>
      </c>
      <c r="F146" s="6">
        <f>+E146*7%</f>
        <v>11979.324000000001</v>
      </c>
      <c r="G146" s="6">
        <f>+E146+F146</f>
        <v>183112.52399999998</v>
      </c>
      <c r="I146">
        <v>6905256</v>
      </c>
    </row>
    <row r="147" spans="1:9" ht="18" customHeight="1" x14ac:dyDescent="0.4">
      <c r="A147" s="16" t="s">
        <v>810</v>
      </c>
      <c r="B147" s="5" t="s">
        <v>29</v>
      </c>
      <c r="C147" s="37">
        <v>4431.25</v>
      </c>
      <c r="D147" s="38">
        <v>84</v>
      </c>
      <c r="E147" s="6">
        <f>+C147*D147</f>
        <v>372225</v>
      </c>
      <c r="F147" s="6">
        <f>+E147*7%</f>
        <v>26055.750000000004</v>
      </c>
      <c r="G147" s="6">
        <f>+E147+F147</f>
        <v>398280.75</v>
      </c>
      <c r="I147">
        <v>6905319</v>
      </c>
    </row>
    <row r="148" spans="1:9" ht="18" customHeight="1" x14ac:dyDescent="0.4">
      <c r="A148" s="16" t="s">
        <v>812</v>
      </c>
      <c r="B148" s="5" t="s">
        <v>29</v>
      </c>
      <c r="C148" s="37">
        <v>810</v>
      </c>
      <c r="D148" s="38">
        <v>84</v>
      </c>
      <c r="E148" s="6">
        <f>+C148*D148</f>
        <v>68040</v>
      </c>
      <c r="F148" s="6">
        <f>+E148*7%</f>
        <v>4762.8</v>
      </c>
      <c r="G148" s="6">
        <f>+E148+F148</f>
        <v>72802.8</v>
      </c>
      <c r="I148">
        <v>6905349</v>
      </c>
    </row>
    <row r="149" spans="1:9" ht="18" customHeight="1" x14ac:dyDescent="0.4">
      <c r="A149" s="16" t="s">
        <v>803</v>
      </c>
      <c r="B149" s="5" t="s">
        <v>173</v>
      </c>
      <c r="C149" s="37">
        <v>598.55999999999995</v>
      </c>
      <c r="D149" s="38">
        <v>69</v>
      </c>
      <c r="E149" s="6">
        <f t="shared" ref="E149" si="24">+C149*D149</f>
        <v>41300.639999999999</v>
      </c>
      <c r="F149" s="6">
        <f t="shared" ref="F149" si="25">+E149*7%</f>
        <v>2891.0448000000001</v>
      </c>
      <c r="G149" s="6">
        <f t="shared" ref="G149" si="26">+E149+F149</f>
        <v>44191.684800000003</v>
      </c>
      <c r="I149">
        <v>6905041</v>
      </c>
    </row>
    <row r="150" spans="1:9" ht="18" customHeight="1" x14ac:dyDescent="0.4">
      <c r="A150" s="16" t="s">
        <v>803</v>
      </c>
      <c r="B150" s="5" t="s">
        <v>30</v>
      </c>
      <c r="C150" s="37">
        <v>1572.3</v>
      </c>
      <c r="D150" s="38">
        <v>84</v>
      </c>
      <c r="E150" s="6">
        <f t="shared" si="21"/>
        <v>132073.19999999998</v>
      </c>
      <c r="F150" s="6">
        <f t="shared" si="22"/>
        <v>9245.1239999999998</v>
      </c>
      <c r="G150" s="6">
        <f t="shared" si="23"/>
        <v>141318.32399999999</v>
      </c>
      <c r="I150">
        <v>6905042</v>
      </c>
    </row>
    <row r="151" spans="1:9" ht="18" customHeight="1" x14ac:dyDescent="0.4">
      <c r="A151" s="16" t="s">
        <v>787</v>
      </c>
      <c r="B151" s="5" t="s">
        <v>30</v>
      </c>
      <c r="C151" s="37">
        <v>1537</v>
      </c>
      <c r="D151" s="38">
        <v>84</v>
      </c>
      <c r="E151" s="6">
        <f t="shared" si="21"/>
        <v>129108</v>
      </c>
      <c r="F151" s="6">
        <f t="shared" si="22"/>
        <v>9037.5600000000013</v>
      </c>
      <c r="G151" s="6">
        <f t="shared" si="23"/>
        <v>138145.56</v>
      </c>
      <c r="I151">
        <v>6905059</v>
      </c>
    </row>
    <row r="152" spans="1:9" ht="18" customHeight="1" x14ac:dyDescent="0.4">
      <c r="A152" s="16" t="s">
        <v>820</v>
      </c>
      <c r="B152" s="5" t="s">
        <v>30</v>
      </c>
      <c r="C152" s="37">
        <v>403.2</v>
      </c>
      <c r="D152" s="38">
        <v>84</v>
      </c>
      <c r="E152" s="6">
        <f t="shared" si="21"/>
        <v>33868.799999999996</v>
      </c>
      <c r="F152" s="6">
        <f t="shared" si="22"/>
        <v>2370.8159999999998</v>
      </c>
      <c r="G152" s="6">
        <f t="shared" si="23"/>
        <v>36239.615999999995</v>
      </c>
      <c r="I152">
        <v>6905199</v>
      </c>
    </row>
    <row r="153" spans="1:9" ht="18" customHeight="1" x14ac:dyDescent="0.4">
      <c r="A153" s="16" t="s">
        <v>820</v>
      </c>
      <c r="B153" s="5" t="s">
        <v>30</v>
      </c>
      <c r="C153" s="37">
        <v>2996.3</v>
      </c>
      <c r="D153" s="38">
        <v>84</v>
      </c>
      <c r="E153" s="6">
        <f t="shared" si="21"/>
        <v>251689.2</v>
      </c>
      <c r="F153" s="6">
        <f t="shared" si="22"/>
        <v>17618.244000000002</v>
      </c>
      <c r="G153" s="6">
        <f t="shared" si="23"/>
        <v>269307.44400000002</v>
      </c>
      <c r="I153">
        <v>6905198</v>
      </c>
    </row>
    <row r="154" spans="1:9" ht="18" customHeight="1" thickBot="1" x14ac:dyDescent="0.35">
      <c r="A154" s="61"/>
      <c r="B154" s="17" t="s">
        <v>15</v>
      </c>
      <c r="C154" s="18">
        <f>SUM(C133:C153)</f>
        <v>50830.610000000008</v>
      </c>
      <c r="D154" s="66"/>
      <c r="E154" s="20">
        <f>SUM(E133:E153)</f>
        <v>4260792.8400000008</v>
      </c>
      <c r="F154" s="20">
        <f t="shared" ref="F154:G154" si="27">SUM(F133:F153)</f>
        <v>298255.4988</v>
      </c>
      <c r="G154" s="20">
        <f t="shared" si="27"/>
        <v>4559048.3387999991</v>
      </c>
    </row>
    <row r="155" spans="1:9" ht="21.75" customHeight="1" thickTop="1" x14ac:dyDescent="0.4">
      <c r="A155" s="21"/>
      <c r="B155" s="22"/>
      <c r="C155" s="23"/>
      <c r="D155" s="140"/>
      <c r="E155" s="63"/>
      <c r="F155" s="63"/>
      <c r="G155" s="25"/>
    </row>
    <row r="156" spans="1:9" ht="23.25" x14ac:dyDescent="0.3">
      <c r="A156" s="359" t="s">
        <v>32</v>
      </c>
      <c r="B156" s="359"/>
      <c r="C156" s="359"/>
      <c r="D156" s="359"/>
      <c r="E156" s="359"/>
      <c r="F156" s="359"/>
      <c r="G156" s="359"/>
    </row>
    <row r="157" spans="1:9" ht="18" customHeight="1" x14ac:dyDescent="0.4">
      <c r="A157" s="57" t="s">
        <v>2</v>
      </c>
      <c r="B157" s="58" t="s">
        <v>3</v>
      </c>
      <c r="C157" s="58" t="s">
        <v>4</v>
      </c>
      <c r="D157" s="64" t="s">
        <v>5</v>
      </c>
      <c r="E157" s="58" t="s">
        <v>6</v>
      </c>
      <c r="F157" s="58" t="s">
        <v>7</v>
      </c>
      <c r="G157" s="58" t="s">
        <v>8</v>
      </c>
    </row>
    <row r="158" spans="1:9" ht="18" customHeight="1" x14ac:dyDescent="0.4">
      <c r="A158" s="4" t="s">
        <v>805</v>
      </c>
      <c r="B158" s="5" t="s">
        <v>224</v>
      </c>
      <c r="C158" s="37">
        <v>986.7</v>
      </c>
      <c r="D158" s="38">
        <v>84</v>
      </c>
      <c r="E158" s="6">
        <f t="shared" ref="E158:E217" si="28">+C158*D158</f>
        <v>82882.8</v>
      </c>
      <c r="F158" s="60">
        <f t="shared" ref="F158:F217" si="29">+E158*7%</f>
        <v>5801.7960000000012</v>
      </c>
      <c r="G158" s="60">
        <f t="shared" ref="G158:G217" si="30">+E158+F158</f>
        <v>88684.596000000005</v>
      </c>
      <c r="I158">
        <v>6905187</v>
      </c>
    </row>
    <row r="159" spans="1:9" ht="18" customHeight="1" x14ac:dyDescent="0.4">
      <c r="A159" s="4" t="s">
        <v>788</v>
      </c>
      <c r="B159" s="5" t="s">
        <v>491</v>
      </c>
      <c r="C159" s="37">
        <v>789.97</v>
      </c>
      <c r="D159" s="38">
        <v>84</v>
      </c>
      <c r="E159" s="6">
        <f>+C159*D159</f>
        <v>66357.48</v>
      </c>
      <c r="F159" s="60">
        <f>+E159*7%</f>
        <v>4645.0236000000004</v>
      </c>
      <c r="G159" s="60">
        <f>+E159+F159</f>
        <v>71002.503599999996</v>
      </c>
      <c r="I159">
        <v>6905080</v>
      </c>
    </row>
    <row r="160" spans="1:9" ht="18" customHeight="1" x14ac:dyDescent="0.4">
      <c r="A160" s="4" t="s">
        <v>797</v>
      </c>
      <c r="B160" s="5" t="s">
        <v>130</v>
      </c>
      <c r="C160" s="37">
        <v>994.73</v>
      </c>
      <c r="D160" s="38">
        <v>84</v>
      </c>
      <c r="E160" s="6">
        <f>+C160*D160</f>
        <v>83557.320000000007</v>
      </c>
      <c r="F160" s="60">
        <f>+E160*7%</f>
        <v>5849.0124000000014</v>
      </c>
      <c r="G160" s="60">
        <f>+E160+F160</f>
        <v>89406.332400000014</v>
      </c>
      <c r="I160">
        <v>6905305</v>
      </c>
    </row>
    <row r="161" spans="1:9" ht="18" customHeight="1" x14ac:dyDescent="0.4">
      <c r="A161" s="4" t="s">
        <v>807</v>
      </c>
      <c r="B161" s="5" t="s">
        <v>265</v>
      </c>
      <c r="C161" s="37">
        <v>994.57</v>
      </c>
      <c r="D161" s="38">
        <v>84</v>
      </c>
      <c r="E161" s="6">
        <f>+C161*D161</f>
        <v>83543.88</v>
      </c>
      <c r="F161" s="60">
        <f>+E161*7%</f>
        <v>5848.0716000000011</v>
      </c>
      <c r="G161" s="60">
        <f>+E161+F161</f>
        <v>89391.9516</v>
      </c>
      <c r="I161">
        <v>6905263</v>
      </c>
    </row>
    <row r="162" spans="1:9" ht="18" customHeight="1" x14ac:dyDescent="0.4">
      <c r="A162" s="4" t="s">
        <v>789</v>
      </c>
      <c r="B162" s="5" t="s">
        <v>33</v>
      </c>
      <c r="C162" s="37">
        <v>1164.0999999999999</v>
      </c>
      <c r="D162" s="38">
        <v>84</v>
      </c>
      <c r="E162" s="6">
        <f>+C162*D162</f>
        <v>97784.4</v>
      </c>
      <c r="F162" s="60">
        <f>+E162*7%</f>
        <v>6844.9080000000004</v>
      </c>
      <c r="G162" s="60">
        <f>+E162+F162</f>
        <v>104629.30799999999</v>
      </c>
      <c r="I162">
        <v>6905098</v>
      </c>
    </row>
    <row r="163" spans="1:9" ht="18" customHeight="1" x14ac:dyDescent="0.4">
      <c r="A163" s="4" t="s">
        <v>804</v>
      </c>
      <c r="B163" s="278" t="s">
        <v>852</v>
      </c>
      <c r="C163" s="279">
        <v>93.5</v>
      </c>
      <c r="D163" s="280">
        <v>139</v>
      </c>
      <c r="E163" s="6">
        <f t="shared" si="28"/>
        <v>12996.5</v>
      </c>
      <c r="F163" s="60">
        <f t="shared" si="29"/>
        <v>909.75500000000011</v>
      </c>
      <c r="G163" s="60">
        <f t="shared" si="30"/>
        <v>13906.255000000001</v>
      </c>
      <c r="H163" s="273" t="s">
        <v>392</v>
      </c>
      <c r="I163">
        <v>6905135</v>
      </c>
    </row>
    <row r="164" spans="1:9" ht="18" customHeight="1" x14ac:dyDescent="0.4">
      <c r="A164" s="4" t="s">
        <v>798</v>
      </c>
      <c r="B164" s="275" t="s">
        <v>853</v>
      </c>
      <c r="C164" s="276">
        <v>187.65</v>
      </c>
      <c r="D164" s="277">
        <v>154</v>
      </c>
      <c r="E164" s="6">
        <f t="shared" si="28"/>
        <v>28898.100000000002</v>
      </c>
      <c r="F164" s="60">
        <f t="shared" si="29"/>
        <v>2022.8670000000004</v>
      </c>
      <c r="G164" s="60">
        <f t="shared" si="30"/>
        <v>30920.967000000004</v>
      </c>
      <c r="H164" s="273" t="s">
        <v>392</v>
      </c>
      <c r="I164">
        <v>6905336</v>
      </c>
    </row>
    <row r="165" spans="1:9" ht="18" customHeight="1" x14ac:dyDescent="0.4">
      <c r="A165" s="4" t="s">
        <v>798</v>
      </c>
      <c r="B165" s="275" t="s">
        <v>854</v>
      </c>
      <c r="C165" s="276">
        <v>184.85</v>
      </c>
      <c r="D165" s="277">
        <v>154</v>
      </c>
      <c r="E165" s="6">
        <f t="shared" si="28"/>
        <v>28466.899999999998</v>
      </c>
      <c r="F165" s="60">
        <f t="shared" si="29"/>
        <v>1992.683</v>
      </c>
      <c r="G165" s="60">
        <f t="shared" si="30"/>
        <v>30459.582999999999</v>
      </c>
      <c r="H165" s="273" t="s">
        <v>392</v>
      </c>
      <c r="I165">
        <v>6905336</v>
      </c>
    </row>
    <row r="166" spans="1:9" ht="18" customHeight="1" x14ac:dyDescent="0.4">
      <c r="A166" s="4" t="s">
        <v>807</v>
      </c>
      <c r="B166" s="278" t="s">
        <v>492</v>
      </c>
      <c r="C166" s="279">
        <v>92</v>
      </c>
      <c r="D166" s="280">
        <v>139</v>
      </c>
      <c r="E166" s="6">
        <f t="shared" si="28"/>
        <v>12788</v>
      </c>
      <c r="F166" s="60">
        <f t="shared" si="29"/>
        <v>895.16000000000008</v>
      </c>
      <c r="G166" s="60">
        <f t="shared" si="30"/>
        <v>13683.16</v>
      </c>
      <c r="H166" s="273" t="s">
        <v>392</v>
      </c>
      <c r="I166">
        <v>6905262</v>
      </c>
    </row>
    <row r="167" spans="1:9" ht="18" customHeight="1" x14ac:dyDescent="0.4">
      <c r="A167" s="4" t="s">
        <v>807</v>
      </c>
      <c r="B167" s="278" t="s">
        <v>822</v>
      </c>
      <c r="C167" s="279">
        <v>45.1</v>
      </c>
      <c r="D167" s="280">
        <v>139</v>
      </c>
      <c r="E167" s="6">
        <f t="shared" si="28"/>
        <v>6268.9000000000005</v>
      </c>
      <c r="F167" s="60">
        <f t="shared" si="29"/>
        <v>438.82300000000009</v>
      </c>
      <c r="G167" s="60">
        <f t="shared" si="30"/>
        <v>6707.7230000000009</v>
      </c>
      <c r="H167" s="273" t="s">
        <v>392</v>
      </c>
      <c r="I167">
        <v>6905262</v>
      </c>
    </row>
    <row r="168" spans="1:9" ht="18" customHeight="1" x14ac:dyDescent="0.4">
      <c r="A168" s="4" t="s">
        <v>804</v>
      </c>
      <c r="B168" s="278" t="s">
        <v>255</v>
      </c>
      <c r="C168" s="279">
        <v>98.35</v>
      </c>
      <c r="D168" s="280">
        <v>139</v>
      </c>
      <c r="E168" s="6">
        <f t="shared" si="28"/>
        <v>13670.65</v>
      </c>
      <c r="F168" s="60">
        <f t="shared" si="29"/>
        <v>956.94550000000004</v>
      </c>
      <c r="G168" s="60">
        <f t="shared" si="30"/>
        <v>14627.595499999999</v>
      </c>
      <c r="H168" s="273" t="s">
        <v>392</v>
      </c>
      <c r="I168">
        <v>6905139</v>
      </c>
    </row>
    <row r="169" spans="1:9" ht="18" customHeight="1" x14ac:dyDescent="0.4">
      <c r="A169" s="4" t="s">
        <v>797</v>
      </c>
      <c r="B169" s="275" t="s">
        <v>823</v>
      </c>
      <c r="C169" s="276">
        <v>93.7</v>
      </c>
      <c r="D169" s="277">
        <v>164</v>
      </c>
      <c r="E169" s="6">
        <f t="shared" si="28"/>
        <v>15366.800000000001</v>
      </c>
      <c r="F169" s="60">
        <f t="shared" si="29"/>
        <v>1075.6760000000002</v>
      </c>
      <c r="G169" s="60">
        <f t="shared" si="30"/>
        <v>16442.476000000002</v>
      </c>
      <c r="H169" s="273" t="s">
        <v>392</v>
      </c>
      <c r="I169">
        <v>6905307</v>
      </c>
    </row>
    <row r="170" spans="1:9" ht="18" customHeight="1" x14ac:dyDescent="0.4">
      <c r="A170" s="4" t="s">
        <v>797</v>
      </c>
      <c r="B170" s="275" t="s">
        <v>823</v>
      </c>
      <c r="C170" s="276">
        <v>100.65</v>
      </c>
      <c r="D170" s="277">
        <v>164</v>
      </c>
      <c r="E170" s="6">
        <f t="shared" si="28"/>
        <v>16506.600000000002</v>
      </c>
      <c r="F170" s="60">
        <f t="shared" si="29"/>
        <v>1155.4620000000002</v>
      </c>
      <c r="G170" s="60">
        <f t="shared" si="30"/>
        <v>17662.062000000002</v>
      </c>
      <c r="H170" s="273" t="s">
        <v>392</v>
      </c>
      <c r="I170">
        <v>6905306</v>
      </c>
    </row>
    <row r="171" spans="1:9" ht="18" customHeight="1" x14ac:dyDescent="0.4">
      <c r="A171" s="4" t="s">
        <v>804</v>
      </c>
      <c r="B171" s="275" t="s">
        <v>189</v>
      </c>
      <c r="C171" s="276">
        <v>476.05</v>
      </c>
      <c r="D171" s="277">
        <v>154</v>
      </c>
      <c r="E171" s="6">
        <f t="shared" si="28"/>
        <v>73311.7</v>
      </c>
      <c r="F171" s="60">
        <f t="shared" si="29"/>
        <v>5131.8190000000004</v>
      </c>
      <c r="G171" s="60">
        <f t="shared" si="30"/>
        <v>78443.519</v>
      </c>
      <c r="H171" s="273" t="s">
        <v>392</v>
      </c>
      <c r="I171">
        <v>6905137</v>
      </c>
    </row>
    <row r="172" spans="1:9" ht="18" customHeight="1" x14ac:dyDescent="0.4">
      <c r="A172" s="4" t="s">
        <v>804</v>
      </c>
      <c r="B172" s="278" t="s">
        <v>824</v>
      </c>
      <c r="C172" s="279">
        <v>97.8</v>
      </c>
      <c r="D172" s="280">
        <v>139</v>
      </c>
      <c r="E172" s="6">
        <f t="shared" si="28"/>
        <v>13594.199999999999</v>
      </c>
      <c r="F172" s="60">
        <f t="shared" si="29"/>
        <v>951.59400000000005</v>
      </c>
      <c r="G172" s="60">
        <f t="shared" si="30"/>
        <v>14545.793999999998</v>
      </c>
      <c r="H172" s="273" t="s">
        <v>392</v>
      </c>
      <c r="I172">
        <v>6905134</v>
      </c>
    </row>
    <row r="173" spans="1:9" ht="18" customHeight="1" x14ac:dyDescent="0.4">
      <c r="A173" s="4" t="s">
        <v>804</v>
      </c>
      <c r="B173" s="278" t="s">
        <v>287</v>
      </c>
      <c r="C173" s="279">
        <v>188.4</v>
      </c>
      <c r="D173" s="280">
        <v>133</v>
      </c>
      <c r="E173" s="6">
        <f t="shared" si="28"/>
        <v>25057.200000000001</v>
      </c>
      <c r="F173" s="60">
        <f t="shared" si="29"/>
        <v>1754.0040000000001</v>
      </c>
      <c r="G173" s="60">
        <f t="shared" si="30"/>
        <v>26811.204000000002</v>
      </c>
      <c r="H173" s="273" t="s">
        <v>392</v>
      </c>
      <c r="I173">
        <v>6905137</v>
      </c>
    </row>
    <row r="174" spans="1:9" ht="18" customHeight="1" x14ac:dyDescent="0.4">
      <c r="A174" s="4" t="s">
        <v>804</v>
      </c>
      <c r="B174" s="275" t="s">
        <v>495</v>
      </c>
      <c r="C174" s="276">
        <v>65.8</v>
      </c>
      <c r="D174" s="277">
        <v>164</v>
      </c>
      <c r="E174" s="6">
        <f t="shared" si="28"/>
        <v>10791.199999999999</v>
      </c>
      <c r="F174" s="60">
        <f t="shared" si="29"/>
        <v>755.38400000000001</v>
      </c>
      <c r="G174" s="60">
        <f t="shared" si="30"/>
        <v>11546.583999999999</v>
      </c>
      <c r="H174" s="273" t="s">
        <v>392</v>
      </c>
      <c r="I174">
        <v>6905139</v>
      </c>
    </row>
    <row r="175" spans="1:9" ht="18" customHeight="1" x14ac:dyDescent="0.4">
      <c r="A175" s="4" t="s">
        <v>804</v>
      </c>
      <c r="B175" s="275" t="s">
        <v>825</v>
      </c>
      <c r="C175" s="276">
        <v>187</v>
      </c>
      <c r="D175" s="277">
        <v>154</v>
      </c>
      <c r="E175" s="6">
        <f t="shared" si="28"/>
        <v>28798</v>
      </c>
      <c r="F175" s="60">
        <f t="shared" si="29"/>
        <v>2015.8600000000001</v>
      </c>
      <c r="G175" s="60">
        <f t="shared" si="30"/>
        <v>30813.86</v>
      </c>
      <c r="H175" s="273" t="s">
        <v>392</v>
      </c>
      <c r="I175">
        <v>6905135</v>
      </c>
    </row>
    <row r="176" spans="1:9" ht="18" customHeight="1" x14ac:dyDescent="0.4">
      <c r="A176" s="4" t="s">
        <v>804</v>
      </c>
      <c r="B176" s="275" t="s">
        <v>129</v>
      </c>
      <c r="C176" s="276">
        <v>550.25</v>
      </c>
      <c r="D176" s="277">
        <v>154</v>
      </c>
      <c r="E176" s="6">
        <f t="shared" si="28"/>
        <v>84738.5</v>
      </c>
      <c r="F176" s="60">
        <f t="shared" si="29"/>
        <v>5931.6950000000006</v>
      </c>
      <c r="G176" s="60">
        <f t="shared" si="30"/>
        <v>90670.195000000007</v>
      </c>
      <c r="H176" s="273" t="s">
        <v>392</v>
      </c>
      <c r="I176">
        <v>6905136</v>
      </c>
    </row>
    <row r="177" spans="1:9" ht="18" customHeight="1" x14ac:dyDescent="0.4">
      <c r="A177" s="4" t="s">
        <v>803</v>
      </c>
      <c r="B177" s="275" t="s">
        <v>34</v>
      </c>
      <c r="C177" s="276">
        <v>512.35</v>
      </c>
      <c r="D177" s="277">
        <v>154</v>
      </c>
      <c r="E177" s="6">
        <f t="shared" si="28"/>
        <v>78901.900000000009</v>
      </c>
      <c r="F177" s="60">
        <f t="shared" si="29"/>
        <v>5523.1330000000007</v>
      </c>
      <c r="G177" s="60">
        <f t="shared" si="30"/>
        <v>84425.03300000001</v>
      </c>
      <c r="H177" s="273" t="s">
        <v>392</v>
      </c>
      <c r="I177">
        <v>6905030</v>
      </c>
    </row>
    <row r="178" spans="1:9" ht="18" customHeight="1" x14ac:dyDescent="0.4">
      <c r="A178" s="4" t="s">
        <v>804</v>
      </c>
      <c r="B178" s="275" t="s">
        <v>34</v>
      </c>
      <c r="C178" s="276">
        <v>480.55</v>
      </c>
      <c r="D178" s="277">
        <v>154</v>
      </c>
      <c r="E178" s="6">
        <f t="shared" si="28"/>
        <v>74004.7</v>
      </c>
      <c r="F178" s="60">
        <f t="shared" si="29"/>
        <v>5180.3290000000006</v>
      </c>
      <c r="G178" s="60">
        <f t="shared" si="30"/>
        <v>79185.028999999995</v>
      </c>
      <c r="H178" s="273" t="s">
        <v>392</v>
      </c>
      <c r="I178">
        <v>6905133</v>
      </c>
    </row>
    <row r="179" spans="1:9" ht="18" customHeight="1" x14ac:dyDescent="0.4">
      <c r="A179" s="4" t="s">
        <v>807</v>
      </c>
      <c r="B179" s="275" t="s">
        <v>34</v>
      </c>
      <c r="C179" s="276">
        <v>478.5</v>
      </c>
      <c r="D179" s="277">
        <v>154</v>
      </c>
      <c r="E179" s="6">
        <f t="shared" si="28"/>
        <v>73689</v>
      </c>
      <c r="F179" s="60">
        <f t="shared" si="29"/>
        <v>5158.2300000000005</v>
      </c>
      <c r="G179" s="60">
        <f t="shared" si="30"/>
        <v>78847.23</v>
      </c>
      <c r="H179" s="273" t="s">
        <v>392</v>
      </c>
      <c r="I179">
        <v>6905261</v>
      </c>
    </row>
    <row r="180" spans="1:9" ht="18" customHeight="1" x14ac:dyDescent="0.4">
      <c r="A180" s="65" t="s">
        <v>803</v>
      </c>
      <c r="B180" s="275" t="s">
        <v>35</v>
      </c>
      <c r="C180" s="276">
        <v>1960.2</v>
      </c>
      <c r="D180" s="277">
        <v>154</v>
      </c>
      <c r="E180" s="6">
        <f t="shared" si="28"/>
        <v>301870.8</v>
      </c>
      <c r="F180" s="13">
        <f t="shared" si="29"/>
        <v>21130.956000000002</v>
      </c>
      <c r="G180" s="13">
        <f t="shared" si="30"/>
        <v>323001.75599999999</v>
      </c>
      <c r="H180" s="273" t="s">
        <v>392</v>
      </c>
      <c r="I180">
        <v>6905030</v>
      </c>
    </row>
    <row r="181" spans="1:9" ht="18" customHeight="1" x14ac:dyDescent="0.4">
      <c r="A181" s="65" t="s">
        <v>804</v>
      </c>
      <c r="B181" s="275" t="s">
        <v>35</v>
      </c>
      <c r="C181" s="276">
        <v>1998.1</v>
      </c>
      <c r="D181" s="277">
        <v>154</v>
      </c>
      <c r="E181" s="6">
        <f t="shared" si="28"/>
        <v>307707.39999999997</v>
      </c>
      <c r="F181" s="13">
        <f t="shared" si="29"/>
        <v>21539.518</v>
      </c>
      <c r="G181" s="13">
        <f t="shared" si="30"/>
        <v>329246.91799999995</v>
      </c>
      <c r="H181" s="273" t="s">
        <v>392</v>
      </c>
      <c r="I181">
        <v>6905133</v>
      </c>
    </row>
    <row r="182" spans="1:9" ht="18" customHeight="1" x14ac:dyDescent="0.4">
      <c r="A182" s="65" t="s">
        <v>801</v>
      </c>
      <c r="B182" s="275" t="s">
        <v>35</v>
      </c>
      <c r="C182" s="276">
        <v>2010.05</v>
      </c>
      <c r="D182" s="277">
        <v>154</v>
      </c>
      <c r="E182" s="6">
        <f t="shared" si="28"/>
        <v>309547.7</v>
      </c>
      <c r="F182" s="13">
        <f t="shared" si="29"/>
        <v>21668.339000000004</v>
      </c>
      <c r="G182" s="13">
        <f t="shared" si="30"/>
        <v>331216.03899999999</v>
      </c>
      <c r="H182" s="273" t="s">
        <v>392</v>
      </c>
      <c r="I182">
        <v>6905211</v>
      </c>
    </row>
    <row r="183" spans="1:9" ht="18" customHeight="1" x14ac:dyDescent="0.4">
      <c r="A183" s="65" t="s">
        <v>809</v>
      </c>
      <c r="B183" s="275" t="s">
        <v>35</v>
      </c>
      <c r="C183" s="276">
        <v>1972.2</v>
      </c>
      <c r="D183" s="277">
        <v>154</v>
      </c>
      <c r="E183" s="6">
        <f t="shared" si="28"/>
        <v>303718.8</v>
      </c>
      <c r="F183" s="13">
        <f t="shared" si="29"/>
        <v>21260.316000000003</v>
      </c>
      <c r="G183" s="13">
        <f t="shared" si="30"/>
        <v>324979.11599999998</v>
      </c>
      <c r="H183" s="273" t="s">
        <v>392</v>
      </c>
      <c r="I183">
        <v>6905286</v>
      </c>
    </row>
    <row r="184" spans="1:9" ht="18" customHeight="1" x14ac:dyDescent="0.4">
      <c r="A184" s="4" t="s">
        <v>788</v>
      </c>
      <c r="B184" s="275" t="s">
        <v>36</v>
      </c>
      <c r="C184" s="276">
        <v>1012.45</v>
      </c>
      <c r="D184" s="277">
        <v>154</v>
      </c>
      <c r="E184" s="6">
        <f t="shared" si="28"/>
        <v>155917.30000000002</v>
      </c>
      <c r="F184" s="60">
        <f t="shared" si="29"/>
        <v>10914.211000000003</v>
      </c>
      <c r="G184" s="60">
        <f t="shared" si="30"/>
        <v>166831.51100000003</v>
      </c>
      <c r="H184" s="273" t="s">
        <v>392</v>
      </c>
      <c r="I184">
        <v>6905081</v>
      </c>
    </row>
    <row r="185" spans="1:9" ht="18" customHeight="1" x14ac:dyDescent="0.4">
      <c r="A185" s="4" t="s">
        <v>804</v>
      </c>
      <c r="B185" s="275" t="s">
        <v>36</v>
      </c>
      <c r="C185" s="276">
        <v>699.85</v>
      </c>
      <c r="D185" s="277">
        <v>154</v>
      </c>
      <c r="E185" s="6">
        <f t="shared" si="28"/>
        <v>107776.90000000001</v>
      </c>
      <c r="F185" s="60">
        <f t="shared" si="29"/>
        <v>7544.3830000000016</v>
      </c>
      <c r="G185" s="60">
        <f t="shared" si="30"/>
        <v>115321.28300000001</v>
      </c>
      <c r="H185" s="273" t="s">
        <v>392</v>
      </c>
      <c r="I185">
        <v>6905132</v>
      </c>
    </row>
    <row r="186" spans="1:9" ht="18" customHeight="1" x14ac:dyDescent="0.4">
      <c r="A186" s="4" t="s">
        <v>785</v>
      </c>
      <c r="B186" s="275" t="s">
        <v>36</v>
      </c>
      <c r="C186" s="276">
        <v>1002.55</v>
      </c>
      <c r="D186" s="277">
        <v>154</v>
      </c>
      <c r="E186" s="6">
        <f t="shared" si="28"/>
        <v>154392.69999999998</v>
      </c>
      <c r="F186" s="60">
        <f t="shared" si="29"/>
        <v>10807.489</v>
      </c>
      <c r="G186" s="60">
        <f t="shared" si="30"/>
        <v>165200.18899999998</v>
      </c>
      <c r="H186" s="273" t="s">
        <v>392</v>
      </c>
      <c r="I186">
        <v>6905151</v>
      </c>
    </row>
    <row r="187" spans="1:9" ht="18" customHeight="1" x14ac:dyDescent="0.4">
      <c r="A187" s="4" t="s">
        <v>797</v>
      </c>
      <c r="B187" s="275" t="s">
        <v>36</v>
      </c>
      <c r="C187" s="276">
        <v>1225.9000000000001</v>
      </c>
      <c r="D187" s="277">
        <v>154</v>
      </c>
      <c r="E187" s="6">
        <f t="shared" si="28"/>
        <v>188788.6</v>
      </c>
      <c r="F187" s="60">
        <f t="shared" si="29"/>
        <v>13215.202000000001</v>
      </c>
      <c r="G187" s="60">
        <f t="shared" si="30"/>
        <v>202003.802</v>
      </c>
      <c r="H187" s="273" t="s">
        <v>392</v>
      </c>
      <c r="I187">
        <v>6905304</v>
      </c>
    </row>
    <row r="188" spans="1:9" ht="18" customHeight="1" x14ac:dyDescent="0.4">
      <c r="A188" s="4" t="s">
        <v>797</v>
      </c>
      <c r="B188" s="275" t="s">
        <v>36</v>
      </c>
      <c r="C188" s="276">
        <v>271.25</v>
      </c>
      <c r="D188" s="277">
        <v>154</v>
      </c>
      <c r="E188" s="6">
        <f t="shared" si="28"/>
        <v>41772.5</v>
      </c>
      <c r="F188" s="60">
        <f t="shared" si="29"/>
        <v>2924.0750000000003</v>
      </c>
      <c r="G188" s="60">
        <f t="shared" si="30"/>
        <v>44696.574999999997</v>
      </c>
      <c r="H188" s="273" t="s">
        <v>392</v>
      </c>
      <c r="I188">
        <v>6905303</v>
      </c>
    </row>
    <row r="189" spans="1:9" ht="18" customHeight="1" x14ac:dyDescent="0.4">
      <c r="A189" s="16" t="s">
        <v>785</v>
      </c>
      <c r="B189" s="275" t="s">
        <v>37</v>
      </c>
      <c r="C189" s="276">
        <v>691.57</v>
      </c>
      <c r="D189" s="277">
        <v>153</v>
      </c>
      <c r="E189" s="6">
        <f t="shared" si="28"/>
        <v>105810.21</v>
      </c>
      <c r="F189" s="60">
        <f t="shared" si="29"/>
        <v>7406.7147000000014</v>
      </c>
      <c r="G189" s="60">
        <f t="shared" si="30"/>
        <v>113216.9247</v>
      </c>
      <c r="H189" s="273" t="s">
        <v>392</v>
      </c>
      <c r="I189">
        <v>6905154</v>
      </c>
    </row>
    <row r="190" spans="1:9" ht="18" customHeight="1" x14ac:dyDescent="0.4">
      <c r="A190" s="16" t="s">
        <v>809</v>
      </c>
      <c r="B190" s="275" t="s">
        <v>627</v>
      </c>
      <c r="C190" s="276">
        <v>769.23</v>
      </c>
      <c r="D190" s="277">
        <v>154</v>
      </c>
      <c r="E190" s="6">
        <f t="shared" si="28"/>
        <v>118461.42</v>
      </c>
      <c r="F190" s="60">
        <f t="shared" si="29"/>
        <v>8292.2993999999999</v>
      </c>
      <c r="G190" s="60">
        <f t="shared" si="30"/>
        <v>126753.7194</v>
      </c>
      <c r="H190" s="273" t="s">
        <v>392</v>
      </c>
      <c r="I190">
        <v>6905290</v>
      </c>
    </row>
    <row r="191" spans="1:9" ht="18" customHeight="1" x14ac:dyDescent="0.4">
      <c r="A191" s="16" t="s">
        <v>789</v>
      </c>
      <c r="B191" s="275" t="s">
        <v>38</v>
      </c>
      <c r="C191" s="276">
        <v>197.32</v>
      </c>
      <c r="D191" s="277">
        <v>154</v>
      </c>
      <c r="E191" s="6">
        <f t="shared" si="28"/>
        <v>30387.279999999999</v>
      </c>
      <c r="F191" s="60">
        <f t="shared" si="29"/>
        <v>2127.1096000000002</v>
      </c>
      <c r="G191" s="60">
        <f t="shared" si="30"/>
        <v>32514.389599999999</v>
      </c>
      <c r="H191" s="273" t="s">
        <v>392</v>
      </c>
      <c r="I191">
        <v>6905103</v>
      </c>
    </row>
    <row r="192" spans="1:9" ht="18" customHeight="1" x14ac:dyDescent="0.4">
      <c r="A192" s="16" t="s">
        <v>789</v>
      </c>
      <c r="B192" s="275" t="s">
        <v>38</v>
      </c>
      <c r="C192" s="276">
        <v>196.77</v>
      </c>
      <c r="D192" s="277">
        <v>154</v>
      </c>
      <c r="E192" s="6">
        <f t="shared" si="28"/>
        <v>30302.58</v>
      </c>
      <c r="F192" s="60">
        <f t="shared" si="29"/>
        <v>2121.1806000000001</v>
      </c>
      <c r="G192" s="60">
        <f t="shared" si="30"/>
        <v>32423.760600000001</v>
      </c>
      <c r="H192" s="273" t="s">
        <v>392</v>
      </c>
      <c r="I192">
        <v>6905102</v>
      </c>
    </row>
    <row r="193" spans="1:9" ht="18" customHeight="1" x14ac:dyDescent="0.4">
      <c r="A193" s="16" t="s">
        <v>787</v>
      </c>
      <c r="B193" s="275" t="s">
        <v>231</v>
      </c>
      <c r="C193" s="276">
        <v>964.55</v>
      </c>
      <c r="D193" s="277">
        <v>153</v>
      </c>
      <c r="E193" s="6">
        <f t="shared" si="28"/>
        <v>147576.15</v>
      </c>
      <c r="F193" s="60">
        <f t="shared" si="29"/>
        <v>10330.3305</v>
      </c>
      <c r="G193" s="60">
        <f t="shared" si="30"/>
        <v>157906.48050000001</v>
      </c>
      <c r="H193" s="273" t="s">
        <v>392</v>
      </c>
      <c r="I193">
        <v>6905050</v>
      </c>
    </row>
    <row r="194" spans="1:9" ht="18" customHeight="1" x14ac:dyDescent="0.4">
      <c r="A194" s="16" t="s">
        <v>801</v>
      </c>
      <c r="B194" s="275" t="s">
        <v>826</v>
      </c>
      <c r="C194" s="276">
        <v>537.48</v>
      </c>
      <c r="D194" s="277">
        <v>153</v>
      </c>
      <c r="E194" s="6">
        <f t="shared" si="28"/>
        <v>82234.44</v>
      </c>
      <c r="F194" s="60">
        <f t="shared" si="29"/>
        <v>5756.4108000000006</v>
      </c>
      <c r="G194" s="60">
        <f t="shared" si="30"/>
        <v>87990.8508</v>
      </c>
      <c r="H194" s="273" t="s">
        <v>392</v>
      </c>
      <c r="I194">
        <v>6905213</v>
      </c>
    </row>
    <row r="195" spans="1:9" ht="18" customHeight="1" x14ac:dyDescent="0.4">
      <c r="A195" s="16" t="s">
        <v>801</v>
      </c>
      <c r="B195" s="275" t="s">
        <v>826</v>
      </c>
      <c r="C195" s="276">
        <v>1581.01</v>
      </c>
      <c r="D195" s="277">
        <v>153</v>
      </c>
      <c r="E195" s="6">
        <f t="shared" si="28"/>
        <v>241894.53</v>
      </c>
      <c r="F195" s="60">
        <f t="shared" si="29"/>
        <v>16932.617100000003</v>
      </c>
      <c r="G195" s="60">
        <f t="shared" si="30"/>
        <v>258827.1471</v>
      </c>
      <c r="H195" s="273" t="s">
        <v>392</v>
      </c>
      <c r="I195">
        <v>6905212</v>
      </c>
    </row>
    <row r="196" spans="1:9" ht="18" customHeight="1" x14ac:dyDescent="0.4">
      <c r="A196" s="16" t="s">
        <v>804</v>
      </c>
      <c r="B196" s="275" t="s">
        <v>222</v>
      </c>
      <c r="C196" s="276">
        <v>674.52</v>
      </c>
      <c r="D196" s="277">
        <v>154</v>
      </c>
      <c r="E196" s="6">
        <f t="shared" si="28"/>
        <v>103876.08</v>
      </c>
      <c r="F196" s="60">
        <f t="shared" si="29"/>
        <v>7271.325600000001</v>
      </c>
      <c r="G196" s="60">
        <f t="shared" si="30"/>
        <v>111147.4056</v>
      </c>
      <c r="H196" s="273" t="s">
        <v>392</v>
      </c>
      <c r="I196">
        <v>6905131</v>
      </c>
    </row>
    <row r="197" spans="1:9" ht="18" customHeight="1" x14ac:dyDescent="0.4">
      <c r="A197" s="16" t="s">
        <v>804</v>
      </c>
      <c r="B197" s="275" t="s">
        <v>222</v>
      </c>
      <c r="C197" s="276">
        <v>298.33</v>
      </c>
      <c r="D197" s="277">
        <v>154</v>
      </c>
      <c r="E197" s="6">
        <f t="shared" si="28"/>
        <v>45942.82</v>
      </c>
      <c r="F197" s="60">
        <f t="shared" si="29"/>
        <v>3215.9974000000002</v>
      </c>
      <c r="G197" s="60">
        <f t="shared" si="30"/>
        <v>49158.8174</v>
      </c>
      <c r="H197" s="273" t="s">
        <v>392</v>
      </c>
      <c r="I197">
        <v>6905130</v>
      </c>
    </row>
    <row r="198" spans="1:9" ht="18" customHeight="1" x14ac:dyDescent="0.4">
      <c r="A198" s="16" t="s">
        <v>803</v>
      </c>
      <c r="B198" s="275" t="s">
        <v>141</v>
      </c>
      <c r="C198" s="276">
        <v>575.01</v>
      </c>
      <c r="D198" s="277">
        <v>154</v>
      </c>
      <c r="E198" s="6">
        <f t="shared" si="28"/>
        <v>88551.54</v>
      </c>
      <c r="F198" s="60">
        <f t="shared" si="29"/>
        <v>6198.6077999999998</v>
      </c>
      <c r="G198" s="60">
        <f t="shared" si="30"/>
        <v>94750.147799999992</v>
      </c>
      <c r="H198" s="273" t="s">
        <v>392</v>
      </c>
      <c r="I198">
        <v>6905033</v>
      </c>
    </row>
    <row r="199" spans="1:9" ht="18" customHeight="1" x14ac:dyDescent="0.4">
      <c r="A199" s="16" t="s">
        <v>789</v>
      </c>
      <c r="B199" s="275" t="s">
        <v>141</v>
      </c>
      <c r="C199" s="276">
        <v>290.23</v>
      </c>
      <c r="D199" s="277">
        <v>154</v>
      </c>
      <c r="E199" s="6">
        <f t="shared" si="28"/>
        <v>44695.420000000006</v>
      </c>
      <c r="F199" s="60">
        <f t="shared" si="29"/>
        <v>3128.6794000000009</v>
      </c>
      <c r="G199" s="60">
        <f t="shared" si="30"/>
        <v>47824.099400000006</v>
      </c>
      <c r="H199" s="273" t="s">
        <v>392</v>
      </c>
      <c r="I199">
        <v>6905100</v>
      </c>
    </row>
    <row r="200" spans="1:9" ht="18" customHeight="1" x14ac:dyDescent="0.4">
      <c r="A200" s="16" t="s">
        <v>809</v>
      </c>
      <c r="B200" s="275" t="s">
        <v>141</v>
      </c>
      <c r="C200" s="276">
        <v>97.36</v>
      </c>
      <c r="D200" s="277">
        <v>154</v>
      </c>
      <c r="E200" s="6">
        <f t="shared" si="28"/>
        <v>14993.44</v>
      </c>
      <c r="F200" s="60">
        <f t="shared" si="29"/>
        <v>1049.5408000000002</v>
      </c>
      <c r="G200" s="60">
        <f t="shared" si="30"/>
        <v>16042.980800000001</v>
      </c>
      <c r="H200" s="273" t="s">
        <v>392</v>
      </c>
      <c r="I200">
        <v>6905288</v>
      </c>
    </row>
    <row r="201" spans="1:9" ht="18" customHeight="1" x14ac:dyDescent="0.4">
      <c r="A201" s="16" t="s">
        <v>803</v>
      </c>
      <c r="B201" s="275" t="s">
        <v>628</v>
      </c>
      <c r="C201" s="276">
        <v>1848.54</v>
      </c>
      <c r="D201" s="277">
        <v>154</v>
      </c>
      <c r="E201" s="6">
        <f t="shared" si="28"/>
        <v>284675.15999999997</v>
      </c>
      <c r="F201" s="60">
        <f t="shared" si="29"/>
        <v>19927.261200000001</v>
      </c>
      <c r="G201" s="60">
        <f t="shared" si="30"/>
        <v>304602.42119999998</v>
      </c>
      <c r="H201" s="273" t="s">
        <v>392</v>
      </c>
      <c r="I201">
        <v>6905032</v>
      </c>
    </row>
    <row r="202" spans="1:9" ht="18" customHeight="1" x14ac:dyDescent="0.4">
      <c r="A202" s="16" t="s">
        <v>798</v>
      </c>
      <c r="B202" s="275" t="s">
        <v>855</v>
      </c>
      <c r="C202" s="276">
        <v>2993.96</v>
      </c>
      <c r="D202" s="277">
        <v>153</v>
      </c>
      <c r="E202" s="6">
        <f t="shared" si="28"/>
        <v>458075.88</v>
      </c>
      <c r="F202" s="60">
        <f t="shared" si="29"/>
        <v>32065.311600000005</v>
      </c>
      <c r="G202" s="60">
        <f t="shared" si="30"/>
        <v>490141.19160000002</v>
      </c>
      <c r="H202" s="273" t="s">
        <v>392</v>
      </c>
      <c r="I202">
        <v>6905340</v>
      </c>
    </row>
    <row r="203" spans="1:9" ht="18" customHeight="1" x14ac:dyDescent="0.4">
      <c r="A203" s="16" t="s">
        <v>798</v>
      </c>
      <c r="B203" s="275" t="s">
        <v>628</v>
      </c>
      <c r="C203" s="276">
        <v>1954.3</v>
      </c>
      <c r="D203" s="277">
        <v>154</v>
      </c>
      <c r="E203" s="6">
        <f t="shared" si="28"/>
        <v>300962.2</v>
      </c>
      <c r="F203" s="60">
        <f t="shared" si="29"/>
        <v>21067.354000000003</v>
      </c>
      <c r="G203" s="60">
        <f t="shared" si="30"/>
        <v>322029.554</v>
      </c>
      <c r="H203" s="273" t="s">
        <v>392</v>
      </c>
      <c r="I203">
        <v>6905338</v>
      </c>
    </row>
    <row r="204" spans="1:9" ht="18" customHeight="1" x14ac:dyDescent="0.4">
      <c r="A204" s="4" t="s">
        <v>803</v>
      </c>
      <c r="B204" s="275" t="s">
        <v>39</v>
      </c>
      <c r="C204" s="276">
        <v>2552.59</v>
      </c>
      <c r="D204" s="277">
        <v>154</v>
      </c>
      <c r="E204" s="6">
        <f t="shared" si="28"/>
        <v>393098.86000000004</v>
      </c>
      <c r="F204" s="60">
        <f t="shared" si="29"/>
        <v>27516.920200000004</v>
      </c>
      <c r="G204" s="60">
        <f t="shared" si="30"/>
        <v>420615.78020000004</v>
      </c>
      <c r="H204" s="273" t="s">
        <v>392</v>
      </c>
      <c r="I204">
        <v>6905031</v>
      </c>
    </row>
    <row r="205" spans="1:9" ht="18" customHeight="1" x14ac:dyDescent="0.4">
      <c r="A205" s="4" t="s">
        <v>789</v>
      </c>
      <c r="B205" s="275" t="s">
        <v>163</v>
      </c>
      <c r="C205" s="276">
        <v>2361.84</v>
      </c>
      <c r="D205" s="277">
        <v>154</v>
      </c>
      <c r="E205" s="6">
        <f t="shared" si="28"/>
        <v>363723.36000000004</v>
      </c>
      <c r="F205" s="60">
        <f t="shared" si="29"/>
        <v>25460.635200000004</v>
      </c>
      <c r="G205" s="60">
        <f t="shared" si="30"/>
        <v>389183.99520000006</v>
      </c>
      <c r="H205" s="273" t="s">
        <v>392</v>
      </c>
      <c r="I205">
        <v>6905099</v>
      </c>
    </row>
    <row r="206" spans="1:9" ht="18" customHeight="1" x14ac:dyDescent="0.4">
      <c r="A206" s="4" t="s">
        <v>798</v>
      </c>
      <c r="B206" s="275" t="s">
        <v>163</v>
      </c>
      <c r="C206" s="276">
        <v>395.64</v>
      </c>
      <c r="D206" s="277">
        <v>154</v>
      </c>
      <c r="E206" s="6">
        <f t="shared" si="28"/>
        <v>60928.56</v>
      </c>
      <c r="F206" s="60">
        <f t="shared" si="29"/>
        <v>4264.9992000000002</v>
      </c>
      <c r="G206" s="60">
        <f t="shared" si="30"/>
        <v>65193.559199999996</v>
      </c>
      <c r="H206" s="273" t="s">
        <v>392</v>
      </c>
      <c r="I206">
        <v>6905339</v>
      </c>
    </row>
    <row r="207" spans="1:9" ht="18" customHeight="1" x14ac:dyDescent="0.4">
      <c r="A207" s="4" t="s">
        <v>787</v>
      </c>
      <c r="B207" s="275" t="s">
        <v>230</v>
      </c>
      <c r="C207" s="276">
        <v>2353.29</v>
      </c>
      <c r="D207" s="277">
        <v>154</v>
      </c>
      <c r="E207" s="6">
        <f t="shared" si="28"/>
        <v>362406.66</v>
      </c>
      <c r="F207" s="60">
        <f t="shared" si="29"/>
        <v>25368.466199999999</v>
      </c>
      <c r="G207" s="60">
        <f t="shared" si="30"/>
        <v>387775.1262</v>
      </c>
      <c r="H207" s="273" t="s">
        <v>392</v>
      </c>
      <c r="I207">
        <v>6905049</v>
      </c>
    </row>
    <row r="208" spans="1:9" ht="18" customHeight="1" x14ac:dyDescent="0.4">
      <c r="A208" s="4" t="s">
        <v>785</v>
      </c>
      <c r="B208" s="275" t="s">
        <v>41</v>
      </c>
      <c r="C208" s="276">
        <v>201.62</v>
      </c>
      <c r="D208" s="277">
        <v>154</v>
      </c>
      <c r="E208" s="6">
        <f t="shared" si="28"/>
        <v>31049.48</v>
      </c>
      <c r="F208" s="60">
        <f t="shared" si="29"/>
        <v>2173.4636</v>
      </c>
      <c r="G208" s="60">
        <f t="shared" si="30"/>
        <v>33222.943599999999</v>
      </c>
      <c r="H208" s="273" t="s">
        <v>392</v>
      </c>
      <c r="I208">
        <v>6905161</v>
      </c>
    </row>
    <row r="209" spans="1:9" ht="18" customHeight="1" x14ac:dyDescent="0.4">
      <c r="A209" s="4" t="s">
        <v>801</v>
      </c>
      <c r="B209" s="275" t="s">
        <v>41</v>
      </c>
      <c r="C209" s="276">
        <v>2085.11</v>
      </c>
      <c r="D209" s="277">
        <v>154</v>
      </c>
      <c r="E209" s="6">
        <f t="shared" si="28"/>
        <v>321106.94</v>
      </c>
      <c r="F209" s="60">
        <f t="shared" si="29"/>
        <v>22477.485800000002</v>
      </c>
      <c r="G209" s="60">
        <f t="shared" si="30"/>
        <v>343584.42580000003</v>
      </c>
      <c r="H209" s="273" t="s">
        <v>392</v>
      </c>
      <c r="I209">
        <v>6905214</v>
      </c>
    </row>
    <row r="210" spans="1:9" ht="18" customHeight="1" x14ac:dyDescent="0.4">
      <c r="A210" s="4" t="s">
        <v>794</v>
      </c>
      <c r="B210" s="275" t="s">
        <v>41</v>
      </c>
      <c r="C210" s="276">
        <v>592.01</v>
      </c>
      <c r="D210" s="277">
        <v>154</v>
      </c>
      <c r="E210" s="6">
        <f t="shared" si="28"/>
        <v>91169.54</v>
      </c>
      <c r="F210" s="60">
        <f t="shared" si="29"/>
        <v>6381.8678</v>
      </c>
      <c r="G210" s="60">
        <f t="shared" si="30"/>
        <v>97551.407799999986</v>
      </c>
      <c r="H210" s="273" t="s">
        <v>392</v>
      </c>
      <c r="I210">
        <v>6905234</v>
      </c>
    </row>
    <row r="211" spans="1:9" ht="18" customHeight="1" x14ac:dyDescent="0.4">
      <c r="A211" s="4" t="s">
        <v>806</v>
      </c>
      <c r="B211" s="275" t="s">
        <v>41</v>
      </c>
      <c r="C211" s="276">
        <v>493.45</v>
      </c>
      <c r="D211" s="277">
        <v>154</v>
      </c>
      <c r="E211" s="6">
        <f t="shared" si="28"/>
        <v>75991.3</v>
      </c>
      <c r="F211" s="60">
        <f t="shared" si="29"/>
        <v>5319.3910000000005</v>
      </c>
      <c r="G211" s="60">
        <f t="shared" si="30"/>
        <v>81310.691000000006</v>
      </c>
      <c r="H211" s="273" t="s">
        <v>392</v>
      </c>
      <c r="I211">
        <v>6905243</v>
      </c>
    </row>
    <row r="212" spans="1:9" ht="18" customHeight="1" x14ac:dyDescent="0.4">
      <c r="A212" s="4" t="s">
        <v>806</v>
      </c>
      <c r="B212" s="275" t="s">
        <v>41</v>
      </c>
      <c r="C212" s="276">
        <v>389.49</v>
      </c>
      <c r="D212" s="277">
        <v>154</v>
      </c>
      <c r="E212" s="6">
        <f t="shared" si="28"/>
        <v>59981.46</v>
      </c>
      <c r="F212" s="60">
        <f t="shared" si="29"/>
        <v>4198.7022000000006</v>
      </c>
      <c r="G212" s="60">
        <f t="shared" si="30"/>
        <v>64180.162199999999</v>
      </c>
      <c r="H212" s="273" t="s">
        <v>392</v>
      </c>
      <c r="I212">
        <v>6905242</v>
      </c>
    </row>
    <row r="213" spans="1:9" ht="18" customHeight="1" x14ac:dyDescent="0.4">
      <c r="A213" s="4" t="s">
        <v>798</v>
      </c>
      <c r="B213" s="275" t="s">
        <v>41</v>
      </c>
      <c r="C213" s="276">
        <v>777.33</v>
      </c>
      <c r="D213" s="277">
        <v>154</v>
      </c>
      <c r="E213" s="6">
        <f t="shared" si="28"/>
        <v>119708.82</v>
      </c>
      <c r="F213" s="60">
        <f t="shared" si="29"/>
        <v>8379.617400000001</v>
      </c>
      <c r="G213" s="60">
        <f t="shared" si="30"/>
        <v>128088.43740000001</v>
      </c>
      <c r="H213" s="273" t="s">
        <v>392</v>
      </c>
      <c r="I213">
        <v>6905337</v>
      </c>
    </row>
    <row r="214" spans="1:9" ht="18" customHeight="1" x14ac:dyDescent="0.4">
      <c r="A214" s="4" t="s">
        <v>809</v>
      </c>
      <c r="B214" s="275" t="s">
        <v>223</v>
      </c>
      <c r="C214" s="276">
        <v>591.91</v>
      </c>
      <c r="D214" s="277">
        <v>154</v>
      </c>
      <c r="E214" s="6">
        <f t="shared" si="28"/>
        <v>91154.14</v>
      </c>
      <c r="F214" s="60">
        <f t="shared" si="29"/>
        <v>6380.7898000000005</v>
      </c>
      <c r="G214" s="60">
        <f t="shared" si="30"/>
        <v>97534.929799999998</v>
      </c>
      <c r="H214" s="273" t="s">
        <v>392</v>
      </c>
      <c r="I214">
        <v>6905289</v>
      </c>
    </row>
    <row r="215" spans="1:9" ht="18" customHeight="1" x14ac:dyDescent="0.4">
      <c r="A215" s="4" t="s">
        <v>789</v>
      </c>
      <c r="B215" s="275" t="s">
        <v>136</v>
      </c>
      <c r="C215" s="276">
        <v>290.73</v>
      </c>
      <c r="D215" s="277">
        <v>154</v>
      </c>
      <c r="E215" s="6">
        <f t="shared" si="28"/>
        <v>44772.420000000006</v>
      </c>
      <c r="F215" s="60">
        <f t="shared" si="29"/>
        <v>3134.0694000000008</v>
      </c>
      <c r="G215" s="60">
        <f t="shared" si="30"/>
        <v>47906.489400000006</v>
      </c>
      <c r="H215" s="273" t="s">
        <v>392</v>
      </c>
      <c r="I215">
        <v>6905101</v>
      </c>
    </row>
    <row r="216" spans="1:9" ht="18" customHeight="1" x14ac:dyDescent="0.4">
      <c r="A216" s="4" t="s">
        <v>804</v>
      </c>
      <c r="B216" s="275" t="s">
        <v>136</v>
      </c>
      <c r="C216" s="276">
        <v>95.56</v>
      </c>
      <c r="D216" s="277">
        <v>154</v>
      </c>
      <c r="E216" s="6">
        <f t="shared" si="28"/>
        <v>14716.24</v>
      </c>
      <c r="F216" s="60">
        <f t="shared" si="29"/>
        <v>1030.1368</v>
      </c>
      <c r="G216" s="60">
        <f t="shared" si="30"/>
        <v>15746.3768</v>
      </c>
      <c r="H216" s="273" t="s">
        <v>392</v>
      </c>
      <c r="I216">
        <v>6905129</v>
      </c>
    </row>
    <row r="217" spans="1:9" ht="18" customHeight="1" x14ac:dyDescent="0.4">
      <c r="A217" s="4" t="s">
        <v>794</v>
      </c>
      <c r="B217" s="275" t="s">
        <v>136</v>
      </c>
      <c r="C217" s="276">
        <v>389.54</v>
      </c>
      <c r="D217" s="277">
        <v>154</v>
      </c>
      <c r="E217" s="6">
        <f t="shared" si="28"/>
        <v>59989.16</v>
      </c>
      <c r="F217" s="60">
        <f t="shared" si="29"/>
        <v>4199.2412000000004</v>
      </c>
      <c r="G217" s="60">
        <f t="shared" si="30"/>
        <v>64188.401200000008</v>
      </c>
      <c r="H217" s="273" t="s">
        <v>392</v>
      </c>
      <c r="I217">
        <v>6905233</v>
      </c>
    </row>
    <row r="218" spans="1:9" ht="18" customHeight="1" thickBot="1" x14ac:dyDescent="0.35">
      <c r="A218" s="61"/>
      <c r="B218" s="17" t="s">
        <v>15</v>
      </c>
      <c r="C218" s="18">
        <f>SUM(C158:C217)</f>
        <v>48255.41</v>
      </c>
      <c r="D218" s="66"/>
      <c r="E218" s="20">
        <f>SUM(E158:E217)</f>
        <v>7071703.5200000005</v>
      </c>
      <c r="F218" s="20">
        <f>SUM(F158:F217)</f>
        <v>495019.24640000018</v>
      </c>
      <c r="G218" s="20">
        <f>SUM(G158:G217)</f>
        <v>7566722.7664000001</v>
      </c>
    </row>
    <row r="219" spans="1:9" ht="18" customHeight="1" thickTop="1" x14ac:dyDescent="0.3">
      <c r="A219" s="67"/>
      <c r="B219" s="68"/>
      <c r="C219" s="69"/>
      <c r="D219" s="88"/>
      <c r="E219" s="187"/>
      <c r="F219" s="187"/>
      <c r="G219" s="187"/>
    </row>
    <row r="220" spans="1:9" s="30" customFormat="1" ht="23.25" x14ac:dyDescent="0.5">
      <c r="A220" s="359" t="s">
        <v>43</v>
      </c>
      <c r="B220" s="359"/>
      <c r="C220" s="359"/>
      <c r="D220" s="359"/>
      <c r="E220" s="359"/>
      <c r="F220" s="359"/>
      <c r="G220" s="359"/>
    </row>
    <row r="221" spans="1:9" s="30" customFormat="1" ht="18" customHeight="1" x14ac:dyDescent="0.5">
      <c r="A221" s="1" t="s">
        <v>2</v>
      </c>
      <c r="B221" s="2" t="s">
        <v>3</v>
      </c>
      <c r="C221" s="307" t="s">
        <v>44</v>
      </c>
      <c r="D221" s="3" t="s">
        <v>5</v>
      </c>
      <c r="E221" s="2" t="s">
        <v>6</v>
      </c>
      <c r="F221" s="2" t="s">
        <v>7</v>
      </c>
      <c r="G221" s="2" t="s">
        <v>8</v>
      </c>
    </row>
    <row r="222" spans="1:9" ht="18" customHeight="1" x14ac:dyDescent="0.4">
      <c r="A222" s="4" t="s">
        <v>786</v>
      </c>
      <c r="B222" s="5" t="s">
        <v>45</v>
      </c>
      <c r="C222" s="6">
        <v>100800</v>
      </c>
      <c r="D222" s="72">
        <v>0.9</v>
      </c>
      <c r="E222" s="60">
        <f t="shared" ref="E222:E248" si="31">+C222*D222</f>
        <v>90720</v>
      </c>
      <c r="F222" s="60">
        <f t="shared" ref="F222:F249" si="32">+E222*7%</f>
        <v>6350.4000000000005</v>
      </c>
      <c r="G222" s="60">
        <f t="shared" ref="G222:G249" si="33">+E222+F222</f>
        <v>97070.399999999994</v>
      </c>
      <c r="I222">
        <v>6905010</v>
      </c>
    </row>
    <row r="223" spans="1:9" s="30" customFormat="1" ht="18" customHeight="1" x14ac:dyDescent="0.5">
      <c r="A223" s="4" t="s">
        <v>800</v>
      </c>
      <c r="B223" s="5" t="s">
        <v>45</v>
      </c>
      <c r="C223" s="6">
        <v>160800</v>
      </c>
      <c r="D223" s="72">
        <v>0.9</v>
      </c>
      <c r="E223" s="8">
        <f t="shared" si="31"/>
        <v>144720</v>
      </c>
      <c r="F223" s="8">
        <f t="shared" si="32"/>
        <v>10130.400000000001</v>
      </c>
      <c r="G223" s="8">
        <f t="shared" si="33"/>
        <v>154850.4</v>
      </c>
      <c r="I223" s="30">
        <v>6905020</v>
      </c>
    </row>
    <row r="224" spans="1:9" s="30" customFormat="1" ht="18" customHeight="1" x14ac:dyDescent="0.5">
      <c r="A224" s="11" t="s">
        <v>789</v>
      </c>
      <c r="B224" s="5" t="s">
        <v>45</v>
      </c>
      <c r="C224" s="6">
        <v>108000</v>
      </c>
      <c r="D224" s="72">
        <v>0.9</v>
      </c>
      <c r="E224" s="60">
        <f t="shared" si="31"/>
        <v>97200</v>
      </c>
      <c r="F224" s="60">
        <f t="shared" si="32"/>
        <v>6804.0000000000009</v>
      </c>
      <c r="G224" s="60">
        <f t="shared" si="33"/>
        <v>104004</v>
      </c>
      <c r="I224" s="30">
        <v>6905089</v>
      </c>
    </row>
    <row r="225" spans="1:9" s="30" customFormat="1" ht="18" customHeight="1" x14ac:dyDescent="0.5">
      <c r="A225" s="11" t="s">
        <v>804</v>
      </c>
      <c r="B225" s="5" t="s">
        <v>45</v>
      </c>
      <c r="C225" s="6">
        <v>216000</v>
      </c>
      <c r="D225" s="72">
        <v>0.9</v>
      </c>
      <c r="E225" s="8">
        <f t="shared" si="31"/>
        <v>194400</v>
      </c>
      <c r="F225" s="8">
        <f t="shared" si="32"/>
        <v>13608.000000000002</v>
      </c>
      <c r="G225" s="8">
        <f t="shared" si="33"/>
        <v>208008</v>
      </c>
      <c r="I225" s="30">
        <v>6905125</v>
      </c>
    </row>
    <row r="226" spans="1:9" s="30" customFormat="1" ht="18" customHeight="1" x14ac:dyDescent="0.5">
      <c r="A226" s="11" t="s">
        <v>801</v>
      </c>
      <c r="B226" s="5" t="s">
        <v>45</v>
      </c>
      <c r="C226" s="6">
        <v>108000</v>
      </c>
      <c r="D226" s="72">
        <v>0.9</v>
      </c>
      <c r="E226" s="8">
        <f t="shared" si="31"/>
        <v>97200</v>
      </c>
      <c r="F226" s="8">
        <f t="shared" si="32"/>
        <v>6804.0000000000009</v>
      </c>
      <c r="G226" s="8">
        <f t="shared" si="33"/>
        <v>104004</v>
      </c>
      <c r="I226" s="30">
        <v>6905207</v>
      </c>
    </row>
    <row r="227" spans="1:9" s="30" customFormat="1" ht="18" customHeight="1" x14ac:dyDescent="0.5">
      <c r="A227" s="11" t="s">
        <v>806</v>
      </c>
      <c r="B227" s="5" t="s">
        <v>45</v>
      </c>
      <c r="C227" s="6">
        <v>108000</v>
      </c>
      <c r="D227" s="72">
        <v>0.9</v>
      </c>
      <c r="E227" s="8">
        <f t="shared" si="31"/>
        <v>97200</v>
      </c>
      <c r="F227" s="8">
        <f t="shared" si="32"/>
        <v>6804.0000000000009</v>
      </c>
      <c r="G227" s="8">
        <f t="shared" si="33"/>
        <v>104004</v>
      </c>
      <c r="I227" s="30">
        <v>6905235</v>
      </c>
    </row>
    <row r="228" spans="1:9" s="30" customFormat="1" ht="18" customHeight="1" x14ac:dyDescent="0.5">
      <c r="A228" s="11" t="s">
        <v>807</v>
      </c>
      <c r="B228" s="5" t="s">
        <v>45</v>
      </c>
      <c r="C228" s="6">
        <v>108000</v>
      </c>
      <c r="D228" s="72">
        <v>0.9</v>
      </c>
      <c r="E228" s="8">
        <f t="shared" si="31"/>
        <v>97200</v>
      </c>
      <c r="F228" s="8">
        <f t="shared" si="32"/>
        <v>6804.0000000000009</v>
      </c>
      <c r="G228" s="8">
        <f t="shared" si="33"/>
        <v>104004</v>
      </c>
      <c r="I228" s="30">
        <v>6905265</v>
      </c>
    </row>
    <row r="229" spans="1:9" s="30" customFormat="1" ht="18" customHeight="1" x14ac:dyDescent="0.5">
      <c r="A229" s="11" t="s">
        <v>799</v>
      </c>
      <c r="B229" s="5" t="s">
        <v>45</v>
      </c>
      <c r="C229" s="6">
        <v>108000</v>
      </c>
      <c r="D229" s="72">
        <v>0.9</v>
      </c>
      <c r="E229" s="8">
        <f t="shared" si="31"/>
        <v>97200</v>
      </c>
      <c r="F229" s="8">
        <f t="shared" si="32"/>
        <v>6804.0000000000009</v>
      </c>
      <c r="G229" s="8">
        <f t="shared" si="33"/>
        <v>104004</v>
      </c>
      <c r="I229" s="30">
        <v>6905355</v>
      </c>
    </row>
    <row r="230" spans="1:9" s="30" customFormat="1" ht="18" customHeight="1" x14ac:dyDescent="0.5">
      <c r="A230" s="11" t="s">
        <v>786</v>
      </c>
      <c r="B230" s="5" t="s">
        <v>46</v>
      </c>
      <c r="C230" s="60">
        <v>379200</v>
      </c>
      <c r="D230" s="72">
        <v>1</v>
      </c>
      <c r="E230" s="8">
        <f t="shared" si="31"/>
        <v>379200</v>
      </c>
      <c r="F230" s="8">
        <f t="shared" si="32"/>
        <v>26544.000000000004</v>
      </c>
      <c r="G230" s="8">
        <f t="shared" si="33"/>
        <v>405744</v>
      </c>
      <c r="I230" s="30">
        <v>6905011</v>
      </c>
    </row>
    <row r="231" spans="1:9" s="30" customFormat="1" ht="18" customHeight="1" x14ac:dyDescent="0.5">
      <c r="A231" s="11" t="s">
        <v>800</v>
      </c>
      <c r="B231" s="5" t="s">
        <v>46</v>
      </c>
      <c r="C231" s="60">
        <v>369600</v>
      </c>
      <c r="D231" s="72">
        <v>1</v>
      </c>
      <c r="E231" s="8">
        <f t="shared" si="31"/>
        <v>369600</v>
      </c>
      <c r="F231" s="8">
        <f t="shared" si="32"/>
        <v>25872.000000000004</v>
      </c>
      <c r="G231" s="8">
        <f t="shared" si="33"/>
        <v>395472</v>
      </c>
      <c r="I231" s="30">
        <v>6905021</v>
      </c>
    </row>
    <row r="232" spans="1:9" s="30" customFormat="1" ht="18" customHeight="1" x14ac:dyDescent="0.5">
      <c r="A232" s="11" t="s">
        <v>787</v>
      </c>
      <c r="B232" s="5" t="s">
        <v>46</v>
      </c>
      <c r="C232" s="60">
        <v>184800</v>
      </c>
      <c r="D232" s="72">
        <v>1</v>
      </c>
      <c r="E232" s="8">
        <f t="shared" si="31"/>
        <v>184800</v>
      </c>
      <c r="F232" s="8">
        <f t="shared" si="32"/>
        <v>12936.000000000002</v>
      </c>
      <c r="G232" s="8">
        <f t="shared" si="33"/>
        <v>197736</v>
      </c>
      <c r="I232" s="30">
        <v>6905047</v>
      </c>
    </row>
    <row r="233" spans="1:9" s="30" customFormat="1" ht="18" customHeight="1" x14ac:dyDescent="0.5">
      <c r="A233" s="11" t="s">
        <v>788</v>
      </c>
      <c r="B233" s="5" t="s">
        <v>46</v>
      </c>
      <c r="C233" s="60">
        <v>184800</v>
      </c>
      <c r="D233" s="72">
        <v>1</v>
      </c>
      <c r="E233" s="8">
        <f t="shared" si="31"/>
        <v>184800</v>
      </c>
      <c r="F233" s="8">
        <f t="shared" si="32"/>
        <v>12936.000000000002</v>
      </c>
      <c r="G233" s="8">
        <f t="shared" si="33"/>
        <v>197736</v>
      </c>
      <c r="I233" s="30">
        <v>6905078</v>
      </c>
    </row>
    <row r="234" spans="1:9" s="30" customFormat="1" ht="18" customHeight="1" x14ac:dyDescent="0.5">
      <c r="A234" s="11" t="s">
        <v>789</v>
      </c>
      <c r="B234" s="5" t="s">
        <v>46</v>
      </c>
      <c r="C234" s="60">
        <v>255600</v>
      </c>
      <c r="D234" s="72">
        <v>1</v>
      </c>
      <c r="E234" s="8">
        <f t="shared" si="31"/>
        <v>255600</v>
      </c>
      <c r="F234" s="8">
        <f t="shared" si="32"/>
        <v>17892</v>
      </c>
      <c r="G234" s="8">
        <f t="shared" si="33"/>
        <v>273492</v>
      </c>
      <c r="I234" s="30">
        <v>6905090</v>
      </c>
    </row>
    <row r="235" spans="1:9" s="30" customFormat="1" ht="18" customHeight="1" x14ac:dyDescent="0.5">
      <c r="A235" s="11" t="s">
        <v>804</v>
      </c>
      <c r="B235" s="5" t="s">
        <v>46</v>
      </c>
      <c r="C235" s="60">
        <v>298800</v>
      </c>
      <c r="D235" s="72">
        <v>1</v>
      </c>
      <c r="E235" s="8">
        <f t="shared" si="31"/>
        <v>298800</v>
      </c>
      <c r="F235" s="8">
        <f t="shared" si="32"/>
        <v>20916.000000000004</v>
      </c>
      <c r="G235" s="8">
        <f t="shared" si="33"/>
        <v>319716</v>
      </c>
      <c r="I235" s="30">
        <v>6905126</v>
      </c>
    </row>
    <row r="236" spans="1:9" s="30" customFormat="1" ht="18" customHeight="1" x14ac:dyDescent="0.5">
      <c r="A236" s="11" t="s">
        <v>785</v>
      </c>
      <c r="B236" s="5" t="s">
        <v>46</v>
      </c>
      <c r="C236" s="60">
        <v>184800</v>
      </c>
      <c r="D236" s="72">
        <v>1</v>
      </c>
      <c r="E236" s="8">
        <f t="shared" si="31"/>
        <v>184800</v>
      </c>
      <c r="F236" s="8">
        <f t="shared" si="32"/>
        <v>12936.000000000002</v>
      </c>
      <c r="G236" s="8">
        <f t="shared" si="33"/>
        <v>197736</v>
      </c>
      <c r="I236" s="30">
        <v>6905149</v>
      </c>
    </row>
    <row r="237" spans="1:9" s="30" customFormat="1" ht="18" customHeight="1" x14ac:dyDescent="0.5">
      <c r="A237" s="11" t="s">
        <v>791</v>
      </c>
      <c r="B237" s="5" t="s">
        <v>46</v>
      </c>
      <c r="C237" s="60">
        <v>184800</v>
      </c>
      <c r="D237" s="72">
        <v>1</v>
      </c>
      <c r="E237" s="8">
        <f t="shared" si="31"/>
        <v>184800</v>
      </c>
      <c r="F237" s="8">
        <f t="shared" si="32"/>
        <v>12936.000000000002</v>
      </c>
      <c r="G237" s="8">
        <f t="shared" si="33"/>
        <v>197736</v>
      </c>
      <c r="I237" s="30">
        <v>6905165</v>
      </c>
    </row>
    <row r="238" spans="1:9" s="30" customFormat="1" ht="18" customHeight="1" x14ac:dyDescent="0.5">
      <c r="A238" s="11" t="s">
        <v>805</v>
      </c>
      <c r="B238" s="5" t="s">
        <v>46</v>
      </c>
      <c r="C238" s="60">
        <v>184800</v>
      </c>
      <c r="D238" s="72">
        <v>1</v>
      </c>
      <c r="E238" s="8">
        <f t="shared" si="31"/>
        <v>184800</v>
      </c>
      <c r="F238" s="8">
        <f t="shared" si="32"/>
        <v>12936.000000000002</v>
      </c>
      <c r="G238" s="8">
        <f t="shared" si="33"/>
        <v>197736</v>
      </c>
      <c r="I238" s="30">
        <v>6905183</v>
      </c>
    </row>
    <row r="239" spans="1:9" s="30" customFormat="1" ht="18" customHeight="1" x14ac:dyDescent="0.5">
      <c r="A239" s="11" t="s">
        <v>793</v>
      </c>
      <c r="B239" s="5" t="s">
        <v>46</v>
      </c>
      <c r="C239" s="60">
        <v>184800</v>
      </c>
      <c r="D239" s="72">
        <v>1</v>
      </c>
      <c r="E239" s="8">
        <f t="shared" si="31"/>
        <v>184800</v>
      </c>
      <c r="F239" s="8">
        <f t="shared" si="32"/>
        <v>12936.000000000002</v>
      </c>
      <c r="G239" s="8">
        <f t="shared" si="33"/>
        <v>197736</v>
      </c>
      <c r="I239" s="30">
        <v>6905197</v>
      </c>
    </row>
    <row r="240" spans="1:9" s="30" customFormat="1" ht="18" customHeight="1" x14ac:dyDescent="0.5">
      <c r="A240" s="11" t="s">
        <v>801</v>
      </c>
      <c r="B240" s="5" t="s">
        <v>46</v>
      </c>
      <c r="C240" s="60">
        <v>184800</v>
      </c>
      <c r="D240" s="72">
        <v>1</v>
      </c>
      <c r="E240" s="8">
        <f t="shared" si="31"/>
        <v>184800</v>
      </c>
      <c r="F240" s="8">
        <f t="shared" si="32"/>
        <v>12936.000000000002</v>
      </c>
      <c r="G240" s="8">
        <f t="shared" si="33"/>
        <v>197736</v>
      </c>
      <c r="I240" s="30">
        <v>6905206</v>
      </c>
    </row>
    <row r="241" spans="1:9" s="30" customFormat="1" ht="18" customHeight="1" x14ac:dyDescent="0.5">
      <c r="A241" s="11" t="s">
        <v>794</v>
      </c>
      <c r="B241" s="5" t="s">
        <v>46</v>
      </c>
      <c r="C241" s="60">
        <v>184800</v>
      </c>
      <c r="D241" s="72">
        <v>1</v>
      </c>
      <c r="E241" s="8">
        <f t="shared" si="31"/>
        <v>184800</v>
      </c>
      <c r="F241" s="8">
        <f t="shared" si="32"/>
        <v>12936.000000000002</v>
      </c>
      <c r="G241" s="8">
        <f t="shared" si="33"/>
        <v>197736</v>
      </c>
      <c r="I241" s="30">
        <v>6905228</v>
      </c>
    </row>
    <row r="242" spans="1:9" s="30" customFormat="1" ht="18" customHeight="1" x14ac:dyDescent="0.5">
      <c r="A242" s="11" t="s">
        <v>806</v>
      </c>
      <c r="B242" s="5" t="s">
        <v>46</v>
      </c>
      <c r="C242" s="60">
        <v>184800</v>
      </c>
      <c r="D242" s="72">
        <v>1</v>
      </c>
      <c r="E242" s="8">
        <f t="shared" si="31"/>
        <v>184800</v>
      </c>
      <c r="F242" s="8">
        <f t="shared" si="32"/>
        <v>12936.000000000002</v>
      </c>
      <c r="G242" s="8">
        <f t="shared" si="33"/>
        <v>197736</v>
      </c>
      <c r="I242" s="30">
        <v>6905236</v>
      </c>
    </row>
    <row r="243" spans="1:9" s="30" customFormat="1" ht="18" customHeight="1" x14ac:dyDescent="0.5">
      <c r="A243" s="11" t="s">
        <v>807</v>
      </c>
      <c r="B243" s="5" t="s">
        <v>46</v>
      </c>
      <c r="C243" s="60">
        <v>369600</v>
      </c>
      <c r="D243" s="72">
        <v>1</v>
      </c>
      <c r="E243" s="8">
        <f>+C243*D243</f>
        <v>369600</v>
      </c>
      <c r="F243" s="8">
        <f>+E243*7%</f>
        <v>25872.000000000004</v>
      </c>
      <c r="G243" s="8">
        <f>+E243+F243</f>
        <v>395472</v>
      </c>
      <c r="I243" s="30">
        <v>6905266</v>
      </c>
    </row>
    <row r="244" spans="1:9" s="30" customFormat="1" ht="18" customHeight="1" x14ac:dyDescent="0.5">
      <c r="A244" s="11" t="s">
        <v>796</v>
      </c>
      <c r="B244" s="5" t="s">
        <v>46</v>
      </c>
      <c r="C244" s="60">
        <v>160800</v>
      </c>
      <c r="D244" s="72">
        <v>1</v>
      </c>
      <c r="E244" s="8">
        <f>+C244*D244</f>
        <v>160800</v>
      </c>
      <c r="F244" s="8">
        <f>+E244*7%</f>
        <v>11256.000000000002</v>
      </c>
      <c r="G244" s="8">
        <f>+E244+F244</f>
        <v>172056</v>
      </c>
      <c r="I244" s="30">
        <v>6905271</v>
      </c>
    </row>
    <row r="245" spans="1:9" s="30" customFormat="1" ht="18" customHeight="1" x14ac:dyDescent="0.5">
      <c r="A245" s="11" t="s">
        <v>809</v>
      </c>
      <c r="B245" s="5" t="s">
        <v>46</v>
      </c>
      <c r="C245" s="60">
        <v>208800</v>
      </c>
      <c r="D245" s="72">
        <v>1</v>
      </c>
      <c r="E245" s="8">
        <f t="shared" si="31"/>
        <v>208800</v>
      </c>
      <c r="F245" s="8">
        <f t="shared" si="32"/>
        <v>14616.000000000002</v>
      </c>
      <c r="G245" s="8">
        <f t="shared" si="33"/>
        <v>223416</v>
      </c>
      <c r="I245" s="30">
        <v>6905279</v>
      </c>
    </row>
    <row r="246" spans="1:9" s="30" customFormat="1" ht="18" customHeight="1" x14ac:dyDescent="0.5">
      <c r="A246" s="11" t="s">
        <v>797</v>
      </c>
      <c r="B246" s="5" t="s">
        <v>46</v>
      </c>
      <c r="C246" s="60">
        <v>184800</v>
      </c>
      <c r="D246" s="72">
        <v>1</v>
      </c>
      <c r="E246" s="8">
        <f t="shared" si="31"/>
        <v>184800</v>
      </c>
      <c r="F246" s="8">
        <f t="shared" si="32"/>
        <v>12936.000000000002</v>
      </c>
      <c r="G246" s="8">
        <f t="shared" si="33"/>
        <v>197736</v>
      </c>
      <c r="I246" s="30">
        <v>6905295</v>
      </c>
    </row>
    <row r="247" spans="1:9" s="30" customFormat="1" ht="18" customHeight="1" x14ac:dyDescent="0.5">
      <c r="A247" s="11" t="s">
        <v>810</v>
      </c>
      <c r="B247" s="5" t="s">
        <v>46</v>
      </c>
      <c r="C247" s="60">
        <v>184800</v>
      </c>
      <c r="D247" s="72">
        <v>1</v>
      </c>
      <c r="E247" s="8">
        <f t="shared" si="31"/>
        <v>184800</v>
      </c>
      <c r="F247" s="8">
        <f t="shared" si="32"/>
        <v>12936.000000000002</v>
      </c>
      <c r="G247" s="8">
        <f t="shared" si="33"/>
        <v>197736</v>
      </c>
      <c r="I247" s="30">
        <v>6905313</v>
      </c>
    </row>
    <row r="248" spans="1:9" s="30" customFormat="1" ht="18" customHeight="1" x14ac:dyDescent="0.5">
      <c r="A248" s="11" t="s">
        <v>798</v>
      </c>
      <c r="B248" s="5" t="s">
        <v>46</v>
      </c>
      <c r="C248" s="60">
        <v>120000</v>
      </c>
      <c r="D248" s="72">
        <v>1</v>
      </c>
      <c r="E248" s="8">
        <f t="shared" si="31"/>
        <v>120000</v>
      </c>
      <c r="F248" s="8">
        <f t="shared" si="32"/>
        <v>8400</v>
      </c>
      <c r="G248" s="8">
        <f t="shared" si="33"/>
        <v>128400</v>
      </c>
      <c r="I248" s="30">
        <v>6905329</v>
      </c>
    </row>
    <row r="249" spans="1:9" s="30" customFormat="1" ht="18" customHeight="1" x14ac:dyDescent="0.5">
      <c r="A249" s="11" t="s">
        <v>799</v>
      </c>
      <c r="B249" s="5" t="s">
        <v>46</v>
      </c>
      <c r="C249" s="60">
        <v>249600</v>
      </c>
      <c r="D249" s="72">
        <v>1</v>
      </c>
      <c r="E249" s="37">
        <f>+C249*D249</f>
        <v>249600</v>
      </c>
      <c r="F249" s="8">
        <f t="shared" si="32"/>
        <v>17472</v>
      </c>
      <c r="G249" s="8">
        <f t="shared" si="33"/>
        <v>267072</v>
      </c>
      <c r="I249" s="30">
        <v>6905356</v>
      </c>
    </row>
    <row r="250" spans="1:9" ht="18" customHeight="1" thickBot="1" x14ac:dyDescent="0.45">
      <c r="A250" s="207"/>
      <c r="B250" s="73" t="s">
        <v>15</v>
      </c>
      <c r="C250" s="43">
        <f>SUM(C222:C249)</f>
        <v>5462400</v>
      </c>
      <c r="D250" s="51"/>
      <c r="E250" s="43">
        <f>SUM(E222:E249)</f>
        <v>5360640</v>
      </c>
      <c r="F250" s="43">
        <f>SUM(F222:F249)</f>
        <v>375244.80000000005</v>
      </c>
      <c r="G250" s="43">
        <f>SUM(G222:G249)</f>
        <v>5735884.7999999998</v>
      </c>
    </row>
    <row r="251" spans="1:9" ht="15" customHeight="1" thickTop="1" x14ac:dyDescent="0.4">
      <c r="A251" s="208"/>
      <c r="B251" s="22"/>
      <c r="C251" s="308"/>
      <c r="D251" s="48"/>
      <c r="E251" s="22"/>
      <c r="F251" s="74"/>
      <c r="G251" s="22"/>
    </row>
    <row r="252" spans="1:9" ht="18" customHeight="1" x14ac:dyDescent="0.4">
      <c r="A252" s="1" t="s">
        <v>2</v>
      </c>
      <c r="B252" s="209" t="s">
        <v>3</v>
      </c>
      <c r="C252" s="309" t="s">
        <v>47</v>
      </c>
      <c r="D252" s="310"/>
      <c r="E252" s="54"/>
      <c r="F252" s="54"/>
      <c r="G252" s="54"/>
    </row>
    <row r="253" spans="1:9" s="30" customFormat="1" ht="18" customHeight="1" x14ac:dyDescent="0.5">
      <c r="A253" s="4" t="s">
        <v>786</v>
      </c>
      <c r="B253" s="5" t="s">
        <v>48</v>
      </c>
      <c r="C253" s="6">
        <v>1017.9</v>
      </c>
      <c r="E253"/>
      <c r="F253" s="22"/>
      <c r="G253" s="22"/>
      <c r="I253" s="30">
        <v>6905010</v>
      </c>
    </row>
    <row r="254" spans="1:9" s="30" customFormat="1" ht="18" customHeight="1" x14ac:dyDescent="0.5">
      <c r="A254" s="12" t="s">
        <v>800</v>
      </c>
      <c r="B254" s="5" t="s">
        <v>48</v>
      </c>
      <c r="C254" s="6">
        <v>1684.1</v>
      </c>
      <c r="E254"/>
      <c r="F254" s="22"/>
      <c r="G254" s="22"/>
      <c r="I254" s="30">
        <v>6905020</v>
      </c>
    </row>
    <row r="255" spans="1:9" s="30" customFormat="1" ht="18" customHeight="1" x14ac:dyDescent="0.5">
      <c r="A255" s="12" t="s">
        <v>789</v>
      </c>
      <c r="B255" s="5" t="s">
        <v>48</v>
      </c>
      <c r="C255" s="6">
        <v>1067.7</v>
      </c>
      <c r="E255"/>
      <c r="F255" s="22"/>
      <c r="G255" s="22"/>
      <c r="I255" s="30">
        <v>6905089</v>
      </c>
    </row>
    <row r="256" spans="1:9" s="30" customFormat="1" ht="18" customHeight="1" x14ac:dyDescent="0.5">
      <c r="A256" s="12" t="s">
        <v>804</v>
      </c>
      <c r="B256" s="5" t="s">
        <v>48</v>
      </c>
      <c r="C256" s="6">
        <v>2172</v>
      </c>
      <c r="E256"/>
      <c r="F256" s="22"/>
      <c r="G256" s="22"/>
      <c r="I256" s="30">
        <v>6905125</v>
      </c>
    </row>
    <row r="257" spans="1:9" s="30" customFormat="1" ht="18" customHeight="1" x14ac:dyDescent="0.5">
      <c r="A257" s="11" t="s">
        <v>801</v>
      </c>
      <c r="B257" s="5" t="s">
        <v>48</v>
      </c>
      <c r="C257" s="6">
        <v>1107.5999999999999</v>
      </c>
      <c r="F257" s="22"/>
      <c r="G257" s="22"/>
      <c r="I257" s="30">
        <v>6905207</v>
      </c>
    </row>
    <row r="258" spans="1:9" s="30" customFormat="1" ht="18" customHeight="1" x14ac:dyDescent="0.5">
      <c r="A258" s="11" t="s">
        <v>806</v>
      </c>
      <c r="B258" s="5" t="s">
        <v>48</v>
      </c>
      <c r="C258" s="6">
        <v>1049.7</v>
      </c>
      <c r="F258" s="22"/>
      <c r="G258" s="22"/>
      <c r="I258" s="30">
        <v>6905235</v>
      </c>
    </row>
    <row r="259" spans="1:9" s="30" customFormat="1" ht="18" customHeight="1" x14ac:dyDescent="0.5">
      <c r="A259" s="11" t="s">
        <v>807</v>
      </c>
      <c r="B259" s="5" t="s">
        <v>48</v>
      </c>
      <c r="C259" s="6">
        <v>1053</v>
      </c>
      <c r="F259" s="22"/>
      <c r="G259" s="22"/>
      <c r="I259" s="30">
        <v>6905265</v>
      </c>
    </row>
    <row r="260" spans="1:9" s="30" customFormat="1" ht="18" customHeight="1" x14ac:dyDescent="0.5">
      <c r="A260" s="11" t="s">
        <v>799</v>
      </c>
      <c r="B260" s="5" t="s">
        <v>48</v>
      </c>
      <c r="C260" s="6">
        <v>1043.3</v>
      </c>
      <c r="F260" s="22"/>
      <c r="G260" s="22"/>
      <c r="I260" s="30">
        <v>6905355</v>
      </c>
    </row>
    <row r="261" spans="1:9" s="30" customFormat="1" ht="18" customHeight="1" x14ac:dyDescent="0.5">
      <c r="A261" s="11" t="s">
        <v>786</v>
      </c>
      <c r="B261" s="5" t="s">
        <v>49</v>
      </c>
      <c r="C261" s="6">
        <v>4160.6000000000004</v>
      </c>
      <c r="D261" s="26"/>
      <c r="F261" s="22"/>
      <c r="G261" s="22"/>
      <c r="I261" s="30">
        <v>6905011</v>
      </c>
    </row>
    <row r="262" spans="1:9" s="30" customFormat="1" ht="18" customHeight="1" x14ac:dyDescent="0.5">
      <c r="A262" s="11" t="s">
        <v>800</v>
      </c>
      <c r="B262" s="5" t="s">
        <v>49</v>
      </c>
      <c r="C262" s="6">
        <v>3840</v>
      </c>
      <c r="D262" s="26"/>
      <c r="E262" s="30" t="s">
        <v>211</v>
      </c>
      <c r="F262" s="22"/>
      <c r="G262" s="22"/>
      <c r="I262" s="30">
        <v>6905021</v>
      </c>
    </row>
    <row r="263" spans="1:9" s="30" customFormat="1" ht="18" customHeight="1" x14ac:dyDescent="0.5">
      <c r="A263" s="11" t="s">
        <v>787</v>
      </c>
      <c r="B263" s="5" t="s">
        <v>49</v>
      </c>
      <c r="C263" s="6">
        <v>1960.3</v>
      </c>
      <c r="D263" s="26"/>
      <c r="F263" s="22"/>
      <c r="G263" s="22"/>
      <c r="I263" s="30">
        <v>6905047</v>
      </c>
    </row>
    <row r="264" spans="1:9" s="30" customFormat="1" ht="18" customHeight="1" x14ac:dyDescent="0.5">
      <c r="A264" s="11" t="s">
        <v>788</v>
      </c>
      <c r="B264" s="5" t="s">
        <v>49</v>
      </c>
      <c r="C264" s="6">
        <v>1968.2</v>
      </c>
      <c r="D264" s="26"/>
      <c r="F264" s="22"/>
      <c r="G264" s="22"/>
      <c r="I264" s="30">
        <v>6905078</v>
      </c>
    </row>
    <row r="265" spans="1:9" s="30" customFormat="1" ht="18" customHeight="1" x14ac:dyDescent="0.5">
      <c r="A265" s="11" t="s">
        <v>789</v>
      </c>
      <c r="B265" s="5" t="s">
        <v>49</v>
      </c>
      <c r="C265" s="6">
        <v>2709.4</v>
      </c>
      <c r="D265" s="26"/>
      <c r="F265" s="22"/>
      <c r="G265" s="22"/>
      <c r="I265" s="30">
        <v>6905090</v>
      </c>
    </row>
    <row r="266" spans="1:9" s="30" customFormat="1" ht="18" customHeight="1" x14ac:dyDescent="0.5">
      <c r="A266" s="11" t="s">
        <v>804</v>
      </c>
      <c r="B266" s="5" t="s">
        <v>49</v>
      </c>
      <c r="C266" s="6">
        <v>3286.5</v>
      </c>
      <c r="D266" s="26"/>
      <c r="F266" s="22"/>
      <c r="G266" s="22"/>
      <c r="I266" s="30">
        <v>6905126</v>
      </c>
    </row>
    <row r="267" spans="1:9" s="30" customFormat="1" ht="18" customHeight="1" x14ac:dyDescent="0.5">
      <c r="A267" s="11" t="s">
        <v>785</v>
      </c>
      <c r="B267" s="5" t="s">
        <v>49</v>
      </c>
      <c r="C267" s="6">
        <v>2021.9</v>
      </c>
      <c r="D267" s="26"/>
      <c r="F267" s="22"/>
      <c r="G267" s="22"/>
      <c r="I267" s="30">
        <v>6905149</v>
      </c>
    </row>
    <row r="268" spans="1:9" s="30" customFormat="1" ht="18" customHeight="1" x14ac:dyDescent="0.5">
      <c r="A268" s="11" t="s">
        <v>791</v>
      </c>
      <c r="B268" s="5" t="s">
        <v>49</v>
      </c>
      <c r="C268" s="6">
        <v>2032.5</v>
      </c>
      <c r="D268" s="26"/>
      <c r="F268" s="22"/>
      <c r="G268" s="22"/>
      <c r="I268" s="30">
        <v>6905165</v>
      </c>
    </row>
    <row r="269" spans="1:9" s="30" customFormat="1" ht="18" customHeight="1" x14ac:dyDescent="0.5">
      <c r="A269" s="11" t="s">
        <v>805</v>
      </c>
      <c r="B269" s="5" t="s">
        <v>49</v>
      </c>
      <c r="C269" s="6">
        <v>2079.6999999999998</v>
      </c>
      <c r="D269" s="26"/>
      <c r="F269" s="22"/>
      <c r="G269" s="22"/>
      <c r="I269" s="30">
        <v>6905183</v>
      </c>
    </row>
    <row r="270" spans="1:9" s="30" customFormat="1" ht="18" customHeight="1" x14ac:dyDescent="0.5">
      <c r="A270" s="11" t="s">
        <v>793</v>
      </c>
      <c r="B270" s="5" t="s">
        <v>49</v>
      </c>
      <c r="C270" s="6">
        <v>2065.1</v>
      </c>
      <c r="D270" s="26"/>
      <c r="F270" s="22"/>
      <c r="G270" s="22"/>
      <c r="I270" s="30">
        <v>6905197</v>
      </c>
    </row>
    <row r="271" spans="1:9" s="30" customFormat="1" ht="18" customHeight="1" x14ac:dyDescent="0.5">
      <c r="A271" s="11" t="s">
        <v>801</v>
      </c>
      <c r="B271" s="5" t="s">
        <v>49</v>
      </c>
      <c r="C271" s="6">
        <v>1973.5</v>
      </c>
      <c r="D271" s="26"/>
      <c r="F271" s="22"/>
      <c r="G271" s="22"/>
      <c r="I271" s="30">
        <v>6905206</v>
      </c>
    </row>
    <row r="272" spans="1:9" s="30" customFormat="1" ht="18" customHeight="1" x14ac:dyDescent="0.5">
      <c r="A272" s="11" t="s">
        <v>794</v>
      </c>
      <c r="B272" s="5" t="s">
        <v>49</v>
      </c>
      <c r="C272" s="6">
        <v>1960.7</v>
      </c>
      <c r="D272" s="26"/>
      <c r="F272" s="22"/>
      <c r="G272" s="22"/>
      <c r="I272" s="30">
        <v>6905228</v>
      </c>
    </row>
    <row r="273" spans="1:9" s="30" customFormat="1" ht="18" customHeight="1" x14ac:dyDescent="0.5">
      <c r="A273" s="11" t="s">
        <v>806</v>
      </c>
      <c r="B273" s="5" t="s">
        <v>49</v>
      </c>
      <c r="C273" s="6">
        <v>1984.3</v>
      </c>
      <c r="D273" s="26"/>
      <c r="F273" s="22"/>
      <c r="G273" s="22"/>
      <c r="I273" s="30">
        <v>6905236</v>
      </c>
    </row>
    <row r="274" spans="1:9" s="30" customFormat="1" ht="18" customHeight="1" x14ac:dyDescent="0.5">
      <c r="A274" s="11" t="s">
        <v>809</v>
      </c>
      <c r="B274" s="5" t="s">
        <v>49</v>
      </c>
      <c r="C274" s="6">
        <v>2224.6</v>
      </c>
      <c r="D274" s="26"/>
      <c r="F274" s="22"/>
      <c r="G274" s="22"/>
      <c r="I274" s="30">
        <v>6905279</v>
      </c>
    </row>
    <row r="275" spans="1:9" s="30" customFormat="1" ht="18" customHeight="1" x14ac:dyDescent="0.5">
      <c r="A275" s="11" t="s">
        <v>796</v>
      </c>
      <c r="B275" s="5" t="s">
        <v>49</v>
      </c>
      <c r="C275" s="6">
        <v>1734.4</v>
      </c>
      <c r="D275" s="26"/>
      <c r="F275" s="22"/>
      <c r="G275" s="22"/>
      <c r="I275" s="30">
        <v>6905271</v>
      </c>
    </row>
    <row r="276" spans="1:9" s="30" customFormat="1" ht="18" customHeight="1" x14ac:dyDescent="0.5">
      <c r="A276" s="11" t="s">
        <v>807</v>
      </c>
      <c r="B276" s="5" t="s">
        <v>49</v>
      </c>
      <c r="C276" s="6">
        <v>3978.9</v>
      </c>
      <c r="D276" s="26"/>
      <c r="F276" s="22"/>
      <c r="G276" s="22"/>
      <c r="I276" s="30">
        <v>6905266</v>
      </c>
    </row>
    <row r="277" spans="1:9" s="30" customFormat="1" ht="18" customHeight="1" x14ac:dyDescent="0.5">
      <c r="A277" s="11" t="s">
        <v>797</v>
      </c>
      <c r="B277" s="5" t="s">
        <v>49</v>
      </c>
      <c r="C277" s="6">
        <v>1995.8</v>
      </c>
      <c r="D277" s="26"/>
      <c r="F277" s="22"/>
      <c r="G277" s="22"/>
      <c r="I277" s="30">
        <v>6905295</v>
      </c>
    </row>
    <row r="278" spans="1:9" s="30" customFormat="1" ht="18" customHeight="1" x14ac:dyDescent="0.5">
      <c r="A278" s="11" t="s">
        <v>810</v>
      </c>
      <c r="B278" s="5" t="s">
        <v>49</v>
      </c>
      <c r="C278" s="6">
        <v>2015.7</v>
      </c>
      <c r="D278" s="26"/>
      <c r="F278" s="22"/>
      <c r="G278" s="22"/>
      <c r="I278" s="30">
        <v>6905313</v>
      </c>
    </row>
    <row r="279" spans="1:9" s="30" customFormat="1" ht="18" customHeight="1" x14ac:dyDescent="0.5">
      <c r="A279" s="11" t="s">
        <v>798</v>
      </c>
      <c r="B279" s="5" t="s">
        <v>49</v>
      </c>
      <c r="C279" s="6">
        <v>1311</v>
      </c>
      <c r="D279" s="26"/>
      <c r="F279" s="22"/>
      <c r="G279" s="22"/>
      <c r="I279" s="30">
        <v>6905329</v>
      </c>
    </row>
    <row r="280" spans="1:9" s="30" customFormat="1" ht="18" customHeight="1" x14ac:dyDescent="0.5">
      <c r="A280" s="11" t="s">
        <v>799</v>
      </c>
      <c r="B280" s="5" t="s">
        <v>49</v>
      </c>
      <c r="C280" s="6">
        <v>2759.3</v>
      </c>
      <c r="D280" s="26"/>
      <c r="F280" s="22"/>
      <c r="G280" s="22"/>
      <c r="I280" s="30">
        <v>6905356</v>
      </c>
    </row>
    <row r="281" spans="1:9" s="30" customFormat="1" ht="17.25" customHeight="1" thickBot="1" x14ac:dyDescent="0.55000000000000004">
      <c r="A281" s="75"/>
      <c r="B281" s="76" t="s">
        <v>50</v>
      </c>
      <c r="C281" s="77">
        <f>SUM(C253:C280)</f>
        <v>58257.700000000004</v>
      </c>
      <c r="E281" s="22"/>
      <c r="F281" s="22"/>
      <c r="G281" s="22"/>
    </row>
    <row r="282" spans="1:9" s="30" customFormat="1" ht="18" customHeight="1" thickTop="1" x14ac:dyDescent="0.5">
      <c r="A282" s="78"/>
      <c r="B282" s="79"/>
      <c r="C282" s="80"/>
      <c r="E282" s="22"/>
      <c r="F282" s="22"/>
      <c r="G282" s="22"/>
    </row>
    <row r="283" spans="1:9" ht="23.25" x14ac:dyDescent="0.5">
      <c r="A283" s="358" t="s">
        <v>51</v>
      </c>
      <c r="B283" s="358"/>
      <c r="C283" s="358"/>
      <c r="D283" s="358"/>
      <c r="E283" s="358"/>
      <c r="F283" s="358"/>
      <c r="G283" s="358"/>
    </row>
    <row r="284" spans="1:9" s="26" customFormat="1" ht="18" customHeight="1" x14ac:dyDescent="0.45">
      <c r="A284" s="57" t="s">
        <v>2</v>
      </c>
      <c r="B284" s="58" t="s">
        <v>3</v>
      </c>
      <c r="C284" s="58" t="s">
        <v>4</v>
      </c>
      <c r="D284" s="59" t="s">
        <v>5</v>
      </c>
      <c r="E284" s="58" t="s">
        <v>6</v>
      </c>
      <c r="F284" s="58" t="s">
        <v>7</v>
      </c>
      <c r="G284" s="58" t="s">
        <v>8</v>
      </c>
    </row>
    <row r="285" spans="1:9" s="26" customFormat="1" ht="18" customHeight="1" x14ac:dyDescent="0.45">
      <c r="A285" s="81" t="s">
        <v>789</v>
      </c>
      <c r="B285" s="5" t="s">
        <v>52</v>
      </c>
      <c r="C285" s="82">
        <v>994.25</v>
      </c>
      <c r="D285" s="83">
        <v>79</v>
      </c>
      <c r="E285" s="8">
        <f>+C285*D285</f>
        <v>78545.75</v>
      </c>
      <c r="F285" s="8">
        <f>+E285*7%</f>
        <v>5498.2025000000003</v>
      </c>
      <c r="G285" s="8">
        <f>+E285+F285</f>
        <v>84043.952499999999</v>
      </c>
      <c r="I285" s="26">
        <v>6905113</v>
      </c>
    </row>
    <row r="286" spans="1:9" s="26" customFormat="1" ht="18" customHeight="1" x14ac:dyDescent="0.45">
      <c r="A286" s="81" t="s">
        <v>805</v>
      </c>
      <c r="B286" s="5" t="s">
        <v>52</v>
      </c>
      <c r="C286" s="82">
        <v>1000.05</v>
      </c>
      <c r="D286" s="83">
        <v>79</v>
      </c>
      <c r="E286" s="8">
        <f>+C286*D286</f>
        <v>79003.95</v>
      </c>
      <c r="F286" s="8">
        <f>+E286*7%</f>
        <v>5530.2764999999999</v>
      </c>
      <c r="G286" s="8">
        <f>+E286+F286</f>
        <v>84534.22649999999</v>
      </c>
      <c r="I286" s="26">
        <v>6905186</v>
      </c>
    </row>
    <row r="287" spans="1:9" s="26" customFormat="1" ht="18" customHeight="1" x14ac:dyDescent="0.45">
      <c r="A287" s="81" t="s">
        <v>810</v>
      </c>
      <c r="B287" s="5" t="s">
        <v>52</v>
      </c>
      <c r="C287" s="82">
        <v>1000.45</v>
      </c>
      <c r="D287" s="83">
        <v>79</v>
      </c>
      <c r="E287" s="8">
        <f>+C287*D287</f>
        <v>79035.55</v>
      </c>
      <c r="F287" s="8">
        <f>+E287*7%</f>
        <v>5532.4885000000004</v>
      </c>
      <c r="G287" s="8">
        <f>+E287+F287</f>
        <v>84568.03850000001</v>
      </c>
      <c r="I287" s="26">
        <v>6905318</v>
      </c>
    </row>
    <row r="288" spans="1:9" s="26" customFormat="1" ht="17.25" customHeight="1" thickBot="1" x14ac:dyDescent="0.5">
      <c r="A288" s="84"/>
      <c r="B288" s="17" t="s">
        <v>15</v>
      </c>
      <c r="C288" s="18">
        <f>SUM(C285:C287)</f>
        <v>2994.75</v>
      </c>
      <c r="D288" s="19"/>
      <c r="E288" s="18">
        <f>SUM(E285:E287)</f>
        <v>236585.25</v>
      </c>
      <c r="F288" s="18">
        <f t="shared" ref="F288:G288" si="34">SUM(F285:F287)</f>
        <v>16560.967499999999</v>
      </c>
      <c r="G288" s="18">
        <f t="shared" si="34"/>
        <v>253146.21750000003</v>
      </c>
    </row>
    <row r="289" spans="1:9" s="30" customFormat="1" ht="18" customHeight="1" thickTop="1" x14ac:dyDescent="0.5">
      <c r="A289" s="78"/>
      <c r="B289" s="79"/>
      <c r="C289" s="80"/>
      <c r="E289" s="22"/>
      <c r="F289" s="22"/>
      <c r="G289" s="22"/>
    </row>
    <row r="290" spans="1:9" s="30" customFormat="1" ht="18" customHeight="1" x14ac:dyDescent="0.5">
      <c r="A290" s="78"/>
      <c r="B290" s="79"/>
      <c r="C290" s="80"/>
      <c r="E290" s="22"/>
      <c r="F290" s="22"/>
      <c r="G290" s="22"/>
    </row>
    <row r="291" spans="1:9" ht="23.25" x14ac:dyDescent="0.5">
      <c r="A291" s="358" t="s">
        <v>53</v>
      </c>
      <c r="B291" s="358"/>
      <c r="C291" s="358"/>
      <c r="D291" s="358"/>
      <c r="E291" s="358"/>
      <c r="F291" s="358"/>
      <c r="G291" s="358"/>
    </row>
    <row r="292" spans="1:9" s="26" customFormat="1" ht="18" customHeight="1" x14ac:dyDescent="0.45">
      <c r="A292" s="57" t="s">
        <v>2</v>
      </c>
      <c r="B292" s="58" t="s">
        <v>3</v>
      </c>
      <c r="C292" s="58" t="s">
        <v>4</v>
      </c>
      <c r="D292" s="64" t="s">
        <v>5</v>
      </c>
      <c r="E292" s="58" t="s">
        <v>6</v>
      </c>
      <c r="F292" s="58" t="s">
        <v>7</v>
      </c>
      <c r="G292" s="58" t="s">
        <v>8</v>
      </c>
    </row>
    <row r="293" spans="1:9" s="26" customFormat="1" ht="18" customHeight="1" x14ac:dyDescent="0.45">
      <c r="A293" s="65" t="s">
        <v>810</v>
      </c>
      <c r="B293" s="5" t="s">
        <v>54</v>
      </c>
      <c r="C293" s="86">
        <v>4976.1000000000004</v>
      </c>
      <c r="D293" s="87">
        <v>89</v>
      </c>
      <c r="E293" s="37">
        <f>+C293*D293</f>
        <v>442872.9</v>
      </c>
      <c r="F293" s="37">
        <f>+E293*7%</f>
        <v>31001.103000000003</v>
      </c>
      <c r="G293" s="37">
        <f>+E293+F293</f>
        <v>473874.00300000003</v>
      </c>
      <c r="I293" s="26">
        <v>6905308</v>
      </c>
    </row>
    <row r="294" spans="1:9" s="26" customFormat="1" ht="17.25" customHeight="1" thickBot="1" x14ac:dyDescent="0.5">
      <c r="A294" s="84"/>
      <c r="B294" s="17" t="s">
        <v>15</v>
      </c>
      <c r="C294" s="18">
        <f>SUM(C293:C293)</f>
        <v>4976.1000000000004</v>
      </c>
      <c r="D294" s="66"/>
      <c r="E294" s="18">
        <f>SUM(E293:E293)</f>
        <v>442872.9</v>
      </c>
      <c r="F294" s="18">
        <f t="shared" ref="F294:G294" si="35">SUM(F293:F293)</f>
        <v>31001.103000000003</v>
      </c>
      <c r="G294" s="18">
        <f t="shared" si="35"/>
        <v>473874.00300000003</v>
      </c>
    </row>
    <row r="295" spans="1:9" s="26" customFormat="1" ht="15" customHeight="1" thickTop="1" x14ac:dyDescent="0.45">
      <c r="A295" s="85"/>
      <c r="B295" s="68"/>
      <c r="C295" s="69"/>
      <c r="D295" s="88"/>
      <c r="E295" s="69"/>
      <c r="F295" s="69"/>
      <c r="G295" s="69"/>
    </row>
    <row r="296" spans="1:9" ht="23.25" x14ac:dyDescent="0.5">
      <c r="A296" s="358" t="s">
        <v>55</v>
      </c>
      <c r="B296" s="358"/>
      <c r="C296" s="358"/>
      <c r="D296" s="358"/>
      <c r="E296" s="358"/>
      <c r="F296" s="358"/>
      <c r="G296" s="358"/>
    </row>
    <row r="297" spans="1:9" s="26" customFormat="1" ht="18" customHeight="1" x14ac:dyDescent="0.45">
      <c r="A297" s="57" t="s">
        <v>2</v>
      </c>
      <c r="B297" s="58" t="s">
        <v>3</v>
      </c>
      <c r="C297" s="58" t="s">
        <v>4</v>
      </c>
      <c r="D297" s="64" t="s">
        <v>5</v>
      </c>
      <c r="E297" s="58" t="s">
        <v>6</v>
      </c>
      <c r="F297" s="58" t="s">
        <v>7</v>
      </c>
      <c r="G297" s="58" t="s">
        <v>8</v>
      </c>
    </row>
    <row r="298" spans="1:9" s="26" customFormat="1" ht="18" customHeight="1" x14ac:dyDescent="0.45">
      <c r="A298" s="16" t="s">
        <v>790</v>
      </c>
      <c r="B298" s="5" t="s">
        <v>54</v>
      </c>
      <c r="C298" s="86">
        <v>2183.8000000000002</v>
      </c>
      <c r="D298" s="87">
        <v>88</v>
      </c>
      <c r="E298" s="37">
        <f t="shared" ref="E298:E304" si="36">+C298*D298</f>
        <v>192174.40000000002</v>
      </c>
      <c r="F298" s="37">
        <f t="shared" ref="F298:F304" si="37">+E298*7%</f>
        <v>13452.208000000002</v>
      </c>
      <c r="G298" s="37">
        <f t="shared" ref="G298:G304" si="38">+E298+F298</f>
        <v>205626.60800000004</v>
      </c>
      <c r="I298" s="26">
        <v>6905120</v>
      </c>
    </row>
    <row r="299" spans="1:9" s="26" customFormat="1" ht="18" customHeight="1" x14ac:dyDescent="0.45">
      <c r="A299" s="16" t="s">
        <v>788</v>
      </c>
      <c r="B299" s="5" t="s">
        <v>54</v>
      </c>
      <c r="C299" s="86">
        <v>823.65</v>
      </c>
      <c r="D299" s="87">
        <v>88</v>
      </c>
      <c r="E299" s="37">
        <f t="shared" si="36"/>
        <v>72481.2</v>
      </c>
      <c r="F299" s="37">
        <f t="shared" si="37"/>
        <v>5073.6840000000002</v>
      </c>
      <c r="G299" s="37">
        <f t="shared" si="38"/>
        <v>77554.883999999991</v>
      </c>
      <c r="I299" s="26">
        <v>6905087</v>
      </c>
    </row>
    <row r="300" spans="1:9" s="26" customFormat="1" ht="18" customHeight="1" x14ac:dyDescent="0.45">
      <c r="A300" s="16" t="s">
        <v>803</v>
      </c>
      <c r="B300" s="5" t="s">
        <v>54</v>
      </c>
      <c r="C300" s="86">
        <v>777.2</v>
      </c>
      <c r="D300" s="87">
        <v>88</v>
      </c>
      <c r="E300" s="37">
        <f t="shared" si="36"/>
        <v>68393.600000000006</v>
      </c>
      <c r="F300" s="37">
        <f t="shared" si="37"/>
        <v>4787.5520000000006</v>
      </c>
      <c r="G300" s="37">
        <f t="shared" si="38"/>
        <v>73181.152000000002</v>
      </c>
      <c r="I300" s="26">
        <v>6905044</v>
      </c>
    </row>
    <row r="301" spans="1:9" s="26" customFormat="1" ht="18" customHeight="1" x14ac:dyDescent="0.45">
      <c r="A301" s="16" t="s">
        <v>792</v>
      </c>
      <c r="B301" s="5" t="s">
        <v>54</v>
      </c>
      <c r="C301" s="86">
        <v>1949.9</v>
      </c>
      <c r="D301" s="87">
        <v>88</v>
      </c>
      <c r="E301" s="37">
        <f t="shared" si="36"/>
        <v>171591.2</v>
      </c>
      <c r="F301" s="37">
        <f t="shared" si="37"/>
        <v>12011.384000000002</v>
      </c>
      <c r="G301" s="37">
        <f t="shared" si="38"/>
        <v>183602.584</v>
      </c>
      <c r="I301" s="26">
        <v>6905175</v>
      </c>
    </row>
    <row r="302" spans="1:9" s="26" customFormat="1" ht="18" customHeight="1" x14ac:dyDescent="0.45">
      <c r="A302" s="16" t="s">
        <v>794</v>
      </c>
      <c r="B302" s="5" t="s">
        <v>54</v>
      </c>
      <c r="C302" s="86">
        <v>5040.6000000000004</v>
      </c>
      <c r="D302" s="87">
        <v>88</v>
      </c>
      <c r="E302" s="37">
        <f t="shared" si="36"/>
        <v>443572.80000000005</v>
      </c>
      <c r="F302" s="37">
        <f t="shared" si="37"/>
        <v>31050.096000000005</v>
      </c>
      <c r="G302" s="37">
        <f t="shared" si="38"/>
        <v>474622.89600000007</v>
      </c>
      <c r="I302" s="26">
        <v>6905229</v>
      </c>
    </row>
    <row r="303" spans="1:9" s="26" customFormat="1" ht="18" customHeight="1" x14ac:dyDescent="0.45">
      <c r="A303" s="16" t="s">
        <v>798</v>
      </c>
      <c r="B303" s="5" t="s">
        <v>54</v>
      </c>
      <c r="C303" s="86">
        <v>2960.55</v>
      </c>
      <c r="D303" s="87">
        <v>88</v>
      </c>
      <c r="E303" s="37">
        <f t="shared" si="36"/>
        <v>260528.40000000002</v>
      </c>
      <c r="F303" s="37">
        <f t="shared" si="37"/>
        <v>18236.988000000005</v>
      </c>
      <c r="G303" s="37">
        <f t="shared" si="38"/>
        <v>278765.38800000004</v>
      </c>
      <c r="I303" s="26">
        <v>6905321</v>
      </c>
    </row>
    <row r="304" spans="1:9" s="26" customFormat="1" ht="18" customHeight="1" x14ac:dyDescent="0.45">
      <c r="A304" s="16" t="s">
        <v>799</v>
      </c>
      <c r="B304" s="5" t="s">
        <v>54</v>
      </c>
      <c r="C304" s="86">
        <v>1077.55</v>
      </c>
      <c r="D304" s="87">
        <v>88</v>
      </c>
      <c r="E304" s="37">
        <f t="shared" si="36"/>
        <v>94824.4</v>
      </c>
      <c r="F304" s="37">
        <f t="shared" si="37"/>
        <v>6637.7080000000005</v>
      </c>
      <c r="G304" s="37">
        <f t="shared" si="38"/>
        <v>101462.10799999999</v>
      </c>
      <c r="I304" s="26">
        <v>6905352</v>
      </c>
    </row>
    <row r="305" spans="1:9" s="26" customFormat="1" ht="17.25" customHeight="1" thickBot="1" x14ac:dyDescent="0.5">
      <c r="A305" s="84"/>
      <c r="B305" s="17" t="s">
        <v>15</v>
      </c>
      <c r="C305" s="18">
        <f>SUM(C298:C304)</f>
        <v>14813.25</v>
      </c>
      <c r="D305" s="66"/>
      <c r="E305" s="18">
        <f>SUM(E298:E304)</f>
        <v>1303566</v>
      </c>
      <c r="F305" s="18">
        <f t="shared" ref="F305:G305" si="39">SUM(F298:F304)</f>
        <v>91249.62000000001</v>
      </c>
      <c r="G305" s="18">
        <f t="shared" si="39"/>
        <v>1394815.62</v>
      </c>
    </row>
    <row r="306" spans="1:9" s="26" customFormat="1" ht="17.25" customHeight="1" thickTop="1" x14ac:dyDescent="0.45">
      <c r="A306" s="85"/>
      <c r="B306" s="68"/>
      <c r="C306" s="69"/>
      <c r="D306" s="88"/>
      <c r="E306" s="69"/>
      <c r="F306" s="69"/>
      <c r="G306" s="69"/>
    </row>
    <row r="307" spans="1:9" ht="23.25" x14ac:dyDescent="0.5">
      <c r="A307" s="358" t="s">
        <v>140</v>
      </c>
      <c r="B307" s="358"/>
      <c r="C307" s="358"/>
      <c r="D307" s="358"/>
      <c r="E307" s="358"/>
      <c r="F307" s="358"/>
      <c r="G307" s="358"/>
    </row>
    <row r="308" spans="1:9" s="26" customFormat="1" ht="18" customHeight="1" x14ac:dyDescent="0.45">
      <c r="A308" s="57" t="s">
        <v>2</v>
      </c>
      <c r="B308" s="58" t="s">
        <v>3</v>
      </c>
      <c r="C308" s="58" t="s">
        <v>4</v>
      </c>
      <c r="D308" s="64" t="s">
        <v>5</v>
      </c>
      <c r="E308" s="58" t="s">
        <v>6</v>
      </c>
      <c r="F308" s="58" t="s">
        <v>7</v>
      </c>
      <c r="G308" s="58" t="s">
        <v>8</v>
      </c>
    </row>
    <row r="309" spans="1:9" s="26" customFormat="1" ht="18" customHeight="1" x14ac:dyDescent="0.45">
      <c r="A309" s="16" t="s">
        <v>807</v>
      </c>
      <c r="B309" s="5" t="s">
        <v>54</v>
      </c>
      <c r="C309" s="86">
        <v>2008.45</v>
      </c>
      <c r="D309" s="87">
        <v>89</v>
      </c>
      <c r="E309" s="37">
        <f t="shared" ref="E309" si="40">+C309*D309</f>
        <v>178752.05000000002</v>
      </c>
      <c r="F309" s="37">
        <f t="shared" ref="F309" si="41">+E309*7%</f>
        <v>12512.643500000002</v>
      </c>
      <c r="G309" s="37">
        <f t="shared" ref="G309" si="42">+E309+F309</f>
        <v>191264.69350000002</v>
      </c>
      <c r="I309" s="26">
        <v>6905260</v>
      </c>
    </row>
    <row r="310" spans="1:9" s="26" customFormat="1" ht="17.25" customHeight="1" thickBot="1" x14ac:dyDescent="0.5">
      <c r="A310" s="84"/>
      <c r="B310" s="17" t="s">
        <v>15</v>
      </c>
      <c r="C310" s="18">
        <f>SUM(C309:C309)</f>
        <v>2008.45</v>
      </c>
      <c r="D310" s="66"/>
      <c r="E310" s="18">
        <f>SUM(E309:E309)</f>
        <v>178752.05000000002</v>
      </c>
      <c r="F310" s="18">
        <f t="shared" ref="F310:G310" si="43">SUM(F309:F309)</f>
        <v>12512.643500000002</v>
      </c>
      <c r="G310" s="18">
        <f t="shared" si="43"/>
        <v>191264.69350000002</v>
      </c>
    </row>
    <row r="311" spans="1:9" s="26" customFormat="1" ht="17.25" customHeight="1" thickTop="1" x14ac:dyDescent="0.45">
      <c r="A311" s="85"/>
      <c r="B311" s="68"/>
      <c r="C311" s="69"/>
      <c r="D311" s="88"/>
      <c r="E311" s="69"/>
      <c r="F311" s="69"/>
      <c r="G311" s="69"/>
    </row>
    <row r="312" spans="1:9" ht="23.25" x14ac:dyDescent="0.5">
      <c r="A312" s="358" t="s">
        <v>502</v>
      </c>
      <c r="B312" s="358"/>
      <c r="C312" s="358"/>
      <c r="D312" s="358"/>
      <c r="E312" s="358"/>
      <c r="F312" s="358"/>
      <c r="G312" s="358"/>
    </row>
    <row r="313" spans="1:9" s="26" customFormat="1" ht="18" customHeight="1" x14ac:dyDescent="0.45">
      <c r="A313" s="57" t="s">
        <v>2</v>
      </c>
      <c r="B313" s="58" t="s">
        <v>3</v>
      </c>
      <c r="C313" s="58" t="s">
        <v>4</v>
      </c>
      <c r="D313" s="64" t="s">
        <v>5</v>
      </c>
      <c r="E313" s="58" t="s">
        <v>6</v>
      </c>
      <c r="F313" s="58" t="s">
        <v>7</v>
      </c>
      <c r="G313" s="58" t="s">
        <v>8</v>
      </c>
    </row>
    <row r="314" spans="1:9" s="26" customFormat="1" ht="18" customHeight="1" x14ac:dyDescent="0.45">
      <c r="A314" s="16" t="s">
        <v>791</v>
      </c>
      <c r="B314" s="5" t="s">
        <v>54</v>
      </c>
      <c r="C314" s="86">
        <v>2006</v>
      </c>
      <c r="D314" s="87">
        <v>88</v>
      </c>
      <c r="E314" s="37">
        <f t="shared" ref="E314:E315" si="44">+C314*D314</f>
        <v>176528</v>
      </c>
      <c r="F314" s="37">
        <f t="shared" ref="F314:F315" si="45">+E314*7%</f>
        <v>12356.960000000001</v>
      </c>
      <c r="G314" s="37">
        <f t="shared" ref="G314:G315" si="46">+E314+F314</f>
        <v>188884.96</v>
      </c>
      <c r="I314" s="26">
        <v>6905164</v>
      </c>
    </row>
    <row r="315" spans="1:9" s="26" customFormat="1" ht="18" customHeight="1" x14ac:dyDescent="0.45">
      <c r="A315" s="16" t="s">
        <v>805</v>
      </c>
      <c r="B315" s="5" t="s">
        <v>54</v>
      </c>
      <c r="C315" s="86">
        <v>2837.35</v>
      </c>
      <c r="D315" s="87">
        <v>88</v>
      </c>
      <c r="E315" s="37">
        <f t="shared" si="44"/>
        <v>249686.8</v>
      </c>
      <c r="F315" s="37">
        <f t="shared" si="45"/>
        <v>17478.076000000001</v>
      </c>
      <c r="G315" s="37">
        <f t="shared" si="46"/>
        <v>267164.87599999999</v>
      </c>
      <c r="I315" s="26">
        <v>6905182</v>
      </c>
    </row>
    <row r="316" spans="1:9" s="26" customFormat="1" ht="17.25" customHeight="1" thickBot="1" x14ac:dyDescent="0.5">
      <c r="A316" s="84"/>
      <c r="B316" s="17" t="s">
        <v>15</v>
      </c>
      <c r="C316" s="18">
        <f>SUM(C314:C315)</f>
        <v>4843.3500000000004</v>
      </c>
      <c r="D316" s="66"/>
      <c r="E316" s="18">
        <f>SUM(E314:E315)</f>
        <v>426214.8</v>
      </c>
      <c r="F316" s="18">
        <f t="shared" ref="F316:G316" si="47">SUM(F314:F315)</f>
        <v>29835.036</v>
      </c>
      <c r="G316" s="18">
        <f t="shared" si="47"/>
        <v>456049.83600000001</v>
      </c>
    </row>
    <row r="317" spans="1:9" s="26" customFormat="1" ht="17.25" customHeight="1" thickTop="1" x14ac:dyDescent="0.45">
      <c r="A317" s="85"/>
      <c r="B317" s="68"/>
      <c r="C317" s="69"/>
      <c r="D317" s="88"/>
      <c r="E317" s="69"/>
      <c r="F317" s="69"/>
      <c r="G317" s="69"/>
    </row>
    <row r="318" spans="1:9" ht="23.25" x14ac:dyDescent="0.3">
      <c r="A318" s="359" t="s">
        <v>56</v>
      </c>
      <c r="B318" s="359"/>
      <c r="C318" s="359"/>
      <c r="D318" s="359"/>
      <c r="E318" s="359"/>
      <c r="F318" s="359"/>
      <c r="G318" s="359"/>
    </row>
    <row r="319" spans="1:9" ht="18" customHeight="1" x14ac:dyDescent="0.3">
      <c r="A319" s="1" t="s">
        <v>2</v>
      </c>
      <c r="B319" s="2" t="s">
        <v>3</v>
      </c>
      <c r="C319" s="2" t="s">
        <v>4</v>
      </c>
      <c r="D319" s="206" t="s">
        <v>5</v>
      </c>
      <c r="E319" s="2" t="s">
        <v>6</v>
      </c>
      <c r="F319" s="2" t="s">
        <v>7</v>
      </c>
      <c r="G319" s="2" t="s">
        <v>8</v>
      </c>
    </row>
    <row r="320" spans="1:9" ht="18" customHeight="1" x14ac:dyDescent="0.4">
      <c r="A320" s="16" t="s">
        <v>788</v>
      </c>
      <c r="B320" s="5" t="s">
        <v>57</v>
      </c>
      <c r="C320" s="6">
        <v>1967.2</v>
      </c>
      <c r="D320" s="7">
        <v>68.5</v>
      </c>
      <c r="E320" s="6">
        <f t="shared" ref="E320:E327" si="48">+C320*D320</f>
        <v>134753.20000000001</v>
      </c>
      <c r="F320" s="6">
        <f t="shared" ref="F320:F327" si="49">+E320*7%</f>
        <v>9432.724000000002</v>
      </c>
      <c r="G320" s="6">
        <f t="shared" ref="G320:G327" si="50">+E320+F320</f>
        <v>144185.924</v>
      </c>
      <c r="I320">
        <v>6905084</v>
      </c>
    </row>
    <row r="321" spans="1:9" ht="18" customHeight="1" x14ac:dyDescent="0.4">
      <c r="A321" s="16" t="s">
        <v>795</v>
      </c>
      <c r="B321" s="5" t="s">
        <v>57</v>
      </c>
      <c r="C321" s="6">
        <v>1041.3</v>
      </c>
      <c r="D321" s="7">
        <v>80</v>
      </c>
      <c r="E321" s="6">
        <f t="shared" si="48"/>
        <v>83304</v>
      </c>
      <c r="F321" s="6">
        <f t="shared" si="49"/>
        <v>5831.2800000000007</v>
      </c>
      <c r="G321" s="6">
        <f t="shared" si="50"/>
        <v>89135.28</v>
      </c>
      <c r="I321">
        <v>6905252</v>
      </c>
    </row>
    <row r="322" spans="1:9" ht="18" customHeight="1" x14ac:dyDescent="0.4">
      <c r="A322" s="16" t="s">
        <v>795</v>
      </c>
      <c r="B322" s="5" t="s">
        <v>58</v>
      </c>
      <c r="C322" s="6">
        <v>1963.2</v>
      </c>
      <c r="D322" s="7">
        <v>80</v>
      </c>
      <c r="E322" s="6">
        <f t="shared" si="48"/>
        <v>157056</v>
      </c>
      <c r="F322" s="6">
        <f t="shared" si="49"/>
        <v>10993.920000000002</v>
      </c>
      <c r="G322" s="6">
        <f t="shared" si="50"/>
        <v>168049.92000000001</v>
      </c>
      <c r="I322">
        <v>6905252</v>
      </c>
    </row>
    <row r="323" spans="1:9" ht="18" customHeight="1" x14ac:dyDescent="0.4">
      <c r="A323" s="16" t="s">
        <v>795</v>
      </c>
      <c r="B323" s="275" t="s">
        <v>828</v>
      </c>
      <c r="C323" s="335">
        <v>493.5</v>
      </c>
      <c r="D323" s="336">
        <v>136</v>
      </c>
      <c r="E323" s="6">
        <f>+C323*D323</f>
        <v>67116</v>
      </c>
      <c r="F323" s="6">
        <f>+E323*7%</f>
        <v>4698.1200000000008</v>
      </c>
      <c r="G323" s="6">
        <f>+E323+F323</f>
        <v>71814.12</v>
      </c>
      <c r="H323" s="273" t="s">
        <v>392</v>
      </c>
      <c r="I323">
        <v>6905251</v>
      </c>
    </row>
    <row r="324" spans="1:9" ht="18" customHeight="1" x14ac:dyDescent="0.4">
      <c r="A324" s="16" t="s">
        <v>795</v>
      </c>
      <c r="B324" s="275" t="s">
        <v>201</v>
      </c>
      <c r="C324" s="335">
        <v>493.3</v>
      </c>
      <c r="D324" s="336">
        <v>136</v>
      </c>
      <c r="E324" s="6">
        <f>+C324*D324</f>
        <v>67088.800000000003</v>
      </c>
      <c r="F324" s="6">
        <f>+E324*7%</f>
        <v>4696.2160000000003</v>
      </c>
      <c r="G324" s="6">
        <f>+E324+F324</f>
        <v>71785.016000000003</v>
      </c>
      <c r="H324" s="273" t="s">
        <v>392</v>
      </c>
      <c r="I324">
        <v>6905250</v>
      </c>
    </row>
    <row r="325" spans="1:9" ht="18" customHeight="1" x14ac:dyDescent="0.4">
      <c r="A325" s="16" t="s">
        <v>788</v>
      </c>
      <c r="B325" s="275" t="s">
        <v>270</v>
      </c>
      <c r="C325" s="335">
        <v>473.8</v>
      </c>
      <c r="D325" s="336">
        <v>123</v>
      </c>
      <c r="E325" s="60">
        <f>+C325*D325</f>
        <v>58277.4</v>
      </c>
      <c r="F325" s="60">
        <f>+E325*7%</f>
        <v>4079.4180000000006</v>
      </c>
      <c r="G325" s="60">
        <f>+E325+F325</f>
        <v>62356.817999999999</v>
      </c>
      <c r="H325" s="273" t="s">
        <v>392</v>
      </c>
      <c r="I325">
        <v>6905083</v>
      </c>
    </row>
    <row r="326" spans="1:9" ht="18" customHeight="1" x14ac:dyDescent="0.4">
      <c r="A326" s="16" t="s">
        <v>795</v>
      </c>
      <c r="B326" s="275" t="s">
        <v>270</v>
      </c>
      <c r="C326" s="335">
        <v>480.6</v>
      </c>
      <c r="D326" s="336">
        <v>136</v>
      </c>
      <c r="E326" s="60">
        <f>+C326*D326</f>
        <v>65361.600000000006</v>
      </c>
      <c r="F326" s="60">
        <f>+E326*7%</f>
        <v>4575.3120000000008</v>
      </c>
      <c r="G326" s="60">
        <f>+E326+F326</f>
        <v>69936.912000000011</v>
      </c>
      <c r="H326" s="273" t="s">
        <v>392</v>
      </c>
      <c r="I326">
        <v>6905249</v>
      </c>
    </row>
    <row r="327" spans="1:9" ht="18" customHeight="1" x14ac:dyDescent="0.4">
      <c r="A327" s="16" t="s">
        <v>788</v>
      </c>
      <c r="B327" s="275" t="s">
        <v>827</v>
      </c>
      <c r="C327" s="335">
        <v>295.7</v>
      </c>
      <c r="D327" s="336">
        <v>123</v>
      </c>
      <c r="E327" s="60">
        <f t="shared" si="48"/>
        <v>36371.1</v>
      </c>
      <c r="F327" s="60">
        <f t="shared" si="49"/>
        <v>2545.9770000000003</v>
      </c>
      <c r="G327" s="60">
        <f t="shared" si="50"/>
        <v>38917.076999999997</v>
      </c>
      <c r="H327" s="273" t="s">
        <v>392</v>
      </c>
      <c r="I327">
        <v>6905082</v>
      </c>
    </row>
    <row r="328" spans="1:9" s="30" customFormat="1" ht="18" customHeight="1" thickBot="1" x14ac:dyDescent="0.55000000000000004">
      <c r="A328" s="16"/>
      <c r="B328" s="73" t="s">
        <v>15</v>
      </c>
      <c r="C328" s="89">
        <f>SUM(C320:C327)</f>
        <v>7208.6</v>
      </c>
      <c r="D328" s="51"/>
      <c r="E328" s="89">
        <f>SUM(E320:E327)</f>
        <v>669328.1</v>
      </c>
      <c r="F328" s="89">
        <f>SUM(F320:F327)</f>
        <v>46852.967000000004</v>
      </c>
      <c r="G328" s="89">
        <f>SUM(G320:G327)</f>
        <v>716181.06700000004</v>
      </c>
    </row>
    <row r="329" spans="1:9" s="30" customFormat="1" ht="42.75" customHeight="1" thickTop="1" x14ac:dyDescent="0.5">
      <c r="A329" s="90"/>
      <c r="B329" s="91"/>
      <c r="C329" s="92"/>
      <c r="D329" s="93"/>
      <c r="E329" s="92"/>
      <c r="F329" s="92"/>
      <c r="G329" s="92"/>
    </row>
    <row r="330" spans="1:9" ht="20.25" customHeight="1" x14ac:dyDescent="0.3">
      <c r="A330" s="362" t="s">
        <v>59</v>
      </c>
      <c r="B330" s="362"/>
      <c r="C330" s="362"/>
      <c r="D330" s="362"/>
      <c r="E330" s="362"/>
      <c r="F330" s="362"/>
      <c r="G330" s="362"/>
    </row>
    <row r="331" spans="1:9" ht="18" customHeight="1" x14ac:dyDescent="0.3">
      <c r="A331" s="94" t="s">
        <v>2</v>
      </c>
      <c r="B331" s="95" t="s">
        <v>3</v>
      </c>
      <c r="C331" s="95" t="s">
        <v>4</v>
      </c>
      <c r="D331" s="3" t="s">
        <v>5</v>
      </c>
      <c r="E331" s="95" t="s">
        <v>6</v>
      </c>
      <c r="F331" s="95" t="s">
        <v>7</v>
      </c>
      <c r="G331" s="95" t="s">
        <v>8</v>
      </c>
    </row>
    <row r="332" spans="1:9" ht="18" customHeight="1" x14ac:dyDescent="0.4">
      <c r="A332" s="96" t="s">
        <v>805</v>
      </c>
      <c r="B332" s="5" t="s">
        <v>60</v>
      </c>
      <c r="C332" s="97">
        <v>2969.05</v>
      </c>
      <c r="D332" s="83">
        <v>98</v>
      </c>
      <c r="E332" s="60">
        <f>+C332*D332</f>
        <v>290966.90000000002</v>
      </c>
      <c r="F332" s="60">
        <f>+E332*7%</f>
        <v>20367.683000000005</v>
      </c>
      <c r="G332" s="60">
        <f>+E332+F332</f>
        <v>311334.58300000004</v>
      </c>
      <c r="I332">
        <v>6905184</v>
      </c>
    </row>
    <row r="333" spans="1:9" ht="18" customHeight="1" thickBot="1" x14ac:dyDescent="0.35">
      <c r="A333" s="98"/>
      <c r="B333" s="28" t="s">
        <v>15</v>
      </c>
      <c r="C333" s="99">
        <f>SUM(C332:C332)</f>
        <v>2969.05</v>
      </c>
      <c r="D333" s="19"/>
      <c r="E333" s="100">
        <f>SUM(E332:E332)</f>
        <v>290966.90000000002</v>
      </c>
      <c r="F333" s="100">
        <f t="shared" ref="F333:G333" si="51">SUM(F332:F332)</f>
        <v>20367.683000000005</v>
      </c>
      <c r="G333" s="100">
        <f t="shared" si="51"/>
        <v>311334.58300000004</v>
      </c>
    </row>
    <row r="334" spans="1:9" ht="13.5" customHeight="1" thickTop="1" x14ac:dyDescent="0.4">
      <c r="A334" s="101"/>
      <c r="B334" s="53"/>
      <c r="C334" s="102"/>
      <c r="D334" s="48"/>
      <c r="E334" s="103"/>
      <c r="F334" s="103"/>
      <c r="G334" s="103"/>
    </row>
    <row r="335" spans="1:9" ht="23.25" x14ac:dyDescent="0.3">
      <c r="A335" s="359" t="s">
        <v>61</v>
      </c>
      <c r="B335" s="359"/>
      <c r="C335" s="359"/>
      <c r="D335" s="359"/>
      <c r="E335" s="359"/>
      <c r="F335" s="359"/>
      <c r="G335" s="359"/>
    </row>
    <row r="336" spans="1:9" ht="18" customHeight="1" x14ac:dyDescent="0.4">
      <c r="A336" s="57" t="s">
        <v>2</v>
      </c>
      <c r="B336" s="58" t="s">
        <v>3</v>
      </c>
      <c r="C336" s="2" t="s">
        <v>62</v>
      </c>
      <c r="D336" s="59" t="s">
        <v>5</v>
      </c>
      <c r="E336" s="58" t="s">
        <v>6</v>
      </c>
      <c r="F336" s="58" t="s">
        <v>7</v>
      </c>
      <c r="G336" s="58" t="s">
        <v>8</v>
      </c>
    </row>
    <row r="337" spans="1:9" ht="18" customHeight="1" x14ac:dyDescent="0.4">
      <c r="A337" s="16" t="s">
        <v>787</v>
      </c>
      <c r="B337" s="5" t="s">
        <v>63</v>
      </c>
      <c r="C337" s="6">
        <v>1400</v>
      </c>
      <c r="D337" s="72">
        <v>89</v>
      </c>
      <c r="E337" s="60">
        <f>+C337*D337</f>
        <v>124600</v>
      </c>
      <c r="F337" s="60">
        <f>+E337*7%</f>
        <v>8722</v>
      </c>
      <c r="G337" s="60">
        <f>+E337+F337</f>
        <v>133322</v>
      </c>
      <c r="I337">
        <v>6905053</v>
      </c>
    </row>
    <row r="338" spans="1:9" ht="18" customHeight="1" thickBot="1" x14ac:dyDescent="0.35">
      <c r="A338" s="84"/>
      <c r="B338" s="17" t="s">
        <v>15</v>
      </c>
      <c r="C338" s="18">
        <f>SUM(C337:C337)</f>
        <v>1400</v>
      </c>
      <c r="D338" s="19"/>
      <c r="E338" s="18">
        <f>SUM(E337:E337)</f>
        <v>124600</v>
      </c>
      <c r="F338" s="18">
        <f t="shared" ref="F338:G338" si="52">SUM(F337:F337)</f>
        <v>8722</v>
      </c>
      <c r="G338" s="18">
        <f t="shared" si="52"/>
        <v>133322</v>
      </c>
    </row>
    <row r="339" spans="1:9" ht="13.5" customHeight="1" thickTop="1" x14ac:dyDescent="0.3">
      <c r="A339" s="85"/>
      <c r="B339" s="68"/>
      <c r="C339" s="69"/>
      <c r="D339" s="70"/>
      <c r="E339" s="69"/>
      <c r="F339" s="69"/>
      <c r="G339" s="69"/>
    </row>
    <row r="340" spans="1:9" s="108" customFormat="1" ht="18" customHeight="1" thickBot="1" x14ac:dyDescent="0.45">
      <c r="A340" s="104"/>
      <c r="B340" s="105" t="s">
        <v>63</v>
      </c>
      <c r="C340" s="69">
        <f>C338</f>
        <v>1400</v>
      </c>
      <c r="D340" s="106">
        <v>1.1080000000000001</v>
      </c>
      <c r="E340" s="107">
        <f>+C340*D340</f>
        <v>1551.2</v>
      </c>
      <c r="G340" s="109"/>
    </row>
    <row r="341" spans="1:9" ht="9.75" customHeight="1" thickTop="1" x14ac:dyDescent="0.3">
      <c r="A341" s="85"/>
      <c r="B341" s="68"/>
      <c r="C341" s="69"/>
      <c r="D341" s="70"/>
      <c r="E341" s="69"/>
      <c r="F341" s="69"/>
      <c r="G341" s="69"/>
    </row>
    <row r="342" spans="1:9" s="30" customFormat="1" ht="23.25" x14ac:dyDescent="0.5">
      <c r="A342" s="360" t="s">
        <v>64</v>
      </c>
      <c r="B342" s="360"/>
      <c r="C342" s="360"/>
      <c r="D342" s="360"/>
      <c r="E342" s="360"/>
      <c r="F342" s="360"/>
      <c r="G342" s="360"/>
    </row>
    <row r="343" spans="1:9" s="30" customFormat="1" ht="18" customHeight="1" x14ac:dyDescent="0.5">
      <c r="A343" s="114" t="s">
        <v>2</v>
      </c>
      <c r="B343" s="115" t="s">
        <v>3</v>
      </c>
      <c r="C343" s="95" t="s">
        <v>4</v>
      </c>
      <c r="D343" s="3" t="s">
        <v>5</v>
      </c>
      <c r="E343" s="115" t="s">
        <v>6</v>
      </c>
      <c r="F343" s="115" t="s">
        <v>7</v>
      </c>
      <c r="G343" s="115" t="s">
        <v>8</v>
      </c>
    </row>
    <row r="344" spans="1:9" s="30" customFormat="1" ht="18" customHeight="1" x14ac:dyDescent="0.5">
      <c r="A344" s="16" t="s">
        <v>786</v>
      </c>
      <c r="B344" s="5" t="s">
        <v>505</v>
      </c>
      <c r="C344" s="6">
        <v>706.05</v>
      </c>
      <c r="D344" s="7">
        <v>68.5</v>
      </c>
      <c r="E344" s="60">
        <f t="shared" ref="E344:E348" si="53">+C344*D344</f>
        <v>48364.424999999996</v>
      </c>
      <c r="F344" s="60">
        <f t="shared" ref="F344:F348" si="54">+E344*7%</f>
        <v>3385.5097500000002</v>
      </c>
      <c r="G344" s="60">
        <f t="shared" ref="G344:G348" si="55">+E344+F344</f>
        <v>51749.934749999993</v>
      </c>
      <c r="I344" s="30">
        <v>6905009</v>
      </c>
    </row>
    <row r="345" spans="1:9" s="30" customFormat="1" ht="18" customHeight="1" x14ac:dyDescent="0.5">
      <c r="A345" s="16" t="s">
        <v>787</v>
      </c>
      <c r="B345" s="5" t="s">
        <v>505</v>
      </c>
      <c r="C345" s="6">
        <v>3</v>
      </c>
      <c r="D345" s="7">
        <v>85</v>
      </c>
      <c r="E345" s="60">
        <f t="shared" si="53"/>
        <v>255</v>
      </c>
      <c r="F345" s="60">
        <f t="shared" si="54"/>
        <v>17.850000000000001</v>
      </c>
      <c r="G345" s="60">
        <f t="shared" si="55"/>
        <v>272.85000000000002</v>
      </c>
      <c r="I345" s="30">
        <v>6905058</v>
      </c>
    </row>
    <row r="346" spans="1:9" s="30" customFormat="1" ht="18" customHeight="1" x14ac:dyDescent="0.5">
      <c r="A346" s="16" t="s">
        <v>792</v>
      </c>
      <c r="B346" s="5" t="s">
        <v>505</v>
      </c>
      <c r="C346" s="6">
        <v>407.55</v>
      </c>
      <c r="D346" s="7">
        <v>85</v>
      </c>
      <c r="E346" s="60">
        <f t="shared" si="53"/>
        <v>34641.75</v>
      </c>
      <c r="F346" s="60">
        <f t="shared" si="54"/>
        <v>2424.9225000000001</v>
      </c>
      <c r="G346" s="60">
        <f t="shared" si="55"/>
        <v>37066.672500000001</v>
      </c>
      <c r="I346" s="30">
        <v>6905176</v>
      </c>
    </row>
    <row r="347" spans="1:9" s="30" customFormat="1" ht="18" customHeight="1" x14ac:dyDescent="0.5">
      <c r="A347" s="16" t="s">
        <v>798</v>
      </c>
      <c r="B347" s="5" t="s">
        <v>505</v>
      </c>
      <c r="C347" s="6">
        <v>1251.1500000000001</v>
      </c>
      <c r="D347" s="7">
        <v>85</v>
      </c>
      <c r="E347" s="60">
        <f t="shared" si="53"/>
        <v>106347.75000000001</v>
      </c>
      <c r="F347" s="60">
        <f t="shared" si="54"/>
        <v>7444.3425000000016</v>
      </c>
      <c r="G347" s="60">
        <f t="shared" si="55"/>
        <v>113792.09250000001</v>
      </c>
      <c r="I347" s="30">
        <v>6905325</v>
      </c>
    </row>
    <row r="348" spans="1:9" s="30" customFormat="1" ht="18" customHeight="1" x14ac:dyDescent="0.5">
      <c r="A348" s="16" t="s">
        <v>812</v>
      </c>
      <c r="B348" s="5" t="s">
        <v>505</v>
      </c>
      <c r="C348" s="6">
        <v>585.25</v>
      </c>
      <c r="D348" s="7">
        <v>85</v>
      </c>
      <c r="E348" s="60">
        <f t="shared" si="53"/>
        <v>49746.25</v>
      </c>
      <c r="F348" s="60">
        <f t="shared" si="54"/>
        <v>3482.2375000000002</v>
      </c>
      <c r="G348" s="60">
        <f t="shared" si="55"/>
        <v>53228.487500000003</v>
      </c>
      <c r="I348" s="30">
        <v>6905344</v>
      </c>
    </row>
    <row r="349" spans="1:9" ht="18" customHeight="1" thickBot="1" x14ac:dyDescent="0.35">
      <c r="A349" s="116"/>
      <c r="B349" s="17" t="s">
        <v>15</v>
      </c>
      <c r="C349" s="18">
        <f>SUM(C344:C348)</f>
        <v>2953</v>
      </c>
      <c r="D349" s="19"/>
      <c r="E349" s="62">
        <f>SUM(E344:E348)</f>
        <v>239355.17499999999</v>
      </c>
      <c r="F349" s="62">
        <f t="shared" ref="F349:G349" si="56">SUM(F344:F348)</f>
        <v>16754.862250000002</v>
      </c>
      <c r="G349" s="62">
        <f t="shared" si="56"/>
        <v>256110.03724999999</v>
      </c>
    </row>
    <row r="350" spans="1:9" s="30" customFormat="1" ht="15.75" customHeight="1" thickTop="1" x14ac:dyDescent="0.5">
      <c r="A350" s="110"/>
      <c r="B350" s="111"/>
      <c r="C350" s="112"/>
      <c r="D350" s="70"/>
      <c r="E350" s="113"/>
      <c r="F350" s="113"/>
      <c r="G350" s="113"/>
    </row>
    <row r="351" spans="1:9" s="30" customFormat="1" ht="23.25" x14ac:dyDescent="0.5">
      <c r="A351" s="360" t="s">
        <v>64</v>
      </c>
      <c r="B351" s="360"/>
      <c r="C351" s="360"/>
      <c r="D351" s="360"/>
      <c r="E351" s="360"/>
      <c r="F351" s="360"/>
      <c r="G351" s="360"/>
    </row>
    <row r="352" spans="1:9" s="30" customFormat="1" ht="18" customHeight="1" x14ac:dyDescent="0.5">
      <c r="A352" s="114" t="s">
        <v>2</v>
      </c>
      <c r="B352" s="115" t="s">
        <v>3</v>
      </c>
      <c r="C352" s="95" t="s">
        <v>506</v>
      </c>
      <c r="D352" s="3" t="s">
        <v>5</v>
      </c>
      <c r="E352" s="115" t="s">
        <v>6</v>
      </c>
      <c r="F352" s="115" t="s">
        <v>7</v>
      </c>
      <c r="G352" s="115" t="s">
        <v>8</v>
      </c>
    </row>
    <row r="353" spans="1:9" s="30" customFormat="1" ht="18" customHeight="1" x14ac:dyDescent="0.5">
      <c r="A353" s="16" t="s">
        <v>786</v>
      </c>
      <c r="B353" s="5" t="s">
        <v>507</v>
      </c>
      <c r="C353" s="6">
        <v>60000</v>
      </c>
      <c r="D353" s="7">
        <v>1.04</v>
      </c>
      <c r="E353" s="60">
        <f t="shared" ref="E353" si="57">+C353*D353</f>
        <v>62400</v>
      </c>
      <c r="F353" s="60">
        <f t="shared" ref="F353" si="58">+E353*7%</f>
        <v>4368</v>
      </c>
      <c r="G353" s="60">
        <f>+E353+F353</f>
        <v>66768</v>
      </c>
      <c r="I353" s="30">
        <v>6905008</v>
      </c>
    </row>
    <row r="354" spans="1:9" ht="18" customHeight="1" thickBot="1" x14ac:dyDescent="0.35">
      <c r="A354" s="116"/>
      <c r="B354" s="17" t="s">
        <v>15</v>
      </c>
      <c r="C354" s="18">
        <f>SUM(C353:C353)</f>
        <v>60000</v>
      </c>
      <c r="D354" s="19"/>
      <c r="E354" s="62">
        <f>SUM(E353:E353)</f>
        <v>62400</v>
      </c>
      <c r="F354" s="62">
        <f t="shared" ref="F354:G354" si="59">SUM(F353:F353)</f>
        <v>4368</v>
      </c>
      <c r="G354" s="62">
        <f t="shared" si="59"/>
        <v>66768</v>
      </c>
    </row>
    <row r="355" spans="1:9" ht="11.25" customHeight="1" thickTop="1" x14ac:dyDescent="0.3">
      <c r="A355" s="311"/>
      <c r="B355" s="68"/>
      <c r="C355" s="69"/>
      <c r="D355" s="70"/>
      <c r="E355" s="71"/>
      <c r="F355" s="71"/>
      <c r="G355" s="71"/>
    </row>
    <row r="356" spans="1:9" s="30" customFormat="1" ht="23.25" x14ac:dyDescent="0.5">
      <c r="A356" s="372" t="s">
        <v>64</v>
      </c>
      <c r="B356" s="372"/>
      <c r="C356" s="372"/>
      <c r="D356" s="372"/>
      <c r="E356" s="372"/>
      <c r="F356" s="372"/>
      <c r="G356" s="372"/>
    </row>
    <row r="357" spans="1:9" s="30" customFormat="1" ht="18" customHeight="1" x14ac:dyDescent="0.5">
      <c r="A357" s="117" t="s">
        <v>2</v>
      </c>
      <c r="B357" s="118" t="s">
        <v>3</v>
      </c>
      <c r="C357" s="28" t="s">
        <v>4</v>
      </c>
      <c r="D357" s="119"/>
      <c r="E357" s="312"/>
      <c r="F357" s="312"/>
      <c r="G357" s="312"/>
    </row>
    <row r="358" spans="1:9" s="30" customFormat="1" ht="18" customHeight="1" x14ac:dyDescent="0.5">
      <c r="A358" s="16" t="s">
        <v>786</v>
      </c>
      <c r="B358" s="5" t="s">
        <v>507</v>
      </c>
      <c r="C358" s="6">
        <v>1033.4000000000001</v>
      </c>
      <c r="D358" s="93"/>
      <c r="E358" s="120"/>
      <c r="F358" s="120"/>
      <c r="G358" s="120"/>
      <c r="I358" s="30">
        <v>6905008</v>
      </c>
    </row>
    <row r="359" spans="1:9" ht="18" customHeight="1" thickBot="1" x14ac:dyDescent="0.35">
      <c r="A359" s="116"/>
      <c r="B359" s="17" t="s">
        <v>15</v>
      </c>
      <c r="C359" s="18">
        <f>SUM(C358:C358)</f>
        <v>1033.4000000000001</v>
      </c>
      <c r="D359" s="70"/>
      <c r="E359" s="71"/>
      <c r="F359" s="71"/>
      <c r="G359" s="71"/>
    </row>
    <row r="360" spans="1:9" ht="9" customHeight="1" thickTop="1" x14ac:dyDescent="0.3">
      <c r="A360" s="121"/>
      <c r="B360" s="68"/>
      <c r="C360" s="69"/>
      <c r="D360" s="70"/>
      <c r="E360" s="71"/>
      <c r="F360" s="71"/>
      <c r="G360" s="71"/>
    </row>
    <row r="361" spans="1:9" s="30" customFormat="1" ht="23.25" x14ac:dyDescent="0.5">
      <c r="A361" s="360" t="s">
        <v>64</v>
      </c>
      <c r="B361" s="360"/>
      <c r="C361" s="360"/>
      <c r="D361" s="360"/>
      <c r="E361" s="360"/>
      <c r="F361" s="360"/>
      <c r="G361" s="360"/>
    </row>
    <row r="362" spans="1:9" s="30" customFormat="1" ht="18" customHeight="1" x14ac:dyDescent="0.5">
      <c r="A362" s="114" t="s">
        <v>2</v>
      </c>
      <c r="B362" s="115" t="s">
        <v>3</v>
      </c>
      <c r="C362" s="95" t="s">
        <v>65</v>
      </c>
      <c r="D362" s="3" t="s">
        <v>5</v>
      </c>
      <c r="E362" s="115" t="s">
        <v>6</v>
      </c>
      <c r="F362" s="115" t="s">
        <v>7</v>
      </c>
      <c r="G362" s="115" t="s">
        <v>8</v>
      </c>
    </row>
    <row r="363" spans="1:9" ht="18" customHeight="1" x14ac:dyDescent="0.4">
      <c r="A363" s="16" t="s">
        <v>807</v>
      </c>
      <c r="B363" s="5" t="s">
        <v>251</v>
      </c>
      <c r="C363" s="37">
        <v>5456</v>
      </c>
      <c r="D363" s="51">
        <v>1.53</v>
      </c>
      <c r="E363" s="8">
        <f t="shared" ref="E363:E371" si="60">+C363*D363</f>
        <v>8347.68</v>
      </c>
      <c r="F363" s="8">
        <f t="shared" ref="F363:F371" si="61">+E363*7%</f>
        <v>584.33760000000007</v>
      </c>
      <c r="G363" s="122">
        <f t="shared" ref="G363:G371" si="62">SUM(E363:F363)</f>
        <v>8932.017600000001</v>
      </c>
      <c r="H363" s="273" t="s">
        <v>392</v>
      </c>
      <c r="I363">
        <v>6905259</v>
      </c>
    </row>
    <row r="364" spans="1:9" ht="18" customHeight="1" x14ac:dyDescent="0.4">
      <c r="A364" s="16" t="s">
        <v>798</v>
      </c>
      <c r="B364" s="5" t="s">
        <v>251</v>
      </c>
      <c r="C364" s="37">
        <v>18186</v>
      </c>
      <c r="D364" s="51">
        <v>1.98</v>
      </c>
      <c r="E364" s="8">
        <f t="shared" si="60"/>
        <v>36008.28</v>
      </c>
      <c r="F364" s="8">
        <f t="shared" si="61"/>
        <v>2520.5796</v>
      </c>
      <c r="G364" s="122">
        <f t="shared" si="62"/>
        <v>38528.859599999996</v>
      </c>
      <c r="H364" s="273" t="s">
        <v>392</v>
      </c>
      <c r="I364">
        <v>6905324</v>
      </c>
    </row>
    <row r="365" spans="1:9" ht="18" customHeight="1" x14ac:dyDescent="0.4">
      <c r="A365" s="16" t="s">
        <v>807</v>
      </c>
      <c r="B365" s="5" t="s">
        <v>180</v>
      </c>
      <c r="C365" s="37">
        <v>2728</v>
      </c>
      <c r="D365" s="51">
        <v>1.53</v>
      </c>
      <c r="E365" s="8">
        <f t="shared" si="60"/>
        <v>4173.84</v>
      </c>
      <c r="F365" s="8">
        <f t="shared" si="61"/>
        <v>292.16880000000003</v>
      </c>
      <c r="G365" s="122">
        <f t="shared" si="62"/>
        <v>4466.0088000000005</v>
      </c>
      <c r="H365" s="273" t="s">
        <v>392</v>
      </c>
      <c r="I365">
        <v>6905259</v>
      </c>
    </row>
    <row r="366" spans="1:9" ht="18" customHeight="1" x14ac:dyDescent="0.4">
      <c r="A366" s="16" t="s">
        <v>798</v>
      </c>
      <c r="B366" s="5" t="s">
        <v>180</v>
      </c>
      <c r="C366" s="37">
        <v>35282</v>
      </c>
      <c r="D366" s="51">
        <v>1.98</v>
      </c>
      <c r="E366" s="8">
        <f t="shared" si="60"/>
        <v>69858.36</v>
      </c>
      <c r="F366" s="8">
        <f t="shared" si="61"/>
        <v>4890.0852000000004</v>
      </c>
      <c r="G366" s="122">
        <f t="shared" si="62"/>
        <v>74748.445200000002</v>
      </c>
      <c r="H366" s="273" t="s">
        <v>392</v>
      </c>
      <c r="I366">
        <v>6905324</v>
      </c>
    </row>
    <row r="367" spans="1:9" ht="18" customHeight="1" x14ac:dyDescent="0.4">
      <c r="A367" s="16" t="s">
        <v>798</v>
      </c>
      <c r="B367" s="5" t="s">
        <v>508</v>
      </c>
      <c r="C367" s="37">
        <v>19096</v>
      </c>
      <c r="D367" s="51">
        <v>1.98</v>
      </c>
      <c r="E367" s="8">
        <f t="shared" si="60"/>
        <v>37810.080000000002</v>
      </c>
      <c r="F367" s="8">
        <f t="shared" si="61"/>
        <v>2646.7056000000002</v>
      </c>
      <c r="G367" s="122">
        <f t="shared" si="62"/>
        <v>40456.785600000003</v>
      </c>
      <c r="H367" s="273" t="s">
        <v>392</v>
      </c>
      <c r="I367">
        <v>6905324</v>
      </c>
    </row>
    <row r="368" spans="1:9" ht="18" customHeight="1" x14ac:dyDescent="0.4">
      <c r="A368" s="16" t="s">
        <v>800</v>
      </c>
      <c r="B368" s="5" t="s">
        <v>66</v>
      </c>
      <c r="C368" s="37">
        <v>107150</v>
      </c>
      <c r="D368" s="51">
        <v>2.71</v>
      </c>
      <c r="E368" s="8">
        <f t="shared" si="60"/>
        <v>290376.5</v>
      </c>
      <c r="F368" s="8">
        <f t="shared" si="61"/>
        <v>20326.355000000003</v>
      </c>
      <c r="G368" s="122">
        <f t="shared" si="62"/>
        <v>310702.85499999998</v>
      </c>
      <c r="H368" s="273" t="s">
        <v>392</v>
      </c>
      <c r="I368">
        <v>6905019</v>
      </c>
    </row>
    <row r="369" spans="1:9" ht="18" customHeight="1" x14ac:dyDescent="0.4">
      <c r="A369" s="16" t="s">
        <v>788</v>
      </c>
      <c r="B369" s="5" t="s">
        <v>66</v>
      </c>
      <c r="C369" s="37">
        <v>107150</v>
      </c>
      <c r="D369" s="51">
        <v>2.71</v>
      </c>
      <c r="E369" s="8">
        <f t="shared" si="60"/>
        <v>290376.5</v>
      </c>
      <c r="F369" s="8">
        <f t="shared" si="61"/>
        <v>20326.355000000003</v>
      </c>
      <c r="G369" s="122">
        <f t="shared" si="62"/>
        <v>310702.85499999998</v>
      </c>
      <c r="H369" s="273" t="s">
        <v>392</v>
      </c>
      <c r="I369">
        <v>6905079</v>
      </c>
    </row>
    <row r="370" spans="1:9" ht="18" customHeight="1" x14ac:dyDescent="0.4">
      <c r="A370" s="16" t="s">
        <v>789</v>
      </c>
      <c r="B370" s="5" t="s">
        <v>66</v>
      </c>
      <c r="C370" s="37">
        <v>2885</v>
      </c>
      <c r="D370" s="51">
        <v>1.31</v>
      </c>
      <c r="E370" s="8">
        <f t="shared" si="60"/>
        <v>3779.3500000000004</v>
      </c>
      <c r="F370" s="8">
        <f t="shared" si="61"/>
        <v>264.55450000000008</v>
      </c>
      <c r="G370" s="122">
        <f t="shared" si="62"/>
        <v>4043.9045000000006</v>
      </c>
      <c r="H370" s="273" t="s">
        <v>392</v>
      </c>
      <c r="I370">
        <v>6905104</v>
      </c>
    </row>
    <row r="371" spans="1:9" ht="18" customHeight="1" x14ac:dyDescent="0.4">
      <c r="A371" s="16" t="s">
        <v>789</v>
      </c>
      <c r="B371" s="5" t="s">
        <v>66</v>
      </c>
      <c r="C371" s="37">
        <v>152153</v>
      </c>
      <c r="D371" s="51">
        <v>2.71</v>
      </c>
      <c r="E371" s="8">
        <f t="shared" si="60"/>
        <v>412334.63</v>
      </c>
      <c r="F371" s="8">
        <f t="shared" si="61"/>
        <v>28863.424100000004</v>
      </c>
      <c r="G371" s="122">
        <f t="shared" si="62"/>
        <v>441198.05410000001</v>
      </c>
      <c r="H371" s="273" t="s">
        <v>392</v>
      </c>
      <c r="I371">
        <v>6905093</v>
      </c>
    </row>
    <row r="372" spans="1:9" ht="18" customHeight="1" thickBot="1" x14ac:dyDescent="0.35">
      <c r="A372" s="116"/>
      <c r="B372" s="17" t="s">
        <v>15</v>
      </c>
      <c r="C372" s="18">
        <f>SUM(C363:C371)</f>
        <v>450086</v>
      </c>
      <c r="D372" s="19"/>
      <c r="E372" s="62">
        <f>SUM(E363:E371)</f>
        <v>1153065.22</v>
      </c>
      <c r="F372" s="62">
        <f t="shared" ref="F372:G372" si="63">SUM(F363:F371)</f>
        <v>80714.565400000007</v>
      </c>
      <c r="G372" s="62">
        <f t="shared" si="63"/>
        <v>1233779.7853999999</v>
      </c>
    </row>
    <row r="373" spans="1:9" ht="15.75" customHeight="1" thickTop="1" x14ac:dyDescent="0.3">
      <c r="A373" s="121"/>
      <c r="B373" s="68"/>
      <c r="C373" s="69"/>
      <c r="D373" s="70"/>
      <c r="E373" s="70"/>
      <c r="F373" s="71"/>
      <c r="G373" s="71"/>
    </row>
    <row r="374" spans="1:9" s="30" customFormat="1" ht="18" customHeight="1" x14ac:dyDescent="0.5">
      <c r="A374" s="117"/>
      <c r="B374" s="118" t="s">
        <v>3</v>
      </c>
      <c r="C374" s="73" t="s">
        <v>4</v>
      </c>
      <c r="F374"/>
      <c r="G374"/>
    </row>
    <row r="375" spans="1:9" ht="18" customHeight="1" x14ac:dyDescent="0.4">
      <c r="A375" s="16" t="s">
        <v>807</v>
      </c>
      <c r="B375" s="5" t="s">
        <v>251</v>
      </c>
      <c r="C375" s="37">
        <v>73.2</v>
      </c>
      <c r="D375" s="93"/>
      <c r="E375" s="120"/>
      <c r="F375" s="120"/>
      <c r="G375" s="123"/>
      <c r="I375">
        <v>6905259</v>
      </c>
    </row>
    <row r="376" spans="1:9" ht="18" customHeight="1" x14ac:dyDescent="0.4">
      <c r="A376" s="16" t="s">
        <v>798</v>
      </c>
      <c r="B376" s="5" t="s">
        <v>251</v>
      </c>
      <c r="C376" s="37">
        <v>249.6</v>
      </c>
      <c r="D376" s="93"/>
      <c r="E376" s="120"/>
      <c r="F376" s="120"/>
      <c r="G376" s="123"/>
      <c r="I376">
        <v>6905324</v>
      </c>
    </row>
    <row r="377" spans="1:9" ht="18" customHeight="1" x14ac:dyDescent="0.4">
      <c r="A377" s="16" t="s">
        <v>807</v>
      </c>
      <c r="B377" s="5" t="s">
        <v>180</v>
      </c>
      <c r="C377" s="37">
        <v>34.049999999999997</v>
      </c>
      <c r="D377" s="93"/>
      <c r="E377" s="120"/>
      <c r="F377" s="120"/>
      <c r="G377" s="123"/>
      <c r="I377">
        <v>6905259</v>
      </c>
    </row>
    <row r="378" spans="1:9" ht="18" customHeight="1" x14ac:dyDescent="0.4">
      <c r="A378" s="16" t="s">
        <v>798</v>
      </c>
      <c r="B378" s="5" t="s">
        <v>180</v>
      </c>
      <c r="C378" s="37">
        <v>472.55</v>
      </c>
      <c r="D378" s="93"/>
      <c r="E378" s="120"/>
      <c r="F378" s="120"/>
      <c r="G378" s="123"/>
      <c r="I378">
        <v>6905324</v>
      </c>
    </row>
    <row r="379" spans="1:9" ht="18" customHeight="1" x14ac:dyDescent="0.4">
      <c r="A379" s="16" t="s">
        <v>798</v>
      </c>
      <c r="B379" s="5" t="s">
        <v>508</v>
      </c>
      <c r="C379" s="37">
        <v>252.9</v>
      </c>
      <c r="D379" s="93"/>
      <c r="E379" s="120"/>
      <c r="F379" s="120"/>
      <c r="G379" s="123"/>
      <c r="I379">
        <v>6905324</v>
      </c>
    </row>
    <row r="380" spans="1:9" ht="18" customHeight="1" x14ac:dyDescent="0.4">
      <c r="A380" s="16" t="s">
        <v>800</v>
      </c>
      <c r="B380" s="5" t="s">
        <v>66</v>
      </c>
      <c r="C380" s="37">
        <v>1991.3</v>
      </c>
      <c r="D380" s="93"/>
      <c r="E380" s="120"/>
      <c r="F380" s="120"/>
      <c r="G380" s="123"/>
      <c r="I380">
        <v>6905019</v>
      </c>
    </row>
    <row r="381" spans="1:9" ht="18" customHeight="1" x14ac:dyDescent="0.4">
      <c r="A381" s="16" t="s">
        <v>788</v>
      </c>
      <c r="B381" s="5" t="s">
        <v>66</v>
      </c>
      <c r="C381" s="37">
        <v>1965</v>
      </c>
      <c r="D381" s="93"/>
      <c r="E381" s="120"/>
      <c r="F381" s="120"/>
      <c r="G381" s="123"/>
      <c r="I381">
        <v>6905079</v>
      </c>
    </row>
    <row r="382" spans="1:9" ht="18" customHeight="1" x14ac:dyDescent="0.4">
      <c r="A382" s="16" t="s">
        <v>789</v>
      </c>
      <c r="B382" s="5" t="s">
        <v>66</v>
      </c>
      <c r="C382" s="37">
        <v>42.65</v>
      </c>
      <c r="D382" s="93"/>
      <c r="E382" s="120"/>
      <c r="F382" s="120"/>
      <c r="G382" s="123"/>
      <c r="I382">
        <v>6905104</v>
      </c>
    </row>
    <row r="383" spans="1:9" ht="18" customHeight="1" x14ac:dyDescent="0.4">
      <c r="A383" s="16" t="s">
        <v>789</v>
      </c>
      <c r="B383" s="5" t="s">
        <v>66</v>
      </c>
      <c r="C383" s="37">
        <v>2782.9</v>
      </c>
      <c r="D383" s="93"/>
      <c r="E383" s="120"/>
      <c r="F383" s="120"/>
      <c r="G383" s="123"/>
      <c r="I383">
        <v>6905093</v>
      </c>
    </row>
    <row r="384" spans="1:9" ht="18" customHeight="1" thickBot="1" x14ac:dyDescent="0.35">
      <c r="A384" s="116"/>
      <c r="B384" s="17" t="s">
        <v>15</v>
      </c>
      <c r="C384" s="124">
        <f>SUM(C375:C383)</f>
        <v>7864.15</v>
      </c>
    </row>
    <row r="385" spans="1:9" ht="13.5" customHeight="1" thickTop="1" x14ac:dyDescent="0.3">
      <c r="A385" s="121"/>
      <c r="B385" s="68"/>
      <c r="C385" s="125"/>
    </row>
    <row r="386" spans="1:9" ht="23.25" x14ac:dyDescent="0.3">
      <c r="A386" s="359" t="s">
        <v>67</v>
      </c>
      <c r="B386" s="359"/>
      <c r="C386" s="359"/>
      <c r="D386" s="359"/>
      <c r="E386" s="359"/>
      <c r="F386" s="359"/>
      <c r="G386" s="359"/>
    </row>
    <row r="387" spans="1:9" ht="18" customHeight="1" x14ac:dyDescent="0.4">
      <c r="A387" s="57" t="s">
        <v>2</v>
      </c>
      <c r="B387" s="58" t="s">
        <v>3</v>
      </c>
      <c r="C387" s="58" t="s">
        <v>4</v>
      </c>
      <c r="D387" s="59" t="s">
        <v>5</v>
      </c>
      <c r="E387" s="58" t="s">
        <v>6</v>
      </c>
      <c r="F387" s="58" t="s">
        <v>7</v>
      </c>
      <c r="G387" s="58" t="s">
        <v>8</v>
      </c>
    </row>
    <row r="388" spans="1:9" ht="18" customHeight="1" x14ac:dyDescent="0.4">
      <c r="A388" s="16" t="s">
        <v>804</v>
      </c>
      <c r="B388" s="5" t="s">
        <v>68</v>
      </c>
      <c r="C388" s="86">
        <v>494.55</v>
      </c>
      <c r="D388" s="87">
        <v>96</v>
      </c>
      <c r="E388" s="8">
        <f t="shared" ref="E388:E412" si="64">+C388*D388</f>
        <v>47476.800000000003</v>
      </c>
      <c r="F388" s="8">
        <f t="shared" ref="F388:F412" si="65">+E388*7%</f>
        <v>3323.3760000000007</v>
      </c>
      <c r="G388" s="8">
        <f t="shared" ref="G388:G412" si="66">+E388+F388</f>
        <v>50800.176000000007</v>
      </c>
      <c r="I388">
        <v>6905141</v>
      </c>
    </row>
    <row r="389" spans="1:9" ht="18" customHeight="1" x14ac:dyDescent="0.4">
      <c r="A389" s="16" t="s">
        <v>798</v>
      </c>
      <c r="B389" s="5" t="s">
        <v>68</v>
      </c>
      <c r="C389" s="86">
        <v>682.7</v>
      </c>
      <c r="D389" s="38">
        <v>96</v>
      </c>
      <c r="E389" s="8">
        <f>+C389*D389</f>
        <v>65539.200000000012</v>
      </c>
      <c r="F389" s="8">
        <f>+E389*7%</f>
        <v>4587.7440000000015</v>
      </c>
      <c r="G389" s="8">
        <f>+E389+F389</f>
        <v>70126.944000000018</v>
      </c>
      <c r="I389">
        <v>6905335</v>
      </c>
    </row>
    <row r="390" spans="1:9" ht="18" customHeight="1" x14ac:dyDescent="0.4">
      <c r="A390" s="16" t="s">
        <v>798</v>
      </c>
      <c r="B390" s="5" t="s">
        <v>68</v>
      </c>
      <c r="C390" s="86">
        <v>35.549999999999997</v>
      </c>
      <c r="D390" s="87">
        <v>96</v>
      </c>
      <c r="E390" s="8">
        <f t="shared" si="64"/>
        <v>3412.7999999999997</v>
      </c>
      <c r="F390" s="8">
        <f t="shared" si="65"/>
        <v>238.89600000000002</v>
      </c>
      <c r="G390" s="8">
        <f t="shared" si="66"/>
        <v>3651.6959999999999</v>
      </c>
      <c r="I390">
        <v>6905334</v>
      </c>
    </row>
    <row r="391" spans="1:9" ht="18" customHeight="1" x14ac:dyDescent="0.4">
      <c r="A391" s="16" t="s">
        <v>789</v>
      </c>
      <c r="B391" s="5" t="s">
        <v>69</v>
      </c>
      <c r="C391" s="86">
        <v>263.95</v>
      </c>
      <c r="D391" s="87">
        <v>75</v>
      </c>
      <c r="E391" s="8">
        <f t="shared" si="64"/>
        <v>19796.25</v>
      </c>
      <c r="F391" s="8">
        <f t="shared" si="65"/>
        <v>1385.7375000000002</v>
      </c>
      <c r="G391" s="8">
        <f t="shared" si="66"/>
        <v>21181.987499999999</v>
      </c>
      <c r="I391">
        <v>6905112</v>
      </c>
    </row>
    <row r="392" spans="1:9" ht="18" customHeight="1" x14ac:dyDescent="0.4">
      <c r="A392" s="16" t="s">
        <v>809</v>
      </c>
      <c r="B392" s="5" t="s">
        <v>69</v>
      </c>
      <c r="C392" s="86">
        <v>96.5</v>
      </c>
      <c r="D392" s="87">
        <v>96</v>
      </c>
      <c r="E392" s="8">
        <f t="shared" si="64"/>
        <v>9264</v>
      </c>
      <c r="F392" s="8">
        <f t="shared" si="65"/>
        <v>648.48</v>
      </c>
      <c r="G392" s="8">
        <f t="shared" si="66"/>
        <v>9912.48</v>
      </c>
      <c r="I392">
        <v>6905284</v>
      </c>
    </row>
    <row r="393" spans="1:9" ht="18" customHeight="1" x14ac:dyDescent="0.4">
      <c r="A393" s="16" t="s">
        <v>797</v>
      </c>
      <c r="B393" s="5" t="s">
        <v>69</v>
      </c>
      <c r="C393" s="86">
        <v>203.6</v>
      </c>
      <c r="D393" s="87">
        <v>96</v>
      </c>
      <c r="E393" s="8">
        <f t="shared" si="64"/>
        <v>19545.599999999999</v>
      </c>
      <c r="F393" s="8">
        <f t="shared" si="65"/>
        <v>1368.192</v>
      </c>
      <c r="G393" s="8">
        <f t="shared" si="66"/>
        <v>20913.791999999998</v>
      </c>
      <c r="I393">
        <v>6905301</v>
      </c>
    </row>
    <row r="394" spans="1:9" ht="18" customHeight="1" x14ac:dyDescent="0.4">
      <c r="A394" s="16" t="s">
        <v>789</v>
      </c>
      <c r="B394" s="5" t="s">
        <v>70</v>
      </c>
      <c r="C394" s="86">
        <v>28</v>
      </c>
      <c r="D394" s="87">
        <v>75</v>
      </c>
      <c r="E394" s="8">
        <f t="shared" si="64"/>
        <v>2100</v>
      </c>
      <c r="F394" s="8">
        <f t="shared" si="65"/>
        <v>147</v>
      </c>
      <c r="G394" s="8">
        <f t="shared" si="66"/>
        <v>2247</v>
      </c>
      <c r="I394">
        <v>6905111</v>
      </c>
    </row>
    <row r="395" spans="1:9" ht="18" customHeight="1" x14ac:dyDescent="0.4">
      <c r="A395" s="16" t="s">
        <v>789</v>
      </c>
      <c r="B395" s="5" t="s">
        <v>70</v>
      </c>
      <c r="C395" s="86">
        <v>472.15</v>
      </c>
      <c r="D395" s="87">
        <v>94</v>
      </c>
      <c r="E395" s="8">
        <f t="shared" si="64"/>
        <v>44382.1</v>
      </c>
      <c r="F395" s="8">
        <f t="shared" si="65"/>
        <v>3106.7470000000003</v>
      </c>
      <c r="G395" s="8">
        <f t="shared" si="66"/>
        <v>47488.847000000002</v>
      </c>
      <c r="I395">
        <v>6905109</v>
      </c>
    </row>
    <row r="396" spans="1:9" ht="18" customHeight="1" x14ac:dyDescent="0.4">
      <c r="A396" s="16" t="s">
        <v>789</v>
      </c>
      <c r="B396" s="5" t="s">
        <v>70</v>
      </c>
      <c r="C396" s="86">
        <v>191.65</v>
      </c>
      <c r="D396" s="87">
        <v>100</v>
      </c>
      <c r="E396" s="8">
        <f t="shared" si="64"/>
        <v>19165</v>
      </c>
      <c r="F396" s="8">
        <f t="shared" si="65"/>
        <v>1341.5500000000002</v>
      </c>
      <c r="G396" s="8">
        <f t="shared" si="66"/>
        <v>20506.55</v>
      </c>
      <c r="I396">
        <v>6905107</v>
      </c>
    </row>
    <row r="397" spans="1:9" ht="18" customHeight="1" x14ac:dyDescent="0.4">
      <c r="A397" s="16" t="s">
        <v>804</v>
      </c>
      <c r="B397" s="5" t="s">
        <v>70</v>
      </c>
      <c r="C397" s="86">
        <v>195.95</v>
      </c>
      <c r="D397" s="87">
        <v>100</v>
      </c>
      <c r="E397" s="8">
        <f t="shared" si="64"/>
        <v>19595</v>
      </c>
      <c r="F397" s="8">
        <f t="shared" si="65"/>
        <v>1371.65</v>
      </c>
      <c r="G397" s="8">
        <f t="shared" si="66"/>
        <v>20966.650000000001</v>
      </c>
      <c r="I397">
        <v>6905142</v>
      </c>
    </row>
    <row r="398" spans="1:9" ht="18" customHeight="1" x14ac:dyDescent="0.4">
      <c r="A398" s="16" t="s">
        <v>809</v>
      </c>
      <c r="B398" s="5" t="s">
        <v>70</v>
      </c>
      <c r="C398" s="86">
        <v>53</v>
      </c>
      <c r="D398" s="87">
        <v>96</v>
      </c>
      <c r="E398" s="8">
        <f t="shared" si="64"/>
        <v>5088</v>
      </c>
      <c r="F398" s="8">
        <f t="shared" si="65"/>
        <v>356.16</v>
      </c>
      <c r="G398" s="8">
        <f t="shared" si="66"/>
        <v>5444.16</v>
      </c>
      <c r="I398">
        <v>6905283</v>
      </c>
    </row>
    <row r="399" spans="1:9" ht="18" customHeight="1" x14ac:dyDescent="0.4">
      <c r="A399" s="16" t="s">
        <v>809</v>
      </c>
      <c r="B399" s="5" t="s">
        <v>70</v>
      </c>
      <c r="C399" s="86">
        <v>35.9</v>
      </c>
      <c r="D399" s="87">
        <v>96</v>
      </c>
      <c r="E399" s="8">
        <f t="shared" si="64"/>
        <v>3446.3999999999996</v>
      </c>
      <c r="F399" s="8">
        <f t="shared" si="65"/>
        <v>241.24799999999999</v>
      </c>
      <c r="G399" s="8">
        <f t="shared" si="66"/>
        <v>3687.6479999999997</v>
      </c>
      <c r="I399">
        <v>6905282</v>
      </c>
    </row>
    <row r="400" spans="1:9" ht="18" customHeight="1" x14ac:dyDescent="0.4">
      <c r="A400" s="16" t="s">
        <v>797</v>
      </c>
      <c r="B400" s="5" t="s">
        <v>70</v>
      </c>
      <c r="C400" s="86">
        <v>192.8</v>
      </c>
      <c r="D400" s="87">
        <v>96</v>
      </c>
      <c r="E400" s="8">
        <f t="shared" si="64"/>
        <v>18508.800000000003</v>
      </c>
      <c r="F400" s="8">
        <f t="shared" si="65"/>
        <v>1295.6160000000004</v>
      </c>
      <c r="G400" s="8">
        <f>+E400+F400</f>
        <v>19804.416000000005</v>
      </c>
      <c r="I400">
        <v>6905300</v>
      </c>
    </row>
    <row r="401" spans="1:11" ht="18" customHeight="1" x14ac:dyDescent="0.4">
      <c r="A401" s="16" t="s">
        <v>798</v>
      </c>
      <c r="B401" s="5" t="s">
        <v>70</v>
      </c>
      <c r="C401" s="86">
        <v>192.15</v>
      </c>
      <c r="D401" s="87">
        <v>100</v>
      </c>
      <c r="E401" s="8">
        <f t="shared" si="64"/>
        <v>19215</v>
      </c>
      <c r="F401" s="8">
        <f t="shared" si="65"/>
        <v>1345.0500000000002</v>
      </c>
      <c r="G401" s="8">
        <f>+E401+F401</f>
        <v>20560.05</v>
      </c>
      <c r="I401">
        <v>6905335</v>
      </c>
    </row>
    <row r="402" spans="1:11" ht="18" customHeight="1" x14ac:dyDescent="0.4">
      <c r="A402" s="16" t="s">
        <v>789</v>
      </c>
      <c r="B402" s="5" t="s">
        <v>71</v>
      </c>
      <c r="C402" s="86">
        <v>506.95</v>
      </c>
      <c r="D402" s="87">
        <v>96</v>
      </c>
      <c r="E402" s="8">
        <f t="shared" si="64"/>
        <v>48667.199999999997</v>
      </c>
      <c r="F402" s="8">
        <f t="shared" si="65"/>
        <v>3406.7040000000002</v>
      </c>
      <c r="G402" s="8">
        <f t="shared" si="66"/>
        <v>52073.903999999995</v>
      </c>
      <c r="I402">
        <v>6905108</v>
      </c>
    </row>
    <row r="403" spans="1:11" ht="18" customHeight="1" x14ac:dyDescent="0.4">
      <c r="A403" s="16" t="s">
        <v>789</v>
      </c>
      <c r="B403" s="5" t="s">
        <v>71</v>
      </c>
      <c r="C403" s="86">
        <v>118.55</v>
      </c>
      <c r="D403" s="87">
        <v>94</v>
      </c>
      <c r="E403" s="8">
        <f t="shared" si="64"/>
        <v>11143.699999999999</v>
      </c>
      <c r="F403" s="8">
        <f t="shared" si="65"/>
        <v>780.05899999999997</v>
      </c>
      <c r="G403" s="8">
        <f t="shared" si="66"/>
        <v>11923.758999999998</v>
      </c>
      <c r="I403">
        <v>6905105</v>
      </c>
    </row>
    <row r="404" spans="1:11" ht="18" customHeight="1" x14ac:dyDescent="0.4">
      <c r="A404" s="16" t="s">
        <v>804</v>
      </c>
      <c r="B404" s="5" t="s">
        <v>71</v>
      </c>
      <c r="C404" s="86">
        <v>496.25</v>
      </c>
      <c r="D404" s="87">
        <v>94</v>
      </c>
      <c r="E404" s="8">
        <f t="shared" si="64"/>
        <v>46647.5</v>
      </c>
      <c r="F404" s="8">
        <f t="shared" si="65"/>
        <v>3265.3250000000003</v>
      </c>
      <c r="G404" s="8">
        <f t="shared" si="66"/>
        <v>49912.824999999997</v>
      </c>
      <c r="I404">
        <v>6905140</v>
      </c>
    </row>
    <row r="405" spans="1:11" ht="18" customHeight="1" x14ac:dyDescent="0.4">
      <c r="A405" s="16" t="s">
        <v>809</v>
      </c>
      <c r="B405" s="5" t="s">
        <v>71</v>
      </c>
      <c r="C405" s="86">
        <v>193.2</v>
      </c>
      <c r="D405" s="87">
        <v>94</v>
      </c>
      <c r="E405" s="8">
        <f t="shared" si="64"/>
        <v>18160.8</v>
      </c>
      <c r="F405" s="8">
        <f t="shared" si="65"/>
        <v>1271.2560000000001</v>
      </c>
      <c r="G405" s="8">
        <f t="shared" si="66"/>
        <v>19432.056</v>
      </c>
      <c r="I405">
        <v>6905281</v>
      </c>
    </row>
    <row r="406" spans="1:11" ht="18" customHeight="1" x14ac:dyDescent="0.4">
      <c r="A406" s="16" t="s">
        <v>798</v>
      </c>
      <c r="B406" s="5" t="s">
        <v>71</v>
      </c>
      <c r="C406" s="86">
        <v>302.3</v>
      </c>
      <c r="D406" s="87">
        <v>94</v>
      </c>
      <c r="E406" s="8">
        <f t="shared" si="64"/>
        <v>28416.2</v>
      </c>
      <c r="F406" s="8">
        <f t="shared" si="65"/>
        <v>1989.1340000000002</v>
      </c>
      <c r="G406" s="8">
        <f t="shared" si="66"/>
        <v>30405.334000000003</v>
      </c>
      <c r="I406">
        <v>6905332</v>
      </c>
    </row>
    <row r="407" spans="1:11" ht="18" customHeight="1" x14ac:dyDescent="0.4">
      <c r="A407" s="16" t="s">
        <v>789</v>
      </c>
      <c r="B407" s="5" t="s">
        <v>73</v>
      </c>
      <c r="C407" s="86">
        <v>498.2</v>
      </c>
      <c r="D407" s="87">
        <v>94</v>
      </c>
      <c r="E407" s="8">
        <f t="shared" si="64"/>
        <v>46830.799999999996</v>
      </c>
      <c r="F407" s="8">
        <f t="shared" si="65"/>
        <v>3278.1559999999999</v>
      </c>
      <c r="G407" s="8">
        <f t="shared" si="66"/>
        <v>50108.955999999998</v>
      </c>
      <c r="I407">
        <v>6905110</v>
      </c>
    </row>
    <row r="408" spans="1:11" ht="18" customHeight="1" x14ac:dyDescent="0.4">
      <c r="A408" s="16" t="s">
        <v>809</v>
      </c>
      <c r="B408" s="5" t="s">
        <v>73</v>
      </c>
      <c r="C408" s="86">
        <v>39.25</v>
      </c>
      <c r="D408" s="87">
        <v>94</v>
      </c>
      <c r="E408" s="8">
        <f t="shared" si="64"/>
        <v>3689.5</v>
      </c>
      <c r="F408" s="8">
        <f t="shared" si="65"/>
        <v>258.26500000000004</v>
      </c>
      <c r="G408" s="8">
        <f t="shared" si="66"/>
        <v>3947.7649999999999</v>
      </c>
      <c r="I408">
        <v>6905285</v>
      </c>
    </row>
    <row r="409" spans="1:11" ht="18" customHeight="1" x14ac:dyDescent="0.4">
      <c r="A409" s="16" t="s">
        <v>809</v>
      </c>
      <c r="B409" s="5" t="s">
        <v>73</v>
      </c>
      <c r="C409" s="86">
        <v>57.5</v>
      </c>
      <c r="D409" s="87">
        <v>96</v>
      </c>
      <c r="E409" s="8">
        <f t="shared" si="64"/>
        <v>5520</v>
      </c>
      <c r="F409" s="8">
        <f t="shared" si="65"/>
        <v>386.40000000000003</v>
      </c>
      <c r="G409" s="8">
        <f t="shared" si="66"/>
        <v>5906.4</v>
      </c>
      <c r="I409">
        <v>6905282</v>
      </c>
    </row>
    <row r="410" spans="1:11" ht="18" customHeight="1" x14ac:dyDescent="0.4">
      <c r="A410" s="16" t="s">
        <v>797</v>
      </c>
      <c r="B410" s="5" t="s">
        <v>73</v>
      </c>
      <c r="C410" s="86">
        <v>205.5</v>
      </c>
      <c r="D410" s="87">
        <v>94</v>
      </c>
      <c r="E410" s="8">
        <f t="shared" si="64"/>
        <v>19317</v>
      </c>
      <c r="F410" s="8">
        <f t="shared" si="65"/>
        <v>1352.19</v>
      </c>
      <c r="G410" s="8">
        <f t="shared" si="66"/>
        <v>20669.189999999999</v>
      </c>
      <c r="I410">
        <v>6905302</v>
      </c>
    </row>
    <row r="411" spans="1:11" ht="18" customHeight="1" x14ac:dyDescent="0.4">
      <c r="A411" s="16" t="s">
        <v>798</v>
      </c>
      <c r="B411" s="5" t="s">
        <v>73</v>
      </c>
      <c r="C411" s="86">
        <v>401.7</v>
      </c>
      <c r="D411" s="87">
        <v>94</v>
      </c>
      <c r="E411" s="8">
        <f t="shared" si="64"/>
        <v>37759.799999999996</v>
      </c>
      <c r="F411" s="8">
        <f t="shared" si="65"/>
        <v>2643.1860000000001</v>
      </c>
      <c r="G411" s="8">
        <f t="shared" si="66"/>
        <v>40402.985999999997</v>
      </c>
      <c r="I411">
        <v>6905333</v>
      </c>
    </row>
    <row r="412" spans="1:11" ht="18" customHeight="1" x14ac:dyDescent="0.4">
      <c r="A412" s="16" t="s">
        <v>789</v>
      </c>
      <c r="B412" s="5" t="s">
        <v>74</v>
      </c>
      <c r="C412" s="86">
        <v>78.55</v>
      </c>
      <c r="D412" s="87">
        <v>102</v>
      </c>
      <c r="E412" s="8">
        <f t="shared" si="64"/>
        <v>8012.0999999999995</v>
      </c>
      <c r="F412" s="8">
        <f t="shared" si="65"/>
        <v>560.84699999999998</v>
      </c>
      <c r="G412" s="8">
        <f t="shared" si="66"/>
        <v>8572.9470000000001</v>
      </c>
      <c r="I412">
        <v>6905106</v>
      </c>
    </row>
    <row r="413" spans="1:11" ht="18" customHeight="1" thickBot="1" x14ac:dyDescent="0.35">
      <c r="A413" s="84"/>
      <c r="B413" s="17" t="s">
        <v>15</v>
      </c>
      <c r="C413" s="18">
        <f>SUM(C388:C412)</f>
        <v>6036.4000000000005</v>
      </c>
      <c r="D413" s="19"/>
      <c r="E413" s="18">
        <f>SUM(E388:E412)</f>
        <v>570699.55000000005</v>
      </c>
      <c r="F413" s="18">
        <f t="shared" ref="F413:G413" si="67">SUM(F388:F412)</f>
        <v>39948.968500000017</v>
      </c>
      <c r="G413" s="18">
        <f t="shared" si="67"/>
        <v>610648.51850000001</v>
      </c>
      <c r="K413" s="348"/>
    </row>
    <row r="414" spans="1:11" ht="11.25" customHeight="1" thickTop="1" x14ac:dyDescent="0.4">
      <c r="A414" s="21"/>
      <c r="B414" s="22"/>
      <c r="C414" s="23"/>
      <c r="D414" s="24"/>
      <c r="E414" s="23"/>
      <c r="F414" s="25"/>
      <c r="G414" s="23"/>
    </row>
    <row r="415" spans="1:11" ht="23.25" x14ac:dyDescent="0.5">
      <c r="A415" s="361" t="s">
        <v>75</v>
      </c>
      <c r="B415" s="361"/>
      <c r="C415" s="361"/>
      <c r="D415" s="361"/>
      <c r="E415" s="361"/>
      <c r="F415" s="361"/>
      <c r="G415" s="361"/>
    </row>
    <row r="416" spans="1:11" ht="18" customHeight="1" x14ac:dyDescent="0.3">
      <c r="A416" s="94" t="s">
        <v>2</v>
      </c>
      <c r="B416" s="95" t="s">
        <v>3</v>
      </c>
      <c r="C416" s="95" t="s">
        <v>4</v>
      </c>
      <c r="D416" s="3" t="s">
        <v>5</v>
      </c>
      <c r="E416" s="95" t="s">
        <v>6</v>
      </c>
      <c r="F416" s="95" t="s">
        <v>7</v>
      </c>
      <c r="G416" s="95" t="s">
        <v>8</v>
      </c>
    </row>
    <row r="417" spans="1:9" ht="18" customHeight="1" x14ac:dyDescent="0.4">
      <c r="A417" s="127" t="s">
        <v>785</v>
      </c>
      <c r="B417" s="5" t="s">
        <v>636</v>
      </c>
      <c r="C417" s="128">
        <v>498.05</v>
      </c>
      <c r="D417" s="40">
        <v>91</v>
      </c>
      <c r="E417" s="6">
        <f t="shared" ref="E417" si="68">+C417*D417</f>
        <v>45322.55</v>
      </c>
      <c r="F417" s="6">
        <f t="shared" ref="F417" si="69">+E417*7%</f>
        <v>3172.5785000000005</v>
      </c>
      <c r="G417" s="6">
        <f t="shared" ref="G417" si="70">+E417+F417</f>
        <v>48495.128500000006</v>
      </c>
      <c r="I417">
        <v>6905152</v>
      </c>
    </row>
    <row r="418" spans="1:9" ht="18" customHeight="1" thickBot="1" x14ac:dyDescent="0.35">
      <c r="A418" s="131"/>
      <c r="B418" s="95" t="s">
        <v>15</v>
      </c>
      <c r="C418" s="132">
        <f>SUM(C417:C417)</f>
        <v>498.05</v>
      </c>
      <c r="D418" s="133"/>
      <c r="E418" s="134">
        <f>SUM(E417:E417)</f>
        <v>45322.55</v>
      </c>
      <c r="F418" s="134">
        <f t="shared" ref="F418:G418" si="71">SUM(F417:F417)</f>
        <v>3172.5785000000005</v>
      </c>
      <c r="G418" s="134">
        <f t="shared" si="71"/>
        <v>48495.128500000006</v>
      </c>
    </row>
    <row r="419" spans="1:9" ht="12.75" customHeight="1" thickTop="1" x14ac:dyDescent="0.3">
      <c r="A419" s="126"/>
      <c r="B419" s="111"/>
      <c r="C419" s="112"/>
      <c r="D419" s="119"/>
      <c r="E419" s="113"/>
      <c r="F419" s="113"/>
      <c r="G419" s="113"/>
    </row>
    <row r="420" spans="1:9" ht="23.25" x14ac:dyDescent="0.5">
      <c r="A420" s="361" t="s">
        <v>75</v>
      </c>
      <c r="B420" s="361"/>
      <c r="C420" s="361"/>
      <c r="D420" s="361"/>
      <c r="E420" s="361"/>
      <c r="F420" s="361"/>
      <c r="G420" s="361"/>
    </row>
    <row r="421" spans="1:9" ht="18" customHeight="1" x14ac:dyDescent="0.3">
      <c r="A421" s="94" t="s">
        <v>2</v>
      </c>
      <c r="B421" s="95" t="s">
        <v>3</v>
      </c>
      <c r="C421" s="95" t="s">
        <v>76</v>
      </c>
      <c r="D421" s="3" t="s">
        <v>5</v>
      </c>
      <c r="E421" s="95" t="s">
        <v>6</v>
      </c>
      <c r="F421" s="95" t="s">
        <v>7</v>
      </c>
      <c r="G421" s="95" t="s">
        <v>8</v>
      </c>
    </row>
    <row r="422" spans="1:9" ht="18" customHeight="1" x14ac:dyDescent="0.4">
      <c r="A422" s="127" t="s">
        <v>787</v>
      </c>
      <c r="B422" s="5" t="s">
        <v>77</v>
      </c>
      <c r="C422" s="128">
        <v>80</v>
      </c>
      <c r="D422" s="40">
        <v>852</v>
      </c>
      <c r="E422" s="6">
        <f t="shared" ref="E422:E423" si="72">+C422*D422</f>
        <v>68160</v>
      </c>
      <c r="F422" s="6">
        <f t="shared" ref="F422:F423" si="73">+E422*7%</f>
        <v>4771.2000000000007</v>
      </c>
      <c r="G422" s="6">
        <f t="shared" ref="G422:G423" si="74">+E422+F422</f>
        <v>72931.199999999997</v>
      </c>
      <c r="I422">
        <v>6905051</v>
      </c>
    </row>
    <row r="423" spans="1:9" ht="18" customHeight="1" x14ac:dyDescent="0.4">
      <c r="A423" s="127" t="s">
        <v>810</v>
      </c>
      <c r="B423" s="129" t="s">
        <v>78</v>
      </c>
      <c r="C423" s="130">
        <v>30</v>
      </c>
      <c r="D423" s="19">
        <v>852</v>
      </c>
      <c r="E423" s="60">
        <f t="shared" si="72"/>
        <v>25560</v>
      </c>
      <c r="F423" s="60">
        <f t="shared" si="73"/>
        <v>1789.2000000000003</v>
      </c>
      <c r="G423" s="60">
        <f t="shared" si="74"/>
        <v>27349.200000000001</v>
      </c>
      <c r="I423">
        <v>6905320</v>
      </c>
    </row>
    <row r="424" spans="1:9" ht="18" customHeight="1" thickBot="1" x14ac:dyDescent="0.35">
      <c r="A424" s="131"/>
      <c r="B424" s="95" t="s">
        <v>15</v>
      </c>
      <c r="C424" s="132">
        <f>SUM(C422:C423)</f>
        <v>110</v>
      </c>
      <c r="D424" s="133"/>
      <c r="E424" s="134">
        <f>SUM(E422:E423)</f>
        <v>93720</v>
      </c>
      <c r="F424" s="134">
        <f t="shared" ref="F424:G424" si="75">SUM(F422:F423)</f>
        <v>6560.4000000000015</v>
      </c>
      <c r="G424" s="134">
        <f t="shared" si="75"/>
        <v>100280.4</v>
      </c>
    </row>
    <row r="425" spans="1:9" ht="18" customHeight="1" thickTop="1" x14ac:dyDescent="0.3">
      <c r="A425" s="126"/>
      <c r="B425" s="111"/>
      <c r="C425" s="112"/>
      <c r="D425" s="119"/>
      <c r="E425" s="113"/>
      <c r="F425" s="113"/>
      <c r="G425" s="113"/>
    </row>
    <row r="426" spans="1:9" ht="18" customHeight="1" x14ac:dyDescent="0.3">
      <c r="A426" s="27" t="s">
        <v>2</v>
      </c>
      <c r="B426" s="28" t="s">
        <v>3</v>
      </c>
      <c r="C426" s="28" t="s">
        <v>79</v>
      </c>
      <c r="D426" s="119"/>
      <c r="E426" s="111"/>
      <c r="F426" s="111"/>
      <c r="G426" s="111"/>
    </row>
    <row r="427" spans="1:9" ht="18" customHeight="1" x14ac:dyDescent="0.4">
      <c r="A427" s="127" t="s">
        <v>787</v>
      </c>
      <c r="B427" s="5" t="s">
        <v>80</v>
      </c>
      <c r="C427" s="128">
        <v>941.75</v>
      </c>
      <c r="D427" s="88"/>
      <c r="E427" s="135"/>
      <c r="F427" s="111"/>
      <c r="G427" s="135"/>
      <c r="I427">
        <v>6905051</v>
      </c>
    </row>
    <row r="428" spans="1:9" ht="18" customHeight="1" x14ac:dyDescent="0.4">
      <c r="A428" s="127" t="s">
        <v>810</v>
      </c>
      <c r="B428" s="5" t="s">
        <v>80</v>
      </c>
      <c r="C428" s="136">
        <v>352.85</v>
      </c>
      <c r="D428" s="70"/>
      <c r="E428" s="120"/>
      <c r="F428" s="120"/>
      <c r="G428" s="120"/>
      <c r="I428">
        <v>6905320</v>
      </c>
    </row>
    <row r="429" spans="1:9" ht="18" customHeight="1" thickBot="1" x14ac:dyDescent="0.35">
      <c r="A429" s="131"/>
      <c r="B429" s="95" t="s">
        <v>15</v>
      </c>
      <c r="C429" s="132">
        <f>SUM(C427:C428)</f>
        <v>1294.5999999999999</v>
      </c>
      <c r="D429" s="119"/>
      <c r="E429" s="113"/>
      <c r="F429" s="113"/>
      <c r="G429" s="113"/>
    </row>
    <row r="430" spans="1:9" ht="15" customHeight="1" thickTop="1" x14ac:dyDescent="0.3">
      <c r="A430" s="126"/>
      <c r="B430" s="111"/>
      <c r="C430" s="112"/>
      <c r="D430" s="119"/>
      <c r="E430" s="113"/>
      <c r="F430" s="113"/>
      <c r="G430" s="113"/>
    </row>
    <row r="431" spans="1:9" ht="23.25" x14ac:dyDescent="0.3">
      <c r="A431" s="359" t="s">
        <v>81</v>
      </c>
      <c r="B431" s="359"/>
      <c r="C431" s="359"/>
      <c r="D431" s="359"/>
      <c r="E431" s="359"/>
      <c r="F431" s="359"/>
      <c r="G431" s="359"/>
    </row>
    <row r="432" spans="1:9" ht="18" customHeight="1" x14ac:dyDescent="0.3">
      <c r="A432" s="1" t="s">
        <v>2</v>
      </c>
      <c r="B432" s="2" t="s">
        <v>3</v>
      </c>
      <c r="C432" s="2" t="s">
        <v>4</v>
      </c>
      <c r="D432" s="3" t="s">
        <v>5</v>
      </c>
      <c r="E432" s="2" t="s">
        <v>6</v>
      </c>
      <c r="F432" s="2" t="s">
        <v>7</v>
      </c>
      <c r="G432" s="2" t="s">
        <v>8</v>
      </c>
    </row>
    <row r="433" spans="1:9" ht="18" customHeight="1" x14ac:dyDescent="0.4">
      <c r="A433" s="4" t="s">
        <v>797</v>
      </c>
      <c r="B433" s="5" t="s">
        <v>83</v>
      </c>
      <c r="C433" s="128">
        <v>192.9</v>
      </c>
      <c r="D433" s="40">
        <v>87.5</v>
      </c>
      <c r="E433" s="6">
        <f t="shared" ref="E433" si="76">+C433*D433</f>
        <v>16878.75</v>
      </c>
      <c r="F433" s="60">
        <f t="shared" ref="F433" si="77">+E433*7%</f>
        <v>1181.5125</v>
      </c>
      <c r="G433" s="60">
        <f t="shared" ref="G433" si="78">+E433+F433</f>
        <v>18060.262500000001</v>
      </c>
      <c r="I433">
        <v>6905296</v>
      </c>
    </row>
    <row r="434" spans="1:9" ht="18" customHeight="1" thickBot="1" x14ac:dyDescent="0.35">
      <c r="A434" s="61"/>
      <c r="B434" s="137" t="s">
        <v>15</v>
      </c>
      <c r="C434" s="18">
        <f>SUM(C433:C433)</f>
        <v>192.9</v>
      </c>
      <c r="D434" s="66"/>
      <c r="E434" s="18">
        <f>SUM(E433:E433)</f>
        <v>16878.75</v>
      </c>
      <c r="F434" s="18">
        <f t="shared" ref="F434:G434" si="79">SUM(F433:F433)</f>
        <v>1181.5125</v>
      </c>
      <c r="G434" s="18">
        <f t="shared" si="79"/>
        <v>18060.262500000001</v>
      </c>
    </row>
    <row r="435" spans="1:9" ht="15" customHeight="1" thickTop="1" x14ac:dyDescent="0.4">
      <c r="A435" s="21"/>
      <c r="B435" s="22"/>
      <c r="C435" s="23"/>
      <c r="D435" s="24"/>
      <c r="E435" s="23"/>
      <c r="F435" s="23"/>
      <c r="G435" s="23"/>
    </row>
    <row r="436" spans="1:9" ht="23.25" x14ac:dyDescent="0.3">
      <c r="A436" s="359" t="s">
        <v>517</v>
      </c>
      <c r="B436" s="359"/>
      <c r="C436" s="359"/>
      <c r="D436" s="359"/>
      <c r="E436" s="359"/>
      <c r="F436" s="359"/>
      <c r="G436" s="359"/>
    </row>
    <row r="437" spans="1:9" ht="18" customHeight="1" x14ac:dyDescent="0.3">
      <c r="A437" s="1" t="s">
        <v>2</v>
      </c>
      <c r="B437" s="2" t="s">
        <v>3</v>
      </c>
      <c r="C437" s="2" t="s">
        <v>92</v>
      </c>
      <c r="D437" s="3" t="s">
        <v>5</v>
      </c>
      <c r="E437" s="2" t="s">
        <v>6</v>
      </c>
      <c r="F437" s="2" t="s">
        <v>7</v>
      </c>
      <c r="G437" s="2" t="s">
        <v>8</v>
      </c>
    </row>
    <row r="438" spans="1:9" ht="18" customHeight="1" x14ac:dyDescent="0.4">
      <c r="A438" s="81" t="s">
        <v>789</v>
      </c>
      <c r="B438" s="5" t="s">
        <v>518</v>
      </c>
      <c r="C438" s="128">
        <v>2500</v>
      </c>
      <c r="D438" s="40">
        <v>8.25</v>
      </c>
      <c r="E438" s="6">
        <f>+C438*D438</f>
        <v>20625</v>
      </c>
      <c r="F438" s="60">
        <f>+E438*7%</f>
        <v>1443.7500000000002</v>
      </c>
      <c r="G438" s="60">
        <f>+E438+F438</f>
        <v>22068.75</v>
      </c>
      <c r="I438">
        <v>6905094</v>
      </c>
    </row>
    <row r="439" spans="1:9" ht="18" customHeight="1" x14ac:dyDescent="0.4">
      <c r="A439" s="81" t="s">
        <v>801</v>
      </c>
      <c r="B439" s="5" t="s">
        <v>518</v>
      </c>
      <c r="C439" s="128">
        <v>2500</v>
      </c>
      <c r="D439" s="40">
        <v>8.25</v>
      </c>
      <c r="E439" s="6">
        <f>+C439*D439</f>
        <v>20625</v>
      </c>
      <c r="F439" s="60">
        <f>+E439*7%</f>
        <v>1443.7500000000002</v>
      </c>
      <c r="G439" s="60">
        <f>+E439+F439</f>
        <v>22068.75</v>
      </c>
      <c r="I439">
        <v>6905210</v>
      </c>
    </row>
    <row r="440" spans="1:9" ht="18" customHeight="1" thickBot="1" x14ac:dyDescent="0.45">
      <c r="A440" s="61"/>
      <c r="B440" s="137" t="s">
        <v>15</v>
      </c>
      <c r="C440" s="43">
        <f>SUM(C438:C439)</f>
        <v>5000</v>
      </c>
      <c r="D440" s="51"/>
      <c r="E440" s="89">
        <f>SUM(E438:E439)</f>
        <v>41250</v>
      </c>
      <c r="F440" s="89">
        <f t="shared" ref="F440:G440" si="80">SUM(F438:F439)</f>
        <v>2887.5000000000005</v>
      </c>
      <c r="G440" s="89">
        <f t="shared" si="80"/>
        <v>44137.5</v>
      </c>
    </row>
    <row r="441" spans="1:9" ht="12.75" customHeight="1" thickTop="1" x14ac:dyDescent="0.4">
      <c r="A441" s="21"/>
      <c r="B441" s="22"/>
      <c r="C441" s="23"/>
      <c r="D441" s="24"/>
      <c r="E441" s="23"/>
      <c r="F441" s="23"/>
      <c r="G441" s="23"/>
    </row>
    <row r="442" spans="1:9" s="108" customFormat="1" ht="18" customHeight="1" thickBot="1" x14ac:dyDescent="0.45">
      <c r="A442" s="143"/>
      <c r="B442" s="106" t="s">
        <v>558</v>
      </c>
      <c r="C442" s="203">
        <v>0</v>
      </c>
      <c r="D442" s="144">
        <v>0.23580000000000001</v>
      </c>
      <c r="E442" s="189">
        <f>+C442*D442</f>
        <v>0</v>
      </c>
      <c r="F442" s="145">
        <f>SUM(E442:E444)</f>
        <v>825</v>
      </c>
      <c r="G442" s="316"/>
    </row>
    <row r="443" spans="1:9" s="108" customFormat="1" ht="18" customHeight="1" thickTop="1" x14ac:dyDescent="0.4">
      <c r="A443" s="143"/>
      <c r="B443" s="106" t="s">
        <v>559</v>
      </c>
      <c r="C443" s="203">
        <f>C440</f>
        <v>5000</v>
      </c>
      <c r="D443" s="144">
        <v>0.16500000000000001</v>
      </c>
      <c r="E443" s="189">
        <f>+C443*D443</f>
        <v>825</v>
      </c>
      <c r="F443" s="146"/>
      <c r="G443" s="316"/>
    </row>
    <row r="444" spans="1:9" s="108" customFormat="1" ht="18" customHeight="1" x14ac:dyDescent="0.4">
      <c r="A444" s="143"/>
      <c r="B444" s="106" t="s">
        <v>560</v>
      </c>
      <c r="C444" s="203">
        <v>0</v>
      </c>
      <c r="D444" s="55">
        <v>0.15559999999999999</v>
      </c>
      <c r="E444" s="189">
        <f>+C444*D444</f>
        <v>0</v>
      </c>
      <c r="F444" s="54"/>
      <c r="G444" s="316"/>
    </row>
    <row r="445" spans="1:9" s="108" customFormat="1" ht="12" customHeight="1" x14ac:dyDescent="0.4">
      <c r="A445" s="143"/>
      <c r="B445" s="106"/>
      <c r="C445" s="23"/>
      <c r="D445" s="55"/>
      <c r="E445" s="189"/>
      <c r="F445" s="54"/>
      <c r="G445" s="316"/>
    </row>
    <row r="446" spans="1:9" ht="12.75" customHeight="1" x14ac:dyDescent="0.4">
      <c r="A446" s="21"/>
      <c r="B446" s="22"/>
      <c r="C446" s="23"/>
      <c r="D446" s="24"/>
      <c r="E446" s="23"/>
      <c r="F446" s="23"/>
      <c r="G446" s="23"/>
    </row>
    <row r="447" spans="1:9" ht="23.25" x14ac:dyDescent="0.3">
      <c r="A447" s="359" t="s">
        <v>87</v>
      </c>
      <c r="B447" s="359"/>
      <c r="C447" s="359"/>
      <c r="D447" s="359"/>
      <c r="E447" s="359"/>
      <c r="F447" s="359"/>
      <c r="G447" s="359"/>
    </row>
    <row r="448" spans="1:9" ht="18" customHeight="1" x14ac:dyDescent="0.4">
      <c r="A448" s="57" t="s">
        <v>2</v>
      </c>
      <c r="B448" s="58" t="s">
        <v>3</v>
      </c>
      <c r="C448" s="2" t="s">
        <v>4</v>
      </c>
      <c r="D448" s="59" t="s">
        <v>5</v>
      </c>
      <c r="E448" s="58" t="s">
        <v>6</v>
      </c>
      <c r="F448" s="58" t="s">
        <v>7</v>
      </c>
      <c r="G448" s="58" t="s">
        <v>8</v>
      </c>
    </row>
    <row r="449" spans="1:9" ht="18" customHeight="1" x14ac:dyDescent="0.4">
      <c r="A449" s="16" t="s">
        <v>800</v>
      </c>
      <c r="B449" s="5" t="s">
        <v>90</v>
      </c>
      <c r="C449" s="37">
        <v>503.85</v>
      </c>
      <c r="D449" s="51">
        <v>82</v>
      </c>
      <c r="E449" s="60">
        <f t="shared" ref="E449:E454" si="81">+C449*D449</f>
        <v>41315.700000000004</v>
      </c>
      <c r="F449" s="60">
        <f t="shared" ref="F449:F454" si="82">+E449*7%</f>
        <v>2892.0990000000006</v>
      </c>
      <c r="G449" s="60">
        <f t="shared" ref="G449:G454" si="83">+E449+F449</f>
        <v>44207.799000000006</v>
      </c>
      <c r="I449">
        <v>6905024</v>
      </c>
    </row>
    <row r="450" spans="1:9" ht="18" customHeight="1" x14ac:dyDescent="0.4">
      <c r="A450" s="16" t="s">
        <v>790</v>
      </c>
      <c r="B450" s="5" t="s">
        <v>90</v>
      </c>
      <c r="C450" s="37">
        <v>504.3</v>
      </c>
      <c r="D450" s="51">
        <v>82</v>
      </c>
      <c r="E450" s="60">
        <f t="shared" si="81"/>
        <v>41352.6</v>
      </c>
      <c r="F450" s="60">
        <f t="shared" si="82"/>
        <v>2894.6820000000002</v>
      </c>
      <c r="G450" s="60">
        <f t="shared" si="83"/>
        <v>44247.281999999999</v>
      </c>
      <c r="I450">
        <v>6905119</v>
      </c>
    </row>
    <row r="451" spans="1:9" ht="18" customHeight="1" x14ac:dyDescent="0.4">
      <c r="A451" s="16" t="s">
        <v>805</v>
      </c>
      <c r="B451" s="5" t="s">
        <v>90</v>
      </c>
      <c r="C451" s="37">
        <v>161.65</v>
      </c>
      <c r="D451" s="51">
        <v>82</v>
      </c>
      <c r="E451" s="60">
        <f t="shared" si="81"/>
        <v>13255.300000000001</v>
      </c>
      <c r="F451" s="60">
        <f t="shared" si="82"/>
        <v>927.87100000000021</v>
      </c>
      <c r="G451" s="60">
        <f t="shared" si="83"/>
        <v>14183.171000000002</v>
      </c>
      <c r="I451">
        <v>6905188</v>
      </c>
    </row>
    <row r="452" spans="1:9" ht="18" customHeight="1" x14ac:dyDescent="0.4">
      <c r="A452" s="16" t="s">
        <v>801</v>
      </c>
      <c r="B452" s="5" t="s">
        <v>90</v>
      </c>
      <c r="C452" s="37">
        <v>509.05</v>
      </c>
      <c r="D452" s="51">
        <v>82</v>
      </c>
      <c r="E452" s="60">
        <f t="shared" si="81"/>
        <v>41742.1</v>
      </c>
      <c r="F452" s="60">
        <f t="shared" si="82"/>
        <v>2921.9470000000001</v>
      </c>
      <c r="G452" s="60">
        <f t="shared" si="83"/>
        <v>44664.046999999999</v>
      </c>
      <c r="I452">
        <v>6905216</v>
      </c>
    </row>
    <row r="453" spans="1:9" ht="18" customHeight="1" x14ac:dyDescent="0.4">
      <c r="A453" s="16" t="s">
        <v>809</v>
      </c>
      <c r="B453" s="5" t="s">
        <v>90</v>
      </c>
      <c r="C453" s="37">
        <v>504.95</v>
      </c>
      <c r="D453" s="51">
        <v>82</v>
      </c>
      <c r="E453" s="60">
        <f t="shared" si="81"/>
        <v>41405.9</v>
      </c>
      <c r="F453" s="60">
        <f t="shared" si="82"/>
        <v>2898.4130000000005</v>
      </c>
      <c r="G453" s="60">
        <f t="shared" si="83"/>
        <v>44304.313000000002</v>
      </c>
      <c r="I453">
        <v>6905291</v>
      </c>
    </row>
    <row r="454" spans="1:9" ht="18" customHeight="1" x14ac:dyDescent="0.4">
      <c r="A454" s="16" t="s">
        <v>799</v>
      </c>
      <c r="B454" s="5" t="s">
        <v>90</v>
      </c>
      <c r="C454" s="37">
        <v>517.79999999999995</v>
      </c>
      <c r="D454" s="51">
        <v>79</v>
      </c>
      <c r="E454" s="60">
        <f t="shared" si="81"/>
        <v>40906.199999999997</v>
      </c>
      <c r="F454" s="60">
        <f t="shared" si="82"/>
        <v>2863.4340000000002</v>
      </c>
      <c r="G454" s="60">
        <f t="shared" si="83"/>
        <v>43769.633999999998</v>
      </c>
      <c r="I454">
        <v>6905354</v>
      </c>
    </row>
    <row r="455" spans="1:9" ht="18" customHeight="1" thickBot="1" x14ac:dyDescent="0.35">
      <c r="A455" s="84"/>
      <c r="B455" s="17" t="s">
        <v>15</v>
      </c>
      <c r="C455" s="18">
        <f>SUM(C449:C454)</f>
        <v>2701.6000000000004</v>
      </c>
      <c r="D455" s="19"/>
      <c r="E455" s="18">
        <f>SUM(E449:E454)</f>
        <v>219977.8</v>
      </c>
      <c r="F455" s="18">
        <f t="shared" ref="F455:G455" si="84">SUM(F449:F454)</f>
        <v>15398.446000000004</v>
      </c>
      <c r="G455" s="18">
        <f t="shared" si="84"/>
        <v>235376.24599999998</v>
      </c>
    </row>
    <row r="456" spans="1:9" ht="12.75" customHeight="1" thickTop="1" x14ac:dyDescent="0.3">
      <c r="A456" s="85"/>
      <c r="B456" s="68"/>
      <c r="C456" s="69"/>
      <c r="D456" s="70"/>
      <c r="E456" s="69"/>
      <c r="F456" s="69"/>
      <c r="G456" s="69"/>
    </row>
    <row r="457" spans="1:9" s="26" customFormat="1" ht="23.25" x14ac:dyDescent="0.5">
      <c r="A457" s="361" t="s">
        <v>91</v>
      </c>
      <c r="B457" s="361"/>
      <c r="C457" s="361"/>
      <c r="D457" s="361"/>
      <c r="E457" s="361"/>
      <c r="F457" s="361"/>
      <c r="G457" s="361"/>
    </row>
    <row r="458" spans="1:9" s="26" customFormat="1" ht="16.5" customHeight="1" x14ac:dyDescent="0.45">
      <c r="A458" s="150" t="s">
        <v>2</v>
      </c>
      <c r="B458" s="151" t="s">
        <v>3</v>
      </c>
      <c r="C458" s="151" t="s">
        <v>92</v>
      </c>
      <c r="D458" s="59" t="s">
        <v>5</v>
      </c>
      <c r="E458" s="151" t="s">
        <v>6</v>
      </c>
      <c r="F458" s="151" t="s">
        <v>7</v>
      </c>
      <c r="G458" s="151" t="s">
        <v>8</v>
      </c>
    </row>
    <row r="459" spans="1:9" s="26" customFormat="1" ht="16.5" customHeight="1" x14ac:dyDescent="0.45">
      <c r="A459" s="12" t="s">
        <v>798</v>
      </c>
      <c r="B459" s="152" t="s">
        <v>731</v>
      </c>
      <c r="C459" s="153">
        <v>3000</v>
      </c>
      <c r="D459" s="154">
        <v>38.25</v>
      </c>
      <c r="E459" s="60">
        <f t="shared" ref="E459:E470" si="85">+C459*D459</f>
        <v>114750</v>
      </c>
      <c r="F459" s="60">
        <f t="shared" ref="F459:F470" si="86">+E459*7%</f>
        <v>8032.5000000000009</v>
      </c>
      <c r="G459" s="60">
        <f t="shared" ref="G459:G470" si="87">+E459+F459</f>
        <v>122782.5</v>
      </c>
      <c r="I459" s="26">
        <v>6905328</v>
      </c>
    </row>
    <row r="460" spans="1:9" s="26" customFormat="1" ht="16.5" customHeight="1" x14ac:dyDescent="0.45">
      <c r="A460" s="12" t="s">
        <v>801</v>
      </c>
      <c r="B460" s="152" t="s">
        <v>732</v>
      </c>
      <c r="C460" s="153">
        <v>2000</v>
      </c>
      <c r="D460" s="154">
        <v>47.5</v>
      </c>
      <c r="E460" s="60">
        <f t="shared" si="85"/>
        <v>95000</v>
      </c>
      <c r="F460" s="60">
        <f t="shared" si="86"/>
        <v>6650.0000000000009</v>
      </c>
      <c r="G460" s="60">
        <f t="shared" si="87"/>
        <v>101650</v>
      </c>
      <c r="I460" s="26">
        <v>6905209</v>
      </c>
    </row>
    <row r="461" spans="1:9" s="26" customFormat="1" ht="16.5" customHeight="1" x14ac:dyDescent="0.45">
      <c r="A461" s="12" t="s">
        <v>806</v>
      </c>
      <c r="B461" s="152" t="s">
        <v>732</v>
      </c>
      <c r="C461" s="153">
        <v>1000</v>
      </c>
      <c r="D461" s="154">
        <v>47.5</v>
      </c>
      <c r="E461" s="60">
        <f t="shared" si="85"/>
        <v>47500</v>
      </c>
      <c r="F461" s="60">
        <f t="shared" si="86"/>
        <v>3325.0000000000005</v>
      </c>
      <c r="G461" s="60">
        <f t="shared" si="87"/>
        <v>50825</v>
      </c>
      <c r="I461" s="26">
        <v>6905238</v>
      </c>
    </row>
    <row r="462" spans="1:9" s="26" customFormat="1" ht="16.5" customHeight="1" x14ac:dyDescent="0.45">
      <c r="A462" s="12" t="s">
        <v>787</v>
      </c>
      <c r="B462" s="152" t="s">
        <v>185</v>
      </c>
      <c r="C462" s="153">
        <v>12000</v>
      </c>
      <c r="D462" s="154">
        <v>11</v>
      </c>
      <c r="E462" s="60">
        <f t="shared" si="85"/>
        <v>132000</v>
      </c>
      <c r="F462" s="60">
        <f t="shared" si="86"/>
        <v>9240</v>
      </c>
      <c r="G462" s="60">
        <f t="shared" si="87"/>
        <v>141240</v>
      </c>
      <c r="I462" s="26">
        <v>6905048</v>
      </c>
    </row>
    <row r="463" spans="1:9" s="26" customFormat="1" ht="16.5" customHeight="1" x14ac:dyDescent="0.45">
      <c r="A463" s="12" t="s">
        <v>805</v>
      </c>
      <c r="B463" s="152" t="s">
        <v>99</v>
      </c>
      <c r="C463" s="9">
        <v>600</v>
      </c>
      <c r="D463" s="10">
        <v>71.25</v>
      </c>
      <c r="E463" s="6">
        <f t="shared" si="85"/>
        <v>42750</v>
      </c>
      <c r="F463" s="6">
        <f t="shared" si="86"/>
        <v>2992.5000000000005</v>
      </c>
      <c r="G463" s="6">
        <f t="shared" si="87"/>
        <v>45742.5</v>
      </c>
      <c r="I463" s="26">
        <v>6905192</v>
      </c>
    </row>
    <row r="464" spans="1:9" s="26" customFormat="1" ht="16.5" customHeight="1" x14ac:dyDescent="0.45">
      <c r="A464" s="12" t="s">
        <v>793</v>
      </c>
      <c r="B464" s="152" t="s">
        <v>99</v>
      </c>
      <c r="C464" s="9">
        <v>200</v>
      </c>
      <c r="D464" s="10">
        <v>71</v>
      </c>
      <c r="E464" s="6">
        <f t="shared" si="85"/>
        <v>14200</v>
      </c>
      <c r="F464" s="6">
        <f t="shared" si="86"/>
        <v>994.00000000000011</v>
      </c>
      <c r="G464" s="6">
        <f t="shared" si="87"/>
        <v>15194</v>
      </c>
      <c r="I464" s="26">
        <v>6905193</v>
      </c>
    </row>
    <row r="465" spans="1:9" s="26" customFormat="1" ht="16.5" customHeight="1" x14ac:dyDescent="0.45">
      <c r="A465" s="12" t="s">
        <v>801</v>
      </c>
      <c r="B465" s="152" t="s">
        <v>99</v>
      </c>
      <c r="C465" s="9">
        <v>800</v>
      </c>
      <c r="D465" s="10">
        <v>71</v>
      </c>
      <c r="E465" s="6">
        <f t="shared" si="85"/>
        <v>56800</v>
      </c>
      <c r="F465" s="6">
        <f t="shared" si="86"/>
        <v>3976.0000000000005</v>
      </c>
      <c r="G465" s="6">
        <f t="shared" si="87"/>
        <v>60776</v>
      </c>
      <c r="I465" s="26">
        <v>6905208</v>
      </c>
    </row>
    <row r="466" spans="1:9" s="26" customFormat="1" ht="16.5" customHeight="1" x14ac:dyDescent="0.45">
      <c r="A466" s="12" t="s">
        <v>787</v>
      </c>
      <c r="B466" s="152" t="s">
        <v>94</v>
      </c>
      <c r="C466" s="153">
        <v>10000</v>
      </c>
      <c r="D466" s="154">
        <v>7.25</v>
      </c>
      <c r="E466" s="60">
        <f t="shared" si="85"/>
        <v>72500</v>
      </c>
      <c r="F466" s="60">
        <f t="shared" si="86"/>
        <v>5075.0000000000009</v>
      </c>
      <c r="G466" s="60">
        <f t="shared" si="87"/>
        <v>77575</v>
      </c>
      <c r="I466" s="26">
        <v>6905048</v>
      </c>
    </row>
    <row r="467" spans="1:9" s="26" customFormat="1" ht="16.5" customHeight="1" x14ac:dyDescent="0.45">
      <c r="A467" s="12" t="s">
        <v>795</v>
      </c>
      <c r="B467" s="152" t="s">
        <v>94</v>
      </c>
      <c r="C467" s="153">
        <v>8100</v>
      </c>
      <c r="D467" s="154">
        <v>7.75</v>
      </c>
      <c r="E467" s="60">
        <f t="shared" si="85"/>
        <v>62775</v>
      </c>
      <c r="F467" s="60">
        <f t="shared" si="86"/>
        <v>4394.25</v>
      </c>
      <c r="G467" s="60">
        <f t="shared" si="87"/>
        <v>67169.25</v>
      </c>
      <c r="I467" s="26">
        <v>6905248</v>
      </c>
    </row>
    <row r="468" spans="1:9" s="26" customFormat="1" ht="16.5" customHeight="1" x14ac:dyDescent="0.45">
      <c r="A468" s="12" t="s">
        <v>798</v>
      </c>
      <c r="B468" s="152" t="s">
        <v>94</v>
      </c>
      <c r="C468" s="153">
        <v>1900</v>
      </c>
      <c r="D468" s="154">
        <v>7.75</v>
      </c>
      <c r="E468" s="60">
        <f t="shared" si="85"/>
        <v>14725</v>
      </c>
      <c r="F468" s="60">
        <f t="shared" si="86"/>
        <v>1030.75</v>
      </c>
      <c r="G468" s="60">
        <f t="shared" si="87"/>
        <v>15755.75</v>
      </c>
      <c r="I468" s="26">
        <v>6905326</v>
      </c>
    </row>
    <row r="469" spans="1:9" s="26" customFormat="1" ht="16.5" customHeight="1" x14ac:dyDescent="0.45">
      <c r="A469" s="12" t="s">
        <v>798</v>
      </c>
      <c r="B469" s="152" t="s">
        <v>267</v>
      </c>
      <c r="C469" s="153">
        <v>5000</v>
      </c>
      <c r="D469" s="154">
        <v>15.25</v>
      </c>
      <c r="E469" s="60">
        <f t="shared" si="85"/>
        <v>76250</v>
      </c>
      <c r="F469" s="60">
        <f t="shared" si="86"/>
        <v>5337.5000000000009</v>
      </c>
      <c r="G469" s="60">
        <f t="shared" si="87"/>
        <v>81587.5</v>
      </c>
      <c r="I469" s="26">
        <v>6905327</v>
      </c>
    </row>
    <row r="470" spans="1:9" s="26" customFormat="1" ht="16.5" customHeight="1" x14ac:dyDescent="0.45">
      <c r="A470" s="12" t="s">
        <v>809</v>
      </c>
      <c r="B470" s="152" t="s">
        <v>95</v>
      </c>
      <c r="C470" s="153">
        <v>1500</v>
      </c>
      <c r="D470" s="154">
        <v>57</v>
      </c>
      <c r="E470" s="60">
        <f t="shared" si="85"/>
        <v>85500</v>
      </c>
      <c r="F470" s="60">
        <f t="shared" si="86"/>
        <v>5985.0000000000009</v>
      </c>
      <c r="G470" s="60">
        <f t="shared" si="87"/>
        <v>91485</v>
      </c>
      <c r="I470" s="26">
        <v>6905287</v>
      </c>
    </row>
    <row r="471" spans="1:9" s="26" customFormat="1" ht="18" customHeight="1" thickBot="1" x14ac:dyDescent="0.5">
      <c r="A471" s="41"/>
      <c r="B471" s="151" t="s">
        <v>15</v>
      </c>
      <c r="C471" s="155">
        <f>SUM(C459:C470)</f>
        <v>46100</v>
      </c>
      <c r="D471" s="156"/>
      <c r="E471" s="157">
        <f>SUM(E459:E470)</f>
        <v>814750</v>
      </c>
      <c r="F471" s="157">
        <f t="shared" ref="F471:G471" si="88">SUM(F459:F470)</f>
        <v>57032.500000000007</v>
      </c>
      <c r="G471" s="157">
        <f t="shared" si="88"/>
        <v>871782.5</v>
      </c>
    </row>
    <row r="472" spans="1:9" s="26" customFormat="1" ht="12.75" customHeight="1" thickTop="1" x14ac:dyDescent="0.45">
      <c r="A472" s="78"/>
      <c r="B472" s="91"/>
      <c r="C472" s="54"/>
      <c r="D472" s="158"/>
      <c r="E472" s="92"/>
      <c r="F472" s="92"/>
      <c r="G472" s="92"/>
    </row>
    <row r="473" spans="1:9" s="26" customFormat="1" ht="21" x14ac:dyDescent="0.45">
      <c r="A473" s="78"/>
      <c r="B473" s="22" t="s">
        <v>730</v>
      </c>
      <c r="C473" s="159">
        <v>0</v>
      </c>
      <c r="D473" s="93">
        <v>0.38900000000000001</v>
      </c>
      <c r="E473" s="92"/>
      <c r="F473" s="92"/>
      <c r="G473" s="92"/>
    </row>
    <row r="474" spans="1:9" s="26" customFormat="1" ht="21" x14ac:dyDescent="0.45">
      <c r="A474" s="78"/>
      <c r="B474" s="22" t="s">
        <v>93</v>
      </c>
      <c r="C474" s="159">
        <v>0</v>
      </c>
      <c r="D474" s="93">
        <v>0.39800000000000002</v>
      </c>
      <c r="E474" s="160">
        <f t="shared" ref="E474:E484" si="89">+C474*D474</f>
        <v>0</v>
      </c>
      <c r="F474" s="120"/>
      <c r="G474" s="92"/>
    </row>
    <row r="475" spans="1:9" s="108" customFormat="1" ht="18" x14ac:dyDescent="0.4">
      <c r="A475" s="161"/>
      <c r="B475" s="162" t="s">
        <v>761</v>
      </c>
      <c r="C475" s="159">
        <v>0</v>
      </c>
      <c r="D475" s="163">
        <v>0.53</v>
      </c>
      <c r="E475" s="160">
        <f t="shared" si="89"/>
        <v>0</v>
      </c>
    </row>
    <row r="476" spans="1:9" s="108" customFormat="1" ht="18" x14ac:dyDescent="0.4">
      <c r="A476" s="161"/>
      <c r="B476" s="162" t="s">
        <v>731</v>
      </c>
      <c r="C476" s="159">
        <f>C459</f>
        <v>3000</v>
      </c>
      <c r="D476" s="163">
        <v>0.51900000000000002</v>
      </c>
      <c r="E476" s="160"/>
    </row>
    <row r="477" spans="1:9" s="108" customFormat="1" ht="18" x14ac:dyDescent="0.4">
      <c r="A477" s="161"/>
      <c r="B477" s="162" t="s">
        <v>125</v>
      </c>
      <c r="C477" s="159">
        <v>0</v>
      </c>
      <c r="D477" s="163">
        <v>0.66300000000000003</v>
      </c>
      <c r="E477" s="160">
        <f t="shared" si="89"/>
        <v>0</v>
      </c>
    </row>
    <row r="478" spans="1:9" s="108" customFormat="1" ht="18" x14ac:dyDescent="0.4">
      <c r="A478" s="161"/>
      <c r="B478" s="162" t="s">
        <v>732</v>
      </c>
      <c r="C478" s="159">
        <f>C460+C461</f>
        <v>3000</v>
      </c>
      <c r="D478" s="163">
        <v>0.64900000000000002</v>
      </c>
      <c r="E478" s="160"/>
    </row>
    <row r="479" spans="1:9" s="108" customFormat="1" ht="18.75" thickBot="1" x14ac:dyDescent="0.45">
      <c r="A479" s="143"/>
      <c r="B479" s="106" t="s">
        <v>94</v>
      </c>
      <c r="C479" s="159">
        <f>C466+C467+C468</f>
        <v>20000</v>
      </c>
      <c r="D479" s="144">
        <v>8.6199999999999999E-2</v>
      </c>
      <c r="E479" s="160">
        <f t="shared" si="89"/>
        <v>1724</v>
      </c>
      <c r="F479" s="145">
        <f>SUM(E473:E484)</f>
        <v>8349.98</v>
      </c>
      <c r="G479" s="109"/>
    </row>
    <row r="480" spans="1:9" s="108" customFormat="1" ht="18.75" thickTop="1" x14ac:dyDescent="0.4">
      <c r="A480" s="143"/>
      <c r="B480" s="106" t="s">
        <v>98</v>
      </c>
      <c r="C480" s="159">
        <f>C469</f>
        <v>5000</v>
      </c>
      <c r="D480" s="144">
        <f>120*120*150*0.921/10000000</f>
        <v>0.198936</v>
      </c>
      <c r="E480" s="160">
        <f t="shared" si="89"/>
        <v>994.68000000000006</v>
      </c>
      <c r="F480" s="146"/>
      <c r="G480" s="109"/>
    </row>
    <row r="481" spans="1:9" s="108" customFormat="1" ht="18" x14ac:dyDescent="0.4">
      <c r="A481" s="143"/>
      <c r="B481" s="106" t="s">
        <v>95</v>
      </c>
      <c r="C481" s="159">
        <f>C470</f>
        <v>1500</v>
      </c>
      <c r="D481" s="144">
        <v>0.77900000000000003</v>
      </c>
      <c r="E481" s="160">
        <f t="shared" si="89"/>
        <v>1168.5</v>
      </c>
      <c r="F481" s="146"/>
      <c r="G481" s="109"/>
    </row>
    <row r="482" spans="1:9" s="108" customFormat="1" ht="18" x14ac:dyDescent="0.4">
      <c r="A482" s="143"/>
      <c r="B482" s="106" t="s">
        <v>99</v>
      </c>
      <c r="C482" s="159">
        <f>C463+C464+C465</f>
        <v>1600</v>
      </c>
      <c r="D482" s="144">
        <v>1.7789999999999999</v>
      </c>
      <c r="E482" s="160">
        <f t="shared" si="89"/>
        <v>2846.3999999999996</v>
      </c>
      <c r="F482" s="146"/>
      <c r="G482" s="109"/>
    </row>
    <row r="483" spans="1:9" s="166" customFormat="1" ht="18" x14ac:dyDescent="0.4">
      <c r="A483" s="164"/>
      <c r="B483" s="105" t="s">
        <v>96</v>
      </c>
      <c r="C483" s="159">
        <f>C462</f>
        <v>12000</v>
      </c>
      <c r="D483" s="165">
        <v>0.13469999999999999</v>
      </c>
      <c r="E483" s="160">
        <f t="shared" si="89"/>
        <v>1616.3999999999999</v>
      </c>
      <c r="F483" s="105"/>
      <c r="G483" s="105"/>
    </row>
    <row r="484" spans="1:9" s="166" customFormat="1" ht="18" x14ac:dyDescent="0.4">
      <c r="A484" s="164"/>
      <c r="B484" s="105" t="s">
        <v>100</v>
      </c>
      <c r="C484" s="159">
        <v>0</v>
      </c>
      <c r="D484" s="165">
        <v>0.57199999999999995</v>
      </c>
      <c r="E484" s="160">
        <f t="shared" si="89"/>
        <v>0</v>
      </c>
      <c r="F484" s="105"/>
      <c r="G484" s="105"/>
    </row>
    <row r="485" spans="1:9" s="30" customFormat="1" ht="13.5" customHeight="1" x14ac:dyDescent="0.5">
      <c r="A485" s="85"/>
      <c r="B485" s="68"/>
      <c r="C485" s="69"/>
      <c r="D485" s="70"/>
      <c r="E485" s="71"/>
      <c r="F485" s="71"/>
      <c r="G485" s="71"/>
    </row>
    <row r="486" spans="1:9" ht="23.25" x14ac:dyDescent="0.3">
      <c r="A486" s="359" t="s">
        <v>101</v>
      </c>
      <c r="B486" s="359"/>
      <c r="C486" s="359"/>
      <c r="D486" s="359"/>
      <c r="E486" s="359"/>
      <c r="F486" s="359"/>
      <c r="G486" s="359"/>
    </row>
    <row r="487" spans="1:9" ht="18" customHeight="1" x14ac:dyDescent="0.4">
      <c r="A487" s="57" t="s">
        <v>2</v>
      </c>
      <c r="B487" s="58" t="s">
        <v>3</v>
      </c>
      <c r="C487" s="2" t="s">
        <v>4</v>
      </c>
      <c r="D487" s="59" t="s">
        <v>5</v>
      </c>
      <c r="E487" s="58" t="s">
        <v>6</v>
      </c>
      <c r="F487" s="58" t="s">
        <v>7</v>
      </c>
      <c r="G487" s="58" t="s">
        <v>8</v>
      </c>
    </row>
    <row r="488" spans="1:9" ht="18" customHeight="1" x14ac:dyDescent="0.4">
      <c r="A488" s="81" t="s">
        <v>806</v>
      </c>
      <c r="B488" s="5" t="s">
        <v>829</v>
      </c>
      <c r="C488" s="167">
        <v>480.1</v>
      </c>
      <c r="D488" s="154">
        <v>65</v>
      </c>
      <c r="E488" s="60">
        <f t="shared" ref="E488:E490" si="90">+C488*D488</f>
        <v>31206.5</v>
      </c>
      <c r="F488" s="60">
        <f t="shared" ref="F488:F490" si="91">+E488*7%</f>
        <v>2184.4550000000004</v>
      </c>
      <c r="G488" s="60">
        <f t="shared" ref="G488:G490" si="92">+E488+F488</f>
        <v>33390.955000000002</v>
      </c>
      <c r="I488">
        <v>6905239</v>
      </c>
    </row>
    <row r="489" spans="1:9" ht="18" customHeight="1" x14ac:dyDescent="0.4">
      <c r="A489" s="81" t="s">
        <v>805</v>
      </c>
      <c r="B489" s="5" t="s">
        <v>207</v>
      </c>
      <c r="C489" s="167">
        <v>482.4</v>
      </c>
      <c r="D489" s="154">
        <v>65</v>
      </c>
      <c r="E489" s="60">
        <f t="shared" si="90"/>
        <v>31356</v>
      </c>
      <c r="F489" s="60">
        <f t="shared" si="91"/>
        <v>2194.92</v>
      </c>
      <c r="G489" s="60">
        <f t="shared" si="92"/>
        <v>33550.92</v>
      </c>
      <c r="I489">
        <v>6905191</v>
      </c>
    </row>
    <row r="490" spans="1:9" ht="18" customHeight="1" x14ac:dyDescent="0.4">
      <c r="A490" s="81" t="s">
        <v>806</v>
      </c>
      <c r="B490" s="5" t="s">
        <v>209</v>
      </c>
      <c r="C490" s="167">
        <v>989.95</v>
      </c>
      <c r="D490" s="154">
        <v>65</v>
      </c>
      <c r="E490" s="60">
        <f t="shared" si="90"/>
        <v>64346.75</v>
      </c>
      <c r="F490" s="60">
        <f t="shared" si="91"/>
        <v>4504.2725</v>
      </c>
      <c r="G490" s="60">
        <f t="shared" si="92"/>
        <v>68851.022500000006</v>
      </c>
      <c r="I490">
        <v>6905239</v>
      </c>
    </row>
    <row r="491" spans="1:9" s="30" customFormat="1" ht="18" customHeight="1" thickBot="1" x14ac:dyDescent="0.55000000000000004">
      <c r="A491" s="84"/>
      <c r="B491" s="17" t="s">
        <v>15</v>
      </c>
      <c r="C491" s="18">
        <f>SUM(C488:C490)</f>
        <v>1952.45</v>
      </c>
      <c r="D491" s="19"/>
      <c r="E491" s="18">
        <f>SUM(E488:E490)</f>
        <v>126909.25</v>
      </c>
      <c r="F491" s="18">
        <f t="shared" ref="F491:G491" si="93">SUM(F488:F490)</f>
        <v>8883.6474999999991</v>
      </c>
      <c r="G491" s="18">
        <f t="shared" si="93"/>
        <v>135792.89750000002</v>
      </c>
    </row>
    <row r="492" spans="1:9" s="30" customFormat="1" ht="12.75" customHeight="1" thickTop="1" x14ac:dyDescent="0.5">
      <c r="A492" s="85"/>
      <c r="B492" s="68"/>
      <c r="C492" s="69"/>
      <c r="D492" s="70"/>
      <c r="E492" s="69"/>
      <c r="F492" s="69"/>
      <c r="G492" s="69"/>
    </row>
    <row r="493" spans="1:9" s="30" customFormat="1" ht="23.25" x14ac:dyDescent="0.5">
      <c r="A493" s="359" t="s">
        <v>103</v>
      </c>
      <c r="B493" s="359"/>
      <c r="C493" s="359"/>
      <c r="D493" s="359"/>
      <c r="E493" s="359"/>
      <c r="F493" s="359"/>
      <c r="G493" s="359"/>
    </row>
    <row r="494" spans="1:9" s="30" customFormat="1" ht="18" customHeight="1" x14ac:dyDescent="0.5">
      <c r="A494" s="57" t="s">
        <v>2</v>
      </c>
      <c r="B494" s="58" t="s">
        <v>3</v>
      </c>
      <c r="C494" s="2" t="s">
        <v>4</v>
      </c>
      <c r="D494" s="59" t="s">
        <v>5</v>
      </c>
      <c r="E494" s="58" t="s">
        <v>6</v>
      </c>
      <c r="F494" s="58" t="s">
        <v>7</v>
      </c>
      <c r="G494" s="58" t="s">
        <v>8</v>
      </c>
    </row>
    <row r="495" spans="1:9" ht="18" customHeight="1" x14ac:dyDescent="0.4">
      <c r="A495" s="81" t="s">
        <v>803</v>
      </c>
      <c r="B495" s="5" t="s">
        <v>104</v>
      </c>
      <c r="C495" s="168">
        <v>513.85</v>
      </c>
      <c r="D495" s="87">
        <v>65</v>
      </c>
      <c r="E495" s="6">
        <f>+C495*D495</f>
        <v>33400.25</v>
      </c>
      <c r="F495" s="6">
        <f>+E495*7%</f>
        <v>2338.0175000000004</v>
      </c>
      <c r="G495" s="6">
        <f>+E495+F495</f>
        <v>35738.267500000002</v>
      </c>
      <c r="I495">
        <v>6905028</v>
      </c>
    </row>
    <row r="496" spans="1:9" ht="18" customHeight="1" x14ac:dyDescent="0.4">
      <c r="A496" s="81" t="s">
        <v>799</v>
      </c>
      <c r="B496" s="5" t="s">
        <v>104</v>
      </c>
      <c r="C496" s="168">
        <v>515.04999999999995</v>
      </c>
      <c r="D496" s="87">
        <v>82</v>
      </c>
      <c r="E496" s="6">
        <f t="shared" ref="E496" si="94">+C496*D496</f>
        <v>42234.1</v>
      </c>
      <c r="F496" s="6">
        <f t="shared" ref="F496" si="95">+E496*7%</f>
        <v>2956.3870000000002</v>
      </c>
      <c r="G496" s="6">
        <f t="shared" ref="G496" si="96">+E496+F496</f>
        <v>45190.487000000001</v>
      </c>
      <c r="I496">
        <v>6905353</v>
      </c>
    </row>
    <row r="497" spans="1:9" ht="18" customHeight="1" thickBot="1" x14ac:dyDescent="0.35">
      <c r="A497" s="84"/>
      <c r="B497" s="17" t="s">
        <v>15</v>
      </c>
      <c r="C497" s="18">
        <f>SUM(C495:C496)</f>
        <v>1028.9000000000001</v>
      </c>
      <c r="D497" s="19"/>
      <c r="E497" s="18">
        <f>SUM(E495:E496)</f>
        <v>75634.350000000006</v>
      </c>
      <c r="F497" s="18">
        <f t="shared" ref="F497:G497" si="97">SUM(F495:F496)</f>
        <v>5294.4045000000006</v>
      </c>
      <c r="G497" s="18">
        <f t="shared" si="97"/>
        <v>80928.75450000001</v>
      </c>
    </row>
    <row r="498" spans="1:9" ht="18" customHeight="1" thickTop="1" x14ac:dyDescent="0.3">
      <c r="A498" s="85"/>
      <c r="B498" s="68"/>
      <c r="C498" s="69"/>
      <c r="D498" s="70"/>
      <c r="E498" s="69"/>
      <c r="F498" s="69"/>
      <c r="G498" s="69"/>
    </row>
    <row r="499" spans="1:9" s="30" customFormat="1" ht="23.25" x14ac:dyDescent="0.5">
      <c r="A499" s="359" t="s">
        <v>102</v>
      </c>
      <c r="B499" s="359"/>
      <c r="C499" s="359"/>
      <c r="D499" s="359"/>
      <c r="E499" s="359"/>
      <c r="F499" s="359"/>
      <c r="G499" s="359"/>
    </row>
    <row r="500" spans="1:9" s="30" customFormat="1" ht="18" customHeight="1" x14ac:dyDescent="0.5">
      <c r="A500" s="57" t="s">
        <v>2</v>
      </c>
      <c r="B500" s="58" t="s">
        <v>3</v>
      </c>
      <c r="C500" s="2" t="s">
        <v>4</v>
      </c>
      <c r="D500" s="59" t="s">
        <v>5</v>
      </c>
      <c r="E500" s="58" t="s">
        <v>6</v>
      </c>
      <c r="F500" s="58" t="s">
        <v>7</v>
      </c>
      <c r="G500" s="58" t="s">
        <v>8</v>
      </c>
    </row>
    <row r="501" spans="1:9" s="26" customFormat="1" ht="18" customHeight="1" x14ac:dyDescent="0.45">
      <c r="A501" s="16" t="s">
        <v>791</v>
      </c>
      <c r="B501" s="5" t="s">
        <v>830</v>
      </c>
      <c r="C501" s="37">
        <v>501</v>
      </c>
      <c r="D501" s="51">
        <v>66</v>
      </c>
      <c r="E501" s="60">
        <f t="shared" ref="E501:E505" si="98">+C501*D501</f>
        <v>33066</v>
      </c>
      <c r="F501" s="60">
        <f t="shared" ref="F501:F505" si="99">+E501*7%</f>
        <v>2314.6200000000003</v>
      </c>
      <c r="G501" s="60">
        <f t="shared" ref="G501:G505" si="100">+E501+F501</f>
        <v>35380.620000000003</v>
      </c>
      <c r="I501" s="26">
        <v>6905168</v>
      </c>
    </row>
    <row r="502" spans="1:9" s="26" customFormat="1" ht="18" customHeight="1" x14ac:dyDescent="0.45">
      <c r="A502" s="16" t="s">
        <v>792</v>
      </c>
      <c r="B502" s="5" t="s">
        <v>520</v>
      </c>
      <c r="C502" s="37">
        <v>301.10000000000002</v>
      </c>
      <c r="D502" s="51">
        <v>66</v>
      </c>
      <c r="E502" s="60">
        <f t="shared" si="98"/>
        <v>19872.600000000002</v>
      </c>
      <c r="F502" s="60">
        <f t="shared" si="99"/>
        <v>1391.0820000000003</v>
      </c>
      <c r="G502" s="60">
        <f t="shared" si="100"/>
        <v>21263.682000000001</v>
      </c>
      <c r="I502" s="26">
        <v>6905179</v>
      </c>
    </row>
    <row r="503" spans="1:9" s="26" customFormat="1" ht="18" customHeight="1" x14ac:dyDescent="0.45">
      <c r="A503" s="16" t="s">
        <v>801</v>
      </c>
      <c r="B503" s="5" t="s">
        <v>233</v>
      </c>
      <c r="C503" s="37">
        <v>301.5</v>
      </c>
      <c r="D503" s="51">
        <v>66</v>
      </c>
      <c r="E503" s="60">
        <f t="shared" si="98"/>
        <v>19899</v>
      </c>
      <c r="F503" s="60">
        <f t="shared" si="99"/>
        <v>1392.93</v>
      </c>
      <c r="G503" s="60">
        <f t="shared" si="100"/>
        <v>21291.93</v>
      </c>
      <c r="I503" s="26">
        <v>6905218</v>
      </c>
    </row>
    <row r="504" spans="1:9" s="26" customFormat="1" ht="18" customHeight="1" x14ac:dyDescent="0.45">
      <c r="A504" s="16" t="s">
        <v>786</v>
      </c>
      <c r="B504" s="5" t="s">
        <v>640</v>
      </c>
      <c r="C504" s="37">
        <v>483.7</v>
      </c>
      <c r="D504" s="51">
        <v>66</v>
      </c>
      <c r="E504" s="60">
        <f t="shared" si="98"/>
        <v>31924.2</v>
      </c>
      <c r="F504" s="60">
        <f t="shared" si="99"/>
        <v>2234.6940000000004</v>
      </c>
      <c r="G504" s="60">
        <f t="shared" si="100"/>
        <v>34158.894</v>
      </c>
      <c r="I504" s="26">
        <v>6905014</v>
      </c>
    </row>
    <row r="505" spans="1:9" s="26" customFormat="1" ht="18" customHeight="1" x14ac:dyDescent="0.45">
      <c r="A505" s="16" t="s">
        <v>807</v>
      </c>
      <c r="B505" s="5" t="s">
        <v>640</v>
      </c>
      <c r="C505" s="37">
        <v>986.4</v>
      </c>
      <c r="D505" s="51">
        <v>75</v>
      </c>
      <c r="E505" s="60">
        <f t="shared" si="98"/>
        <v>73980</v>
      </c>
      <c r="F505" s="60">
        <f t="shared" si="99"/>
        <v>5178.6000000000004</v>
      </c>
      <c r="G505" s="60">
        <f t="shared" si="100"/>
        <v>79158.600000000006</v>
      </c>
      <c r="I505" s="26">
        <v>6905269</v>
      </c>
    </row>
    <row r="506" spans="1:9" s="30" customFormat="1" ht="18" customHeight="1" thickBot="1" x14ac:dyDescent="0.55000000000000004">
      <c r="A506" s="84"/>
      <c r="B506" s="17" t="s">
        <v>15</v>
      </c>
      <c r="C506" s="18">
        <f>SUM(C501:C505)</f>
        <v>2573.6999999999998</v>
      </c>
      <c r="D506" s="19"/>
      <c r="E506" s="18">
        <f>SUM(E501:E505)</f>
        <v>178741.8</v>
      </c>
      <c r="F506" s="18">
        <f t="shared" ref="F506:G506" si="101">SUM(F501:F505)</f>
        <v>12511.926000000001</v>
      </c>
      <c r="G506" s="18">
        <f t="shared" si="101"/>
        <v>191253.72600000002</v>
      </c>
    </row>
    <row r="507" spans="1:9" s="30" customFormat="1" ht="18" customHeight="1" thickTop="1" x14ac:dyDescent="0.5">
      <c r="A507" s="85"/>
      <c r="B507" s="68"/>
      <c r="C507" s="69"/>
      <c r="D507" s="70"/>
      <c r="E507" s="69"/>
      <c r="F507" s="69"/>
      <c r="G507" s="69"/>
    </row>
    <row r="508" spans="1:9" ht="18" customHeight="1" x14ac:dyDescent="0.3">
      <c r="A508" s="359" t="s">
        <v>105</v>
      </c>
      <c r="B508" s="359"/>
      <c r="C508" s="359"/>
      <c r="D508" s="359"/>
      <c r="E508" s="359"/>
      <c r="F508" s="359"/>
      <c r="G508" s="359"/>
    </row>
    <row r="509" spans="1:9" ht="18" customHeight="1" x14ac:dyDescent="0.4">
      <c r="A509" s="57" t="s">
        <v>2</v>
      </c>
      <c r="B509" s="58" t="s">
        <v>3</v>
      </c>
      <c r="C509" s="2" t="s">
        <v>4</v>
      </c>
      <c r="D509" s="59" t="s">
        <v>5</v>
      </c>
      <c r="E509" s="58" t="s">
        <v>6</v>
      </c>
      <c r="F509" s="58" t="s">
        <v>7</v>
      </c>
      <c r="G509" s="58" t="s">
        <v>8</v>
      </c>
    </row>
    <row r="510" spans="1:9" ht="18" customHeight="1" x14ac:dyDescent="0.4">
      <c r="A510" s="81" t="s">
        <v>809</v>
      </c>
      <c r="B510" s="5" t="s">
        <v>106</v>
      </c>
      <c r="C510" s="169">
        <v>187.65</v>
      </c>
      <c r="D510" s="170">
        <v>84</v>
      </c>
      <c r="E510" s="6">
        <f>+C510*D510</f>
        <v>15762.6</v>
      </c>
      <c r="F510" s="6">
        <f>+E510*7%</f>
        <v>1103.3820000000001</v>
      </c>
      <c r="G510" s="6">
        <f>+E510+F510</f>
        <v>16865.982</v>
      </c>
      <c r="I510">
        <v>6905280</v>
      </c>
    </row>
    <row r="511" spans="1:9" ht="18" customHeight="1" thickBot="1" x14ac:dyDescent="0.35">
      <c r="A511" s="84"/>
      <c r="B511" s="17" t="s">
        <v>15</v>
      </c>
      <c r="C511" s="18">
        <f>SUM(C510:C510)</f>
        <v>187.65</v>
      </c>
      <c r="D511" s="19"/>
      <c r="E511" s="18">
        <f>SUM(E510:E510)</f>
        <v>15762.6</v>
      </c>
      <c r="F511" s="18">
        <f t="shared" ref="F511:G511" si="102">SUM(F510:F510)</f>
        <v>1103.3820000000001</v>
      </c>
      <c r="G511" s="18">
        <f t="shared" si="102"/>
        <v>16865.982</v>
      </c>
    </row>
    <row r="512" spans="1:9" ht="18" customHeight="1" thickTop="1" x14ac:dyDescent="0.3">
      <c r="A512" s="85"/>
      <c r="C512" s="69"/>
      <c r="D512" s="70"/>
      <c r="E512" s="69"/>
      <c r="F512" s="69"/>
      <c r="G512" s="69"/>
    </row>
    <row r="513" spans="1:9" ht="30" customHeight="1" x14ac:dyDescent="0.3">
      <c r="A513" s="359" t="s">
        <v>107</v>
      </c>
      <c r="B513" s="359"/>
      <c r="C513" s="359"/>
      <c r="D513" s="359"/>
      <c r="E513" s="359"/>
      <c r="F513" s="359"/>
      <c r="G513" s="359"/>
    </row>
    <row r="514" spans="1:9" ht="18" customHeight="1" x14ac:dyDescent="0.3">
      <c r="A514" s="1" t="s">
        <v>2</v>
      </c>
      <c r="B514" s="2" t="s">
        <v>3</v>
      </c>
      <c r="C514" s="2" t="s">
        <v>108</v>
      </c>
      <c r="D514" s="3" t="s">
        <v>5</v>
      </c>
      <c r="E514" s="2" t="s">
        <v>6</v>
      </c>
      <c r="F514" s="2" t="s">
        <v>7</v>
      </c>
      <c r="G514" s="2" t="s">
        <v>8</v>
      </c>
    </row>
    <row r="515" spans="1:9" ht="18" customHeight="1" x14ac:dyDescent="0.4">
      <c r="A515" s="16" t="s">
        <v>804</v>
      </c>
      <c r="B515" s="5" t="s">
        <v>109</v>
      </c>
      <c r="C515" s="50">
        <v>311</v>
      </c>
      <c r="D515" s="142">
        <v>84</v>
      </c>
      <c r="E515" s="6">
        <f>+C515*D515</f>
        <v>26124</v>
      </c>
      <c r="F515" s="60">
        <f>+E515*7%</f>
        <v>1828.68</v>
      </c>
      <c r="G515" s="60">
        <f>+E515+F515</f>
        <v>27952.68</v>
      </c>
      <c r="I515">
        <v>6905128</v>
      </c>
    </row>
    <row r="516" spans="1:9" ht="18" customHeight="1" x14ac:dyDescent="0.4">
      <c r="A516" s="16" t="s">
        <v>804</v>
      </c>
      <c r="B516" s="5" t="s">
        <v>109</v>
      </c>
      <c r="C516" s="50">
        <v>1107</v>
      </c>
      <c r="D516" s="142">
        <v>84</v>
      </c>
      <c r="E516" s="6">
        <f>+C516*D516</f>
        <v>92988</v>
      </c>
      <c r="F516" s="60">
        <f>+E516*7%</f>
        <v>6509.1600000000008</v>
      </c>
      <c r="G516" s="60">
        <f>+E516+F516</f>
        <v>99497.16</v>
      </c>
      <c r="I516">
        <v>6905128</v>
      </c>
    </row>
    <row r="517" spans="1:9" ht="18" customHeight="1" x14ac:dyDescent="0.4">
      <c r="A517" s="16" t="s">
        <v>791</v>
      </c>
      <c r="B517" s="5" t="s">
        <v>109</v>
      </c>
      <c r="C517" s="50">
        <v>438.95</v>
      </c>
      <c r="D517" s="142">
        <v>84</v>
      </c>
      <c r="E517" s="6">
        <f>+C517*D517</f>
        <v>36871.799999999996</v>
      </c>
      <c r="F517" s="60">
        <f>+E517*7%</f>
        <v>2581.0259999999998</v>
      </c>
      <c r="G517" s="60">
        <f>+E517+F517</f>
        <v>39452.825999999994</v>
      </c>
      <c r="I517">
        <v>6905166</v>
      </c>
    </row>
    <row r="518" spans="1:9" ht="18" customHeight="1" x14ac:dyDescent="0.4">
      <c r="A518" s="16" t="s">
        <v>798</v>
      </c>
      <c r="B518" s="5" t="s">
        <v>109</v>
      </c>
      <c r="C518" s="50">
        <v>189.9</v>
      </c>
      <c r="D518" s="142">
        <v>82</v>
      </c>
      <c r="E518" s="6">
        <f>+C518*D518</f>
        <v>15571.800000000001</v>
      </c>
      <c r="F518" s="60">
        <f>+E518*7%</f>
        <v>1090.0260000000001</v>
      </c>
      <c r="G518" s="60">
        <f>+E518+F518</f>
        <v>16661.826000000001</v>
      </c>
      <c r="I518">
        <v>6905330</v>
      </c>
    </row>
    <row r="519" spans="1:9" ht="18" customHeight="1" x14ac:dyDescent="0.4">
      <c r="A519" s="16" t="s">
        <v>798</v>
      </c>
      <c r="B519" s="5" t="s">
        <v>109</v>
      </c>
      <c r="C519" s="50">
        <v>1838.2</v>
      </c>
      <c r="D519" s="142">
        <v>82</v>
      </c>
      <c r="E519" s="6">
        <f>+C519*D519</f>
        <v>150732.4</v>
      </c>
      <c r="F519" s="60">
        <f>+E519*7%</f>
        <v>10551.268</v>
      </c>
      <c r="G519" s="60">
        <f>+E519+F519</f>
        <v>161283.66800000001</v>
      </c>
      <c r="I519">
        <v>6905330</v>
      </c>
    </row>
    <row r="520" spans="1:9" ht="18" customHeight="1" thickBot="1" x14ac:dyDescent="0.35">
      <c r="A520" s="139"/>
      <c r="B520" s="17" t="s">
        <v>15</v>
      </c>
      <c r="C520" s="18">
        <f>SUM(C515:C519)</f>
        <v>3885.05</v>
      </c>
      <c r="D520" s="133"/>
      <c r="E520" s="18">
        <f>SUM(E515:E519)</f>
        <v>322288</v>
      </c>
      <c r="F520" s="18">
        <f>SUM(F515:F518)</f>
        <v>12008.892</v>
      </c>
      <c r="G520" s="18">
        <f>SUM(G515:G518)</f>
        <v>183564.492</v>
      </c>
    </row>
    <row r="521" spans="1:9" ht="17.25" thickTop="1" x14ac:dyDescent="0.3"/>
    <row r="522" spans="1:9" ht="23.25" x14ac:dyDescent="0.3">
      <c r="A522" s="359" t="s">
        <v>113</v>
      </c>
      <c r="B522" s="359"/>
      <c r="C522" s="359"/>
      <c r="D522" s="359"/>
      <c r="E522" s="359"/>
      <c r="F522" s="359"/>
      <c r="G522" s="359"/>
    </row>
    <row r="523" spans="1:9" ht="18" customHeight="1" x14ac:dyDescent="0.3">
      <c r="A523" s="1" t="s">
        <v>2</v>
      </c>
      <c r="B523" s="2" t="s">
        <v>3</v>
      </c>
      <c r="C523" s="2" t="s">
        <v>4</v>
      </c>
      <c r="D523" s="3" t="s">
        <v>5</v>
      </c>
      <c r="E523" s="2" t="s">
        <v>6</v>
      </c>
      <c r="F523" s="2" t="s">
        <v>7</v>
      </c>
      <c r="G523" s="2" t="s">
        <v>8</v>
      </c>
    </row>
    <row r="524" spans="1:9" ht="18" customHeight="1" x14ac:dyDescent="0.4">
      <c r="A524" s="81" t="s">
        <v>803</v>
      </c>
      <c r="B524" s="171" t="s">
        <v>114</v>
      </c>
      <c r="C524" s="169">
        <v>942.25</v>
      </c>
      <c r="D524" s="142">
        <v>86</v>
      </c>
      <c r="E524" s="60">
        <f>+C524*D524</f>
        <v>81033.5</v>
      </c>
      <c r="F524" s="60">
        <f>+E524*7%</f>
        <v>5672.3450000000003</v>
      </c>
      <c r="G524" s="60">
        <f>+E524+F524</f>
        <v>86705.845000000001</v>
      </c>
      <c r="I524">
        <v>6905039</v>
      </c>
    </row>
    <row r="525" spans="1:9" ht="18" customHeight="1" x14ac:dyDescent="0.4">
      <c r="A525" s="81" t="s">
        <v>788</v>
      </c>
      <c r="B525" s="171" t="s">
        <v>114</v>
      </c>
      <c r="C525" s="169">
        <v>828.75</v>
      </c>
      <c r="D525" s="142">
        <v>86</v>
      </c>
      <c r="E525" s="60">
        <f>+C525*D525</f>
        <v>71272.5</v>
      </c>
      <c r="F525" s="60">
        <f>+E525*7%</f>
        <v>4989.0750000000007</v>
      </c>
      <c r="G525" s="60">
        <f>+E525+F525</f>
        <v>76261.574999999997</v>
      </c>
      <c r="I525">
        <v>6905085</v>
      </c>
    </row>
    <row r="526" spans="1:9" ht="18" customHeight="1" thickBot="1" x14ac:dyDescent="0.35">
      <c r="A526" s="84"/>
      <c r="B526" s="17" t="s">
        <v>15</v>
      </c>
      <c r="C526" s="18">
        <f>SUM(C524:C525)</f>
        <v>1771</v>
      </c>
      <c r="D526" s="19"/>
      <c r="E526" s="62">
        <f>SUM(E524:E525)</f>
        <v>152306</v>
      </c>
      <c r="F526" s="62">
        <f t="shared" ref="F526:G526" si="103">SUM(F524:F525)</f>
        <v>10661.420000000002</v>
      </c>
      <c r="G526" s="62">
        <f t="shared" si="103"/>
        <v>162967.41999999998</v>
      </c>
    </row>
    <row r="527" spans="1:9" ht="18" customHeight="1" thickTop="1" x14ac:dyDescent="0.3">
      <c r="A527" s="85"/>
      <c r="B527" s="68"/>
      <c r="C527" s="69"/>
      <c r="D527" s="70"/>
      <c r="E527" s="71"/>
      <c r="F527" s="71"/>
      <c r="G527" s="71"/>
    </row>
    <row r="528" spans="1:9" ht="23.25" x14ac:dyDescent="0.3">
      <c r="A528" s="359" t="s">
        <v>115</v>
      </c>
      <c r="B528" s="359"/>
      <c r="C528" s="359"/>
      <c r="D528" s="359"/>
      <c r="E528" s="359"/>
      <c r="F528" s="359"/>
      <c r="G528" s="359"/>
    </row>
    <row r="529" spans="1:9" ht="18" customHeight="1" x14ac:dyDescent="0.3">
      <c r="A529" s="1" t="s">
        <v>2</v>
      </c>
      <c r="B529" s="2" t="s">
        <v>3</v>
      </c>
      <c r="C529" s="2" t="s">
        <v>4</v>
      </c>
      <c r="D529" s="3" t="s">
        <v>5</v>
      </c>
      <c r="E529" s="2" t="s">
        <v>6</v>
      </c>
      <c r="F529" s="2" t="s">
        <v>7</v>
      </c>
      <c r="G529" s="2" t="s">
        <v>8</v>
      </c>
    </row>
    <row r="530" spans="1:9" ht="18" customHeight="1" x14ac:dyDescent="0.4">
      <c r="A530" s="81" t="s">
        <v>794</v>
      </c>
      <c r="B530" s="171" t="s">
        <v>116</v>
      </c>
      <c r="C530" s="169">
        <v>596.29999999999995</v>
      </c>
      <c r="D530" s="142">
        <v>128.75</v>
      </c>
      <c r="E530" s="6">
        <f>+C530*D530</f>
        <v>76773.625</v>
      </c>
      <c r="F530" s="60">
        <f t="shared" ref="F530:F550" si="104">+E530*7%</f>
        <v>5374.1537500000004</v>
      </c>
      <c r="G530" s="60">
        <f t="shared" ref="G530:G550" si="105">+E530+F530</f>
        <v>82147.778749999998</v>
      </c>
      <c r="H530" s="273" t="s">
        <v>392</v>
      </c>
      <c r="I530">
        <v>6905224</v>
      </c>
    </row>
    <row r="531" spans="1:9" ht="18" customHeight="1" x14ac:dyDescent="0.4">
      <c r="A531" s="81" t="s">
        <v>794</v>
      </c>
      <c r="B531" s="171" t="s">
        <v>116</v>
      </c>
      <c r="C531" s="169">
        <v>603.45000000000005</v>
      </c>
      <c r="D531" s="142">
        <v>128.75</v>
      </c>
      <c r="E531" s="6">
        <f>+C531*D531</f>
        <v>77694.1875</v>
      </c>
      <c r="F531" s="60">
        <f>+E531*7%</f>
        <v>5438.5931250000003</v>
      </c>
      <c r="G531" s="60">
        <f t="shared" si="105"/>
        <v>83132.780624999999</v>
      </c>
      <c r="H531" s="273" t="s">
        <v>392</v>
      </c>
      <c r="I531">
        <v>6905224</v>
      </c>
    </row>
    <row r="532" spans="1:9" ht="18" customHeight="1" x14ac:dyDescent="0.4">
      <c r="A532" s="81" t="s">
        <v>794</v>
      </c>
      <c r="B532" s="171" t="s">
        <v>116</v>
      </c>
      <c r="C532" s="169">
        <v>577.4</v>
      </c>
      <c r="D532" s="142">
        <v>128.75</v>
      </c>
      <c r="E532" s="6">
        <f>+C532*D532</f>
        <v>74340.25</v>
      </c>
      <c r="F532" s="60">
        <f>+E532*7%</f>
        <v>5203.8175000000001</v>
      </c>
      <c r="G532" s="60">
        <f>+E532+F532</f>
        <v>79544.067500000005</v>
      </c>
      <c r="H532" s="273" t="s">
        <v>392</v>
      </c>
      <c r="I532">
        <v>6905225</v>
      </c>
    </row>
    <row r="533" spans="1:9" ht="18" customHeight="1" x14ac:dyDescent="0.4">
      <c r="A533" s="81" t="s">
        <v>810</v>
      </c>
      <c r="B533" s="171" t="s">
        <v>116</v>
      </c>
      <c r="C533" s="169">
        <v>608.6</v>
      </c>
      <c r="D533" s="142">
        <v>128.75</v>
      </c>
      <c r="E533" s="6">
        <f t="shared" ref="E533:E550" si="106">+C533*D533</f>
        <v>78357.25</v>
      </c>
      <c r="F533" s="60">
        <f t="shared" si="104"/>
        <v>5485.0075000000006</v>
      </c>
      <c r="G533" s="60">
        <f t="shared" si="105"/>
        <v>83842.257500000007</v>
      </c>
      <c r="H533" s="273" t="s">
        <v>392</v>
      </c>
      <c r="I533">
        <v>6905315</v>
      </c>
    </row>
    <row r="534" spans="1:9" ht="18" customHeight="1" x14ac:dyDescent="0.4">
      <c r="A534" s="81" t="s">
        <v>810</v>
      </c>
      <c r="B534" s="171" t="s">
        <v>116</v>
      </c>
      <c r="C534" s="169">
        <v>598.65</v>
      </c>
      <c r="D534" s="142">
        <v>128.75</v>
      </c>
      <c r="E534" s="6">
        <f t="shared" si="106"/>
        <v>77076.1875</v>
      </c>
      <c r="F534" s="60">
        <f t="shared" si="104"/>
        <v>5395.3331250000001</v>
      </c>
      <c r="G534" s="60">
        <f t="shared" si="105"/>
        <v>82471.520625000005</v>
      </c>
      <c r="H534" s="273" t="s">
        <v>392</v>
      </c>
      <c r="I534">
        <v>6905314</v>
      </c>
    </row>
    <row r="535" spans="1:9" ht="18" customHeight="1" x14ac:dyDescent="0.4">
      <c r="A535" s="81" t="s">
        <v>810</v>
      </c>
      <c r="B535" s="171" t="s">
        <v>116</v>
      </c>
      <c r="C535" s="169">
        <v>580.9</v>
      </c>
      <c r="D535" s="142">
        <v>128.75</v>
      </c>
      <c r="E535" s="6">
        <f t="shared" si="106"/>
        <v>74790.875</v>
      </c>
      <c r="F535" s="60">
        <f t="shared" si="104"/>
        <v>5235.3612500000008</v>
      </c>
      <c r="G535" s="60">
        <f t="shared" si="105"/>
        <v>80026.236250000002</v>
      </c>
      <c r="H535" s="273" t="s">
        <v>392</v>
      </c>
      <c r="I535">
        <v>6905314</v>
      </c>
    </row>
    <row r="536" spans="1:9" ht="18" customHeight="1" x14ac:dyDescent="0.4">
      <c r="A536" s="81" t="s">
        <v>810</v>
      </c>
      <c r="B536" s="171" t="s">
        <v>167</v>
      </c>
      <c r="C536" s="169">
        <v>603.04999999999995</v>
      </c>
      <c r="D536" s="142">
        <v>128.75</v>
      </c>
      <c r="E536" s="6">
        <f t="shared" si="106"/>
        <v>77642.6875</v>
      </c>
      <c r="F536" s="60">
        <f t="shared" si="104"/>
        <v>5434.9881250000008</v>
      </c>
      <c r="G536" s="60">
        <f t="shared" si="105"/>
        <v>83077.675625000003</v>
      </c>
      <c r="H536" s="273" t="s">
        <v>392</v>
      </c>
      <c r="I536">
        <v>6905316</v>
      </c>
    </row>
    <row r="537" spans="1:9" ht="18" customHeight="1" x14ac:dyDescent="0.4">
      <c r="A537" s="81" t="s">
        <v>810</v>
      </c>
      <c r="B537" s="171" t="s">
        <v>167</v>
      </c>
      <c r="C537" s="169">
        <v>594.04999999999995</v>
      </c>
      <c r="D537" s="142">
        <v>128.75</v>
      </c>
      <c r="E537" s="6">
        <f t="shared" si="106"/>
        <v>76483.9375</v>
      </c>
      <c r="F537" s="60">
        <f t="shared" si="104"/>
        <v>5353.8756250000006</v>
      </c>
      <c r="G537" s="60">
        <f t="shared" si="105"/>
        <v>81837.813125000001</v>
      </c>
      <c r="H537" s="273" t="s">
        <v>392</v>
      </c>
      <c r="I537">
        <v>6905316</v>
      </c>
    </row>
    <row r="538" spans="1:9" ht="18" customHeight="1" x14ac:dyDescent="0.4">
      <c r="A538" s="81" t="s">
        <v>810</v>
      </c>
      <c r="B538" s="171" t="s">
        <v>186</v>
      </c>
      <c r="C538" s="169">
        <v>582.04999999999995</v>
      </c>
      <c r="D538" s="142">
        <v>128.75</v>
      </c>
      <c r="E538" s="6">
        <f t="shared" si="106"/>
        <v>74938.9375</v>
      </c>
      <c r="F538" s="60">
        <f t="shared" si="104"/>
        <v>5245.7256250000009</v>
      </c>
      <c r="G538" s="60">
        <f t="shared" si="105"/>
        <v>80184.663125000006</v>
      </c>
      <c r="H538" s="273" t="s">
        <v>392</v>
      </c>
      <c r="I538">
        <v>6905317</v>
      </c>
    </row>
    <row r="539" spans="1:9" ht="18" customHeight="1" x14ac:dyDescent="0.4">
      <c r="A539" s="81" t="s">
        <v>805</v>
      </c>
      <c r="B539" s="171" t="s">
        <v>117</v>
      </c>
      <c r="C539" s="169">
        <v>592.16</v>
      </c>
      <c r="D539" s="142">
        <v>128.75</v>
      </c>
      <c r="E539" s="6">
        <f t="shared" si="106"/>
        <v>76240.599999999991</v>
      </c>
      <c r="F539" s="60">
        <f t="shared" si="104"/>
        <v>5336.8419999999996</v>
      </c>
      <c r="G539" s="60">
        <f t="shared" si="105"/>
        <v>81577.441999999995</v>
      </c>
      <c r="H539" s="273" t="s">
        <v>392</v>
      </c>
      <c r="I539">
        <v>6905185</v>
      </c>
    </row>
    <row r="540" spans="1:9" ht="18" customHeight="1" x14ac:dyDescent="0.4">
      <c r="A540" s="81" t="s">
        <v>805</v>
      </c>
      <c r="B540" s="171" t="s">
        <v>117</v>
      </c>
      <c r="C540" s="169">
        <v>601.11</v>
      </c>
      <c r="D540" s="142">
        <v>128.75</v>
      </c>
      <c r="E540" s="6">
        <f t="shared" si="106"/>
        <v>77392.912500000006</v>
      </c>
      <c r="F540" s="60">
        <f t="shared" si="104"/>
        <v>5417.5038750000012</v>
      </c>
      <c r="G540" s="60">
        <f t="shared" si="105"/>
        <v>82810.416375000001</v>
      </c>
      <c r="H540" s="273" t="s">
        <v>392</v>
      </c>
      <c r="I540">
        <v>6905185</v>
      </c>
    </row>
    <row r="541" spans="1:9" ht="18" customHeight="1" x14ac:dyDescent="0.4">
      <c r="A541" s="81" t="s">
        <v>797</v>
      </c>
      <c r="B541" s="171" t="s">
        <v>117</v>
      </c>
      <c r="C541" s="169">
        <v>587.55999999999995</v>
      </c>
      <c r="D541" s="142">
        <v>128.75</v>
      </c>
      <c r="E541" s="6">
        <f t="shared" si="106"/>
        <v>75648.349999999991</v>
      </c>
      <c r="F541" s="60">
        <f t="shared" si="104"/>
        <v>5295.3845000000001</v>
      </c>
      <c r="G541" s="60">
        <f t="shared" si="105"/>
        <v>80943.734499999991</v>
      </c>
      <c r="H541" s="273" t="s">
        <v>392</v>
      </c>
      <c r="I541">
        <v>6905297</v>
      </c>
    </row>
    <row r="542" spans="1:9" ht="18" customHeight="1" x14ac:dyDescent="0.4">
      <c r="A542" s="81" t="s">
        <v>786</v>
      </c>
      <c r="B542" s="171" t="s">
        <v>196</v>
      </c>
      <c r="C542" s="169">
        <v>590.46</v>
      </c>
      <c r="D542" s="142">
        <v>128.75</v>
      </c>
      <c r="E542" s="6">
        <f t="shared" si="106"/>
        <v>76021.725000000006</v>
      </c>
      <c r="F542" s="60">
        <f t="shared" si="104"/>
        <v>5321.5207500000006</v>
      </c>
      <c r="G542" s="60">
        <f t="shared" si="105"/>
        <v>81343.245750000002</v>
      </c>
      <c r="H542" s="273" t="s">
        <v>392</v>
      </c>
      <c r="I542">
        <v>6905006</v>
      </c>
    </row>
    <row r="543" spans="1:9" ht="18" customHeight="1" x14ac:dyDescent="0.4">
      <c r="A543" s="81" t="s">
        <v>806</v>
      </c>
      <c r="B543" s="171" t="s">
        <v>133</v>
      </c>
      <c r="C543" s="169">
        <v>586.41</v>
      </c>
      <c r="D543" s="142">
        <v>128.75</v>
      </c>
      <c r="E543" s="6">
        <f t="shared" si="106"/>
        <v>75500.287499999991</v>
      </c>
      <c r="F543" s="60">
        <f t="shared" si="104"/>
        <v>5285.020125</v>
      </c>
      <c r="G543" s="60">
        <f t="shared" si="105"/>
        <v>80785.307624999987</v>
      </c>
      <c r="H543" s="273" t="s">
        <v>392</v>
      </c>
      <c r="I543">
        <v>6905224</v>
      </c>
    </row>
    <row r="544" spans="1:9" ht="18" customHeight="1" x14ac:dyDescent="0.4">
      <c r="A544" s="81" t="s">
        <v>786</v>
      </c>
      <c r="B544" s="171" t="s">
        <v>118</v>
      </c>
      <c r="C544" s="169">
        <v>589.30999999999995</v>
      </c>
      <c r="D544" s="142">
        <v>128.75</v>
      </c>
      <c r="E544" s="6">
        <f t="shared" si="106"/>
        <v>75873.662499999991</v>
      </c>
      <c r="F544" s="60">
        <f t="shared" si="104"/>
        <v>5311.1563749999996</v>
      </c>
      <c r="G544" s="60">
        <f t="shared" si="105"/>
        <v>81184.818874999997</v>
      </c>
      <c r="H544" s="273" t="s">
        <v>392</v>
      </c>
      <c r="I544">
        <v>6904007</v>
      </c>
    </row>
    <row r="545" spans="1:9" ht="18" customHeight="1" x14ac:dyDescent="0.4">
      <c r="A545" s="81" t="s">
        <v>786</v>
      </c>
      <c r="B545" s="171" t="s">
        <v>118</v>
      </c>
      <c r="C545" s="169">
        <v>611.54999999999995</v>
      </c>
      <c r="D545" s="142">
        <v>128.75</v>
      </c>
      <c r="E545" s="6">
        <f t="shared" si="106"/>
        <v>78737.0625</v>
      </c>
      <c r="F545" s="60">
        <f t="shared" si="104"/>
        <v>5511.5943750000006</v>
      </c>
      <c r="G545" s="60">
        <f t="shared" si="105"/>
        <v>84248.656875000001</v>
      </c>
      <c r="H545" s="273" t="s">
        <v>392</v>
      </c>
      <c r="I545">
        <v>6905007</v>
      </c>
    </row>
    <row r="546" spans="1:9" ht="18" customHeight="1" x14ac:dyDescent="0.4">
      <c r="A546" s="81" t="s">
        <v>789</v>
      </c>
      <c r="B546" s="171" t="s">
        <v>118</v>
      </c>
      <c r="C546" s="169">
        <v>587.26</v>
      </c>
      <c r="D546" s="142">
        <v>128.75</v>
      </c>
      <c r="E546" s="6">
        <f t="shared" si="106"/>
        <v>75609.725000000006</v>
      </c>
      <c r="F546" s="60">
        <f t="shared" si="104"/>
        <v>5292.6807500000014</v>
      </c>
      <c r="G546" s="60">
        <f t="shared" si="105"/>
        <v>80902.405750000005</v>
      </c>
      <c r="H546" s="273" t="s">
        <v>392</v>
      </c>
      <c r="I546">
        <v>6905091</v>
      </c>
    </row>
    <row r="547" spans="1:9" ht="18" customHeight="1" x14ac:dyDescent="0.4">
      <c r="A547" s="81" t="s">
        <v>789</v>
      </c>
      <c r="B547" s="171" t="s">
        <v>118</v>
      </c>
      <c r="C547" s="169">
        <v>584.91</v>
      </c>
      <c r="D547" s="142">
        <v>128.75</v>
      </c>
      <c r="E547" s="6">
        <f t="shared" si="106"/>
        <v>75307.162499999991</v>
      </c>
      <c r="F547" s="60">
        <f t="shared" si="104"/>
        <v>5271.5013749999998</v>
      </c>
      <c r="G547" s="60">
        <f t="shared" si="105"/>
        <v>80578.663874999998</v>
      </c>
      <c r="H547" s="273" t="s">
        <v>392</v>
      </c>
      <c r="I547">
        <v>6905091</v>
      </c>
    </row>
    <row r="548" spans="1:9" ht="18" customHeight="1" x14ac:dyDescent="0.4">
      <c r="A548" s="81" t="s">
        <v>797</v>
      </c>
      <c r="B548" s="171" t="s">
        <v>118</v>
      </c>
      <c r="C548" s="169">
        <v>580.51</v>
      </c>
      <c r="D548" s="142">
        <v>128.75</v>
      </c>
      <c r="E548" s="6">
        <f t="shared" si="106"/>
        <v>74740.662500000006</v>
      </c>
      <c r="F548" s="60">
        <f t="shared" si="104"/>
        <v>5231.846375000001</v>
      </c>
      <c r="G548" s="60">
        <f t="shared" si="105"/>
        <v>79972.508875</v>
      </c>
      <c r="H548" s="273" t="s">
        <v>392</v>
      </c>
      <c r="I548">
        <v>6905299</v>
      </c>
    </row>
    <row r="549" spans="1:9" ht="18" customHeight="1" x14ac:dyDescent="0.4">
      <c r="A549" s="81" t="s">
        <v>797</v>
      </c>
      <c r="B549" s="171" t="s">
        <v>118</v>
      </c>
      <c r="C549" s="169">
        <v>607.04999999999995</v>
      </c>
      <c r="D549" s="142">
        <v>128.75</v>
      </c>
      <c r="E549" s="6">
        <f t="shared" si="106"/>
        <v>78157.6875</v>
      </c>
      <c r="F549" s="60">
        <f t="shared" si="104"/>
        <v>5471.0381250000009</v>
      </c>
      <c r="G549" s="60">
        <f t="shared" si="105"/>
        <v>83628.725625000006</v>
      </c>
      <c r="H549" s="273" t="s">
        <v>392</v>
      </c>
      <c r="I549">
        <v>6905298</v>
      </c>
    </row>
    <row r="550" spans="1:9" ht="18" customHeight="1" x14ac:dyDescent="0.4">
      <c r="A550" s="81" t="s">
        <v>797</v>
      </c>
      <c r="B550" s="171" t="s">
        <v>118</v>
      </c>
      <c r="C550" s="169">
        <v>608.95000000000005</v>
      </c>
      <c r="D550" s="142">
        <v>128.75</v>
      </c>
      <c r="E550" s="6">
        <f t="shared" si="106"/>
        <v>78402.3125</v>
      </c>
      <c r="F550" s="60">
        <f t="shared" si="104"/>
        <v>5488.1618750000007</v>
      </c>
      <c r="G550" s="60">
        <f t="shared" si="105"/>
        <v>83890.474375000005</v>
      </c>
      <c r="H550" s="273" t="s">
        <v>392</v>
      </c>
      <c r="I550">
        <v>6905298</v>
      </c>
    </row>
    <row r="551" spans="1:9" ht="18" customHeight="1" thickBot="1" x14ac:dyDescent="0.35">
      <c r="A551" s="84"/>
      <c r="B551" s="17" t="s">
        <v>15</v>
      </c>
      <c r="C551" s="18">
        <f>SUM(C530:C550)</f>
        <v>12471.69</v>
      </c>
      <c r="D551" s="19"/>
      <c r="E551" s="20">
        <f>SUM(E530:E550)</f>
        <v>1605730.0875000004</v>
      </c>
      <c r="F551" s="62">
        <f>SUM(F530:F550)</f>
        <v>112401.10612500002</v>
      </c>
      <c r="G551" s="62">
        <f>SUM(G530:G550)</f>
        <v>1718131.1936250001</v>
      </c>
    </row>
    <row r="552" spans="1:9" ht="18" customHeight="1" thickTop="1" x14ac:dyDescent="0.3">
      <c r="A552" s="85"/>
      <c r="B552" s="68"/>
      <c r="C552" s="69"/>
      <c r="D552" s="70"/>
      <c r="E552" s="187"/>
      <c r="F552" s="71"/>
      <c r="G552" s="71"/>
    </row>
    <row r="553" spans="1:9" ht="23.25" x14ac:dyDescent="0.3">
      <c r="A553" s="359" t="s">
        <v>119</v>
      </c>
      <c r="B553" s="359"/>
      <c r="C553" s="359"/>
      <c r="D553" s="359"/>
      <c r="E553" s="359"/>
      <c r="F553" s="359"/>
      <c r="G553" s="359"/>
    </row>
    <row r="554" spans="1:9" ht="18" customHeight="1" x14ac:dyDescent="0.3">
      <c r="A554" s="1" t="s">
        <v>2</v>
      </c>
      <c r="B554" s="2" t="s">
        <v>3</v>
      </c>
      <c r="C554" s="2" t="s">
        <v>108</v>
      </c>
      <c r="D554" s="3" t="s">
        <v>5</v>
      </c>
      <c r="E554" s="2" t="s">
        <v>6</v>
      </c>
      <c r="F554" s="2" t="s">
        <v>7</v>
      </c>
      <c r="G554" s="2" t="s">
        <v>8</v>
      </c>
    </row>
    <row r="555" spans="1:9" ht="18" customHeight="1" x14ac:dyDescent="0.4">
      <c r="A555" s="81" t="s">
        <v>803</v>
      </c>
      <c r="B555" s="171" t="s">
        <v>135</v>
      </c>
      <c r="C555" s="169">
        <v>4605.45</v>
      </c>
      <c r="D555" s="142">
        <v>64</v>
      </c>
      <c r="E555" s="60">
        <f>+C555*D555</f>
        <v>294748.79999999999</v>
      </c>
      <c r="F555" s="60">
        <f>+E555*7%</f>
        <v>20632.416000000001</v>
      </c>
      <c r="G555" s="60">
        <f>+E555+F555</f>
        <v>315381.21600000001</v>
      </c>
      <c r="I555">
        <v>6905040</v>
      </c>
    </row>
    <row r="556" spans="1:9" ht="18" customHeight="1" x14ac:dyDescent="0.4">
      <c r="A556" s="81" t="s">
        <v>785</v>
      </c>
      <c r="B556" s="171" t="s">
        <v>135</v>
      </c>
      <c r="C556" s="169">
        <v>2001.35</v>
      </c>
      <c r="D556" s="142">
        <v>81</v>
      </c>
      <c r="E556" s="60">
        <f>+C556*D556</f>
        <v>162109.35</v>
      </c>
      <c r="F556" s="60">
        <f>+E556*7%</f>
        <v>11347.654500000002</v>
      </c>
      <c r="G556" s="60">
        <f>+E556+F556</f>
        <v>173457.00450000001</v>
      </c>
      <c r="I556">
        <v>6905150</v>
      </c>
    </row>
    <row r="557" spans="1:9" ht="18" customHeight="1" x14ac:dyDescent="0.4">
      <c r="A557" s="81" t="s">
        <v>805</v>
      </c>
      <c r="B557" s="171" t="s">
        <v>135</v>
      </c>
      <c r="C557" s="169">
        <v>3006.25</v>
      </c>
      <c r="D557" s="142">
        <v>81</v>
      </c>
      <c r="E557" s="60">
        <f>+C557*D557</f>
        <v>243506.25</v>
      </c>
      <c r="F557" s="60">
        <f>+E557*7%</f>
        <v>17045.4375</v>
      </c>
      <c r="G557" s="60">
        <f>+E557+F557</f>
        <v>260551.6875</v>
      </c>
      <c r="I557">
        <v>6905181</v>
      </c>
    </row>
    <row r="558" spans="1:9" ht="18" customHeight="1" x14ac:dyDescent="0.4">
      <c r="A558" s="81" t="s">
        <v>794</v>
      </c>
      <c r="B558" s="171" t="s">
        <v>135</v>
      </c>
      <c r="C558" s="169">
        <v>4797.45</v>
      </c>
      <c r="D558" s="142">
        <v>81</v>
      </c>
      <c r="E558" s="60">
        <f>+C558*D558</f>
        <v>388593.45</v>
      </c>
      <c r="F558" s="60">
        <f>+E558*7%</f>
        <v>27201.541500000003</v>
      </c>
      <c r="G558" s="60">
        <f>+E558+F558</f>
        <v>415794.9915</v>
      </c>
      <c r="I558">
        <v>6905230</v>
      </c>
    </row>
    <row r="559" spans="1:9" ht="18" customHeight="1" x14ac:dyDescent="0.4">
      <c r="A559" s="81" t="s">
        <v>812</v>
      </c>
      <c r="B559" s="171" t="s">
        <v>135</v>
      </c>
      <c r="C559" s="169">
        <v>3902.55</v>
      </c>
      <c r="D559" s="142">
        <v>81</v>
      </c>
      <c r="E559" s="60">
        <f>+C559*D559</f>
        <v>316106.55</v>
      </c>
      <c r="F559" s="60">
        <f>+E559*7%</f>
        <v>22127.458500000001</v>
      </c>
      <c r="G559" s="60">
        <f>+E559+F559</f>
        <v>338234.0085</v>
      </c>
      <c r="I559">
        <v>6905343</v>
      </c>
    </row>
    <row r="560" spans="1:9" ht="18" customHeight="1" thickBot="1" x14ac:dyDescent="0.35">
      <c r="A560" s="84"/>
      <c r="B560" s="17" t="s">
        <v>15</v>
      </c>
      <c r="C560" s="18">
        <f>SUM(C555:C559)</f>
        <v>18313.05</v>
      </c>
      <c r="D560" s="19"/>
      <c r="E560" s="62">
        <f>SUM(E555:E559)</f>
        <v>1405064.4000000001</v>
      </c>
      <c r="F560" s="62">
        <f t="shared" ref="F560:G560" si="107">SUM(F555:F559)</f>
        <v>98354.508000000002</v>
      </c>
      <c r="G560" s="62">
        <f t="shared" si="107"/>
        <v>1503418.9080000001</v>
      </c>
    </row>
    <row r="561" spans="1:9" ht="18" customHeight="1" thickTop="1" x14ac:dyDescent="0.3">
      <c r="A561" s="85"/>
      <c r="B561" s="68"/>
      <c r="C561" s="69"/>
      <c r="D561" s="70"/>
      <c r="E561" s="71"/>
      <c r="F561" s="71"/>
      <c r="G561" s="71"/>
    </row>
    <row r="562" spans="1:9" ht="23.25" x14ac:dyDescent="0.3">
      <c r="A562" s="359" t="s">
        <v>120</v>
      </c>
      <c r="B562" s="359"/>
      <c r="C562" s="359"/>
      <c r="D562" s="359"/>
      <c r="E562" s="359"/>
      <c r="F562" s="359"/>
      <c r="G562" s="359"/>
    </row>
    <row r="563" spans="1:9" ht="18" customHeight="1" x14ac:dyDescent="0.3">
      <c r="A563" s="1" t="s">
        <v>2</v>
      </c>
      <c r="B563" s="2" t="s">
        <v>3</v>
      </c>
      <c r="C563" s="2" t="s">
        <v>4</v>
      </c>
      <c r="D563" s="3" t="s">
        <v>5</v>
      </c>
      <c r="E563" s="2" t="s">
        <v>6</v>
      </c>
      <c r="F563" s="2" t="s">
        <v>7</v>
      </c>
      <c r="G563" s="2" t="s">
        <v>8</v>
      </c>
    </row>
    <row r="564" spans="1:9" ht="18" customHeight="1" x14ac:dyDescent="0.4">
      <c r="A564" s="81" t="s">
        <v>789</v>
      </c>
      <c r="B564" s="171" t="s">
        <v>121</v>
      </c>
      <c r="C564" s="169">
        <v>1041.95</v>
      </c>
      <c r="D564" s="142">
        <v>110</v>
      </c>
      <c r="E564" s="60">
        <f>+C564*D564</f>
        <v>114614.5</v>
      </c>
      <c r="F564" s="60">
        <f>+E564*7%</f>
        <v>8023.0150000000003</v>
      </c>
      <c r="G564" s="60">
        <f>+E564+F564</f>
        <v>122637.515</v>
      </c>
      <c r="I564">
        <v>6905092</v>
      </c>
    </row>
    <row r="565" spans="1:9" ht="18" customHeight="1" x14ac:dyDescent="0.4">
      <c r="A565" s="81" t="s">
        <v>807</v>
      </c>
      <c r="B565" s="171" t="s">
        <v>121</v>
      </c>
      <c r="C565" s="169">
        <v>1039.45</v>
      </c>
      <c r="D565" s="142">
        <v>110</v>
      </c>
      <c r="E565" s="60">
        <f>+C565*D565</f>
        <v>114339.5</v>
      </c>
      <c r="F565" s="60">
        <f>+E565*7%</f>
        <v>8003.7650000000003</v>
      </c>
      <c r="G565" s="60">
        <f>+E565+F565</f>
        <v>122343.265</v>
      </c>
      <c r="I565">
        <v>6905258</v>
      </c>
    </row>
    <row r="566" spans="1:9" ht="18" customHeight="1" thickBot="1" x14ac:dyDescent="0.35">
      <c r="A566" s="84"/>
      <c r="B566" s="17" t="s">
        <v>15</v>
      </c>
      <c r="C566" s="18">
        <f>SUM(C564:C565)</f>
        <v>2081.4</v>
      </c>
      <c r="D566" s="19"/>
      <c r="E566" s="62">
        <f>SUM(E564:E565)</f>
        <v>228954</v>
      </c>
      <c r="F566" s="62">
        <f t="shared" ref="F566:G566" si="108">SUM(F564:F565)</f>
        <v>16026.78</v>
      </c>
      <c r="G566" s="62">
        <f t="shared" si="108"/>
        <v>244980.78</v>
      </c>
    </row>
    <row r="567" spans="1:9" ht="18" customHeight="1" thickTop="1" x14ac:dyDescent="0.3">
      <c r="A567" s="85"/>
      <c r="B567" s="68"/>
      <c r="C567" s="69"/>
      <c r="D567" s="70"/>
      <c r="E567" s="71"/>
      <c r="F567" s="71"/>
      <c r="G567" s="71"/>
    </row>
    <row r="568" spans="1:9" ht="23.25" x14ac:dyDescent="0.3">
      <c r="A568" s="359" t="s">
        <v>524</v>
      </c>
      <c r="B568" s="359"/>
      <c r="C568" s="359"/>
      <c r="D568" s="359"/>
      <c r="E568" s="359"/>
      <c r="F568" s="359"/>
      <c r="G568" s="359"/>
    </row>
    <row r="569" spans="1:9" ht="18" customHeight="1" x14ac:dyDescent="0.3">
      <c r="A569" s="1" t="s">
        <v>2</v>
      </c>
      <c r="B569" s="2" t="s">
        <v>3</v>
      </c>
      <c r="C569" s="2" t="s">
        <v>76</v>
      </c>
      <c r="D569" s="3" t="s">
        <v>5</v>
      </c>
      <c r="E569" s="2" t="s">
        <v>6</v>
      </c>
      <c r="F569" s="2" t="s">
        <v>7</v>
      </c>
      <c r="G569" s="2" t="s">
        <v>8</v>
      </c>
    </row>
    <row r="570" spans="1:9" ht="18" customHeight="1" x14ac:dyDescent="0.4">
      <c r="A570" s="81" t="s">
        <v>801</v>
      </c>
      <c r="B570" s="171" t="s">
        <v>783</v>
      </c>
      <c r="C570" s="169">
        <v>50</v>
      </c>
      <c r="D570" s="142">
        <v>4500</v>
      </c>
      <c r="E570" s="60">
        <f>+C570*D570</f>
        <v>225000</v>
      </c>
      <c r="F570" s="60">
        <f>+E570*7%</f>
        <v>15750.000000000002</v>
      </c>
      <c r="G570" s="60">
        <f>+E570+F570</f>
        <v>240750</v>
      </c>
      <c r="I570">
        <v>6905217</v>
      </c>
    </row>
    <row r="571" spans="1:9" ht="18" customHeight="1" x14ac:dyDescent="0.4">
      <c r="A571" s="81" t="s">
        <v>800</v>
      </c>
      <c r="B571" s="171" t="s">
        <v>783</v>
      </c>
      <c r="C571" s="169">
        <v>50</v>
      </c>
      <c r="D571" s="142">
        <v>4500</v>
      </c>
      <c r="E571" s="60">
        <f>+C571*D571</f>
        <v>225000</v>
      </c>
      <c r="F571" s="60">
        <f>+E571*7%</f>
        <v>15750.000000000002</v>
      </c>
      <c r="G571" s="60">
        <f>+E571+F571</f>
        <v>240750</v>
      </c>
      <c r="I571">
        <v>6905022</v>
      </c>
    </row>
    <row r="572" spans="1:9" ht="18" customHeight="1" thickBot="1" x14ac:dyDescent="0.35">
      <c r="A572" s="84"/>
      <c r="B572" s="17" t="s">
        <v>15</v>
      </c>
      <c r="C572" s="18">
        <f>SUM(C570:C571)</f>
        <v>100</v>
      </c>
      <c r="D572" s="19"/>
      <c r="E572" s="62">
        <f>SUM(E570:E571)</f>
        <v>450000</v>
      </c>
      <c r="F572" s="62">
        <f>SUM(F570:F571)</f>
        <v>31500.000000000004</v>
      </c>
      <c r="G572" s="62">
        <f>SUM(G570:G571)</f>
        <v>481500</v>
      </c>
    </row>
    <row r="573" spans="1:9" ht="18" customHeight="1" thickTop="1" x14ac:dyDescent="0.3">
      <c r="A573" s="85"/>
      <c r="B573" s="68"/>
      <c r="C573" s="69"/>
      <c r="D573" s="70"/>
      <c r="E573" s="71"/>
      <c r="F573" s="71"/>
      <c r="G573" s="71"/>
    </row>
    <row r="574" spans="1:9" ht="23.25" x14ac:dyDescent="0.3">
      <c r="A574" s="359" t="s">
        <v>524</v>
      </c>
      <c r="B574" s="359"/>
      <c r="C574" s="359"/>
      <c r="D574" s="371"/>
      <c r="E574" s="371"/>
      <c r="F574" s="371"/>
      <c r="G574" s="371"/>
    </row>
    <row r="575" spans="1:9" ht="18" customHeight="1" x14ac:dyDescent="0.3">
      <c r="A575" s="1" t="s">
        <v>2</v>
      </c>
      <c r="B575" s="2" t="s">
        <v>3</v>
      </c>
      <c r="C575" s="17" t="s">
        <v>4</v>
      </c>
      <c r="D575" s="119"/>
      <c r="E575" s="68"/>
      <c r="F575" s="68"/>
      <c r="G575" s="68"/>
    </row>
    <row r="576" spans="1:9" ht="18" customHeight="1" x14ac:dyDescent="0.4">
      <c r="A576" s="81" t="s">
        <v>801</v>
      </c>
      <c r="B576" s="171" t="s">
        <v>783</v>
      </c>
      <c r="C576" s="169">
        <v>2506.25</v>
      </c>
      <c r="D576" s="339"/>
      <c r="E576" s="120"/>
      <c r="F576" s="120"/>
      <c r="G576" s="120"/>
      <c r="I576">
        <v>6905217</v>
      </c>
    </row>
    <row r="577" spans="1:9" ht="18" customHeight="1" x14ac:dyDescent="0.4">
      <c r="A577" s="81" t="s">
        <v>800</v>
      </c>
      <c r="B577" s="171" t="s">
        <v>783</v>
      </c>
      <c r="C577" s="169">
        <v>2464.85</v>
      </c>
      <c r="D577" s="339"/>
      <c r="E577" s="120"/>
      <c r="F577" s="120"/>
      <c r="G577" s="120"/>
      <c r="I577">
        <v>6905022</v>
      </c>
    </row>
    <row r="578" spans="1:9" ht="18" customHeight="1" thickBot="1" x14ac:dyDescent="0.35">
      <c r="A578" s="84"/>
      <c r="B578" s="17" t="s">
        <v>15</v>
      </c>
      <c r="C578" s="18">
        <f>SUM(C576:C577)</f>
        <v>4971.1000000000004</v>
      </c>
      <c r="D578" s="70"/>
      <c r="E578" s="71"/>
      <c r="F578" s="71"/>
      <c r="G578" s="71"/>
    </row>
    <row r="579" spans="1:9" ht="18" customHeight="1" thickTop="1" x14ac:dyDescent="0.3">
      <c r="A579" s="85"/>
      <c r="B579" s="68"/>
      <c r="C579" s="69"/>
      <c r="D579" s="70"/>
      <c r="E579" s="71"/>
      <c r="F579" s="71"/>
      <c r="G579" s="71"/>
    </row>
    <row r="580" spans="1:9" ht="23.25" x14ac:dyDescent="0.3">
      <c r="A580" s="359" t="s">
        <v>530</v>
      </c>
      <c r="B580" s="359"/>
      <c r="C580" s="359"/>
      <c r="D580" s="359"/>
      <c r="E580" s="359"/>
      <c r="F580" s="359"/>
      <c r="G580" s="359"/>
    </row>
    <row r="581" spans="1:9" ht="18" customHeight="1" x14ac:dyDescent="0.3">
      <c r="A581" s="1" t="s">
        <v>2</v>
      </c>
      <c r="B581" s="2" t="s">
        <v>3</v>
      </c>
      <c r="C581" s="2" t="s">
        <v>92</v>
      </c>
      <c r="D581" s="3" t="s">
        <v>5</v>
      </c>
      <c r="E581" s="2" t="s">
        <v>6</v>
      </c>
      <c r="F581" s="2" t="s">
        <v>7</v>
      </c>
      <c r="G581" s="2" t="s">
        <v>8</v>
      </c>
    </row>
    <row r="582" spans="1:9" ht="18" customHeight="1" x14ac:dyDescent="0.4">
      <c r="A582" s="81" t="s">
        <v>801</v>
      </c>
      <c r="B582" s="171" t="s">
        <v>531</v>
      </c>
      <c r="C582" s="169">
        <v>800</v>
      </c>
      <c r="D582" s="142">
        <v>40</v>
      </c>
      <c r="E582" s="60">
        <f>+C582*D582</f>
        <v>32000</v>
      </c>
      <c r="F582" s="60">
        <f>+E582*7%</f>
        <v>2240</v>
      </c>
      <c r="G582" s="60">
        <f>+E582+F582</f>
        <v>34240</v>
      </c>
      <c r="I582">
        <v>6905215</v>
      </c>
    </row>
    <row r="583" spans="1:9" ht="18" customHeight="1" thickBot="1" x14ac:dyDescent="0.35">
      <c r="A583" s="84"/>
      <c r="B583" s="17" t="s">
        <v>15</v>
      </c>
      <c r="C583" s="18">
        <f>SUM(C582:C582)</f>
        <v>800</v>
      </c>
      <c r="D583" s="19"/>
      <c r="E583" s="62">
        <f>SUM(E582:E582)</f>
        <v>32000</v>
      </c>
      <c r="F583" s="62">
        <f t="shared" ref="F583:G583" si="109">SUM(F582:F582)</f>
        <v>2240</v>
      </c>
      <c r="G583" s="62">
        <f t="shared" si="109"/>
        <v>34240</v>
      </c>
    </row>
    <row r="584" spans="1:9" ht="18" customHeight="1" thickTop="1" x14ac:dyDescent="0.3">
      <c r="A584" s="85"/>
      <c r="B584" s="68"/>
      <c r="C584" s="69"/>
      <c r="D584" s="70"/>
      <c r="E584" s="71"/>
      <c r="F584" s="71"/>
      <c r="G584" s="71"/>
    </row>
    <row r="585" spans="1:9" ht="18" customHeight="1" thickBot="1" x14ac:dyDescent="0.35">
      <c r="A585" s="85"/>
      <c r="B585" s="147" t="s">
        <v>563</v>
      </c>
      <c r="C585" s="203">
        <f>C583</f>
        <v>800</v>
      </c>
      <c r="D585" s="88">
        <v>0.4</v>
      </c>
      <c r="E585" s="322">
        <f>C585*D585</f>
        <v>320</v>
      </c>
      <c r="F585" s="187"/>
      <c r="G585" s="187"/>
    </row>
    <row r="586" spans="1:9" ht="18" customHeight="1" thickTop="1" x14ac:dyDescent="0.3">
      <c r="A586" s="85"/>
      <c r="B586" s="68"/>
      <c r="C586" s="69"/>
      <c r="D586" s="88"/>
      <c r="E586" s="187"/>
      <c r="F586" s="187"/>
      <c r="G586" s="187"/>
    </row>
    <row r="587" spans="1:9" ht="23.25" x14ac:dyDescent="0.3">
      <c r="A587" s="359" t="s">
        <v>131</v>
      </c>
      <c r="B587" s="359"/>
      <c r="C587" s="359"/>
      <c r="D587" s="359"/>
      <c r="E587" s="359"/>
      <c r="F587" s="359"/>
      <c r="G587" s="359"/>
    </row>
    <row r="588" spans="1:9" ht="18" customHeight="1" x14ac:dyDescent="0.3">
      <c r="A588" s="1" t="s">
        <v>2</v>
      </c>
      <c r="B588" s="2" t="s">
        <v>3</v>
      </c>
      <c r="C588" s="2" t="s">
        <v>4</v>
      </c>
      <c r="D588" s="3" t="s">
        <v>5</v>
      </c>
      <c r="E588" s="2" t="s">
        <v>6</v>
      </c>
      <c r="F588" s="2" t="s">
        <v>7</v>
      </c>
      <c r="G588" s="2" t="s">
        <v>8</v>
      </c>
    </row>
    <row r="589" spans="1:9" ht="18" customHeight="1" x14ac:dyDescent="0.4">
      <c r="A589" s="81" t="s">
        <v>807</v>
      </c>
      <c r="B589" s="171" t="s">
        <v>536</v>
      </c>
      <c r="C589" s="169">
        <v>967.4</v>
      </c>
      <c r="D589" s="142">
        <v>81</v>
      </c>
      <c r="E589" s="60">
        <f>+C589*D589</f>
        <v>78359.399999999994</v>
      </c>
      <c r="F589" s="60">
        <f>+E589*7%</f>
        <v>5485.1580000000004</v>
      </c>
      <c r="G589" s="60">
        <f>+E589+F589</f>
        <v>83844.55799999999</v>
      </c>
      <c r="I589">
        <v>6905264</v>
      </c>
    </row>
    <row r="590" spans="1:9" ht="18" customHeight="1" x14ac:dyDescent="0.4">
      <c r="A590" s="81" t="s">
        <v>807</v>
      </c>
      <c r="B590" s="171" t="s">
        <v>132</v>
      </c>
      <c r="C590" s="168">
        <v>1960.55</v>
      </c>
      <c r="D590" s="83">
        <v>81</v>
      </c>
      <c r="E590" s="60">
        <f>+C590*D590</f>
        <v>158804.54999999999</v>
      </c>
      <c r="F590" s="60">
        <f>+E590*7%</f>
        <v>11116.318499999999</v>
      </c>
      <c r="G590" s="60">
        <f>+E590+F590</f>
        <v>169920.86849999998</v>
      </c>
      <c r="I590">
        <v>6905264</v>
      </c>
    </row>
    <row r="591" spans="1:9" ht="18" customHeight="1" thickBot="1" x14ac:dyDescent="0.35">
      <c r="A591" s="84"/>
      <c r="B591" s="17" t="s">
        <v>15</v>
      </c>
      <c r="C591" s="18">
        <f>SUM(C589:C590)</f>
        <v>2927.95</v>
      </c>
      <c r="D591" s="19"/>
      <c r="E591" s="62">
        <f>SUM(E589:E590)</f>
        <v>237163.94999999998</v>
      </c>
      <c r="F591" s="62">
        <f t="shared" ref="F591:G591" si="110">SUM(F589:F590)</f>
        <v>16601.476500000001</v>
      </c>
      <c r="G591" s="62">
        <f t="shared" si="110"/>
        <v>253765.42649999997</v>
      </c>
    </row>
    <row r="592" spans="1:9" ht="18" customHeight="1" thickTop="1" x14ac:dyDescent="0.3">
      <c r="A592" s="85"/>
      <c r="B592" s="68"/>
      <c r="C592" s="69"/>
      <c r="D592" s="70"/>
      <c r="E592" s="71"/>
      <c r="F592" s="71"/>
      <c r="G592" s="71"/>
    </row>
    <row r="593" spans="1:9" ht="23.25" x14ac:dyDescent="0.3">
      <c r="A593" s="359" t="s">
        <v>538</v>
      </c>
      <c r="B593" s="359"/>
      <c r="C593" s="359"/>
      <c r="D593" s="359"/>
      <c r="E593" s="359"/>
      <c r="F593" s="359"/>
      <c r="G593" s="359"/>
    </row>
    <row r="594" spans="1:9" ht="18" customHeight="1" x14ac:dyDescent="0.3">
      <c r="A594" s="1" t="s">
        <v>2</v>
      </c>
      <c r="B594" s="2" t="s">
        <v>3</v>
      </c>
      <c r="C594" s="2" t="s">
        <v>76</v>
      </c>
      <c r="D594" s="3" t="s">
        <v>5</v>
      </c>
      <c r="E594" s="2" t="s">
        <v>6</v>
      </c>
      <c r="F594" s="2" t="s">
        <v>7</v>
      </c>
      <c r="G594" s="2" t="s">
        <v>8</v>
      </c>
    </row>
    <row r="595" spans="1:9" ht="18" customHeight="1" x14ac:dyDescent="0.4">
      <c r="A595" s="81" t="s">
        <v>786</v>
      </c>
      <c r="B595" s="171" t="s">
        <v>539</v>
      </c>
      <c r="C595" s="169">
        <v>20</v>
      </c>
      <c r="D595" s="142">
        <v>1950</v>
      </c>
      <c r="E595" s="60">
        <f>+C595*D595</f>
        <v>39000</v>
      </c>
      <c r="F595" s="60">
        <f>+E595*7%</f>
        <v>2730.0000000000005</v>
      </c>
      <c r="G595" s="60">
        <f>+E595+F595</f>
        <v>41730</v>
      </c>
      <c r="I595">
        <v>6905005</v>
      </c>
    </row>
    <row r="596" spans="1:9" ht="18" customHeight="1" thickBot="1" x14ac:dyDescent="0.35">
      <c r="A596" s="84"/>
      <c r="B596" s="17" t="s">
        <v>15</v>
      </c>
      <c r="C596" s="18">
        <f>SUM(C595:C595)</f>
        <v>20</v>
      </c>
      <c r="D596" s="19"/>
      <c r="E596" s="62">
        <f>SUM(E595:E595)</f>
        <v>39000</v>
      </c>
      <c r="F596" s="62">
        <f t="shared" ref="F596:G596" si="111">SUM(F595:F595)</f>
        <v>2730.0000000000005</v>
      </c>
      <c r="G596" s="62">
        <f t="shared" si="111"/>
        <v>41730</v>
      </c>
    </row>
    <row r="597" spans="1:9" ht="18" customHeight="1" thickTop="1" x14ac:dyDescent="0.3">
      <c r="A597" s="85"/>
      <c r="B597" s="68"/>
      <c r="C597" s="69"/>
      <c r="D597" s="70"/>
      <c r="E597" s="71"/>
      <c r="F597" s="71"/>
      <c r="G597" s="71"/>
    </row>
    <row r="598" spans="1:9" ht="18" customHeight="1" x14ac:dyDescent="0.3">
      <c r="A598" s="315" t="s">
        <v>2</v>
      </c>
      <c r="B598" s="17" t="s">
        <v>3</v>
      </c>
      <c r="C598" s="17" t="s">
        <v>4</v>
      </c>
    </row>
    <row r="599" spans="1:9" ht="18" customHeight="1" x14ac:dyDescent="0.4">
      <c r="A599" s="16" t="s">
        <v>786</v>
      </c>
      <c r="B599" s="345" t="s">
        <v>539</v>
      </c>
      <c r="C599" s="169">
        <v>492.65</v>
      </c>
      <c r="I599">
        <v>6905005</v>
      </c>
    </row>
    <row r="600" spans="1:9" ht="18" customHeight="1" thickBot="1" x14ac:dyDescent="0.35">
      <c r="A600" s="84"/>
      <c r="B600" s="17" t="s">
        <v>15</v>
      </c>
      <c r="C600" s="18">
        <f>SUM(C599:C599)</f>
        <v>492.65</v>
      </c>
    </row>
    <row r="601" spans="1:9" ht="18" customHeight="1" thickTop="1" x14ac:dyDescent="0.3">
      <c r="A601" s="85"/>
      <c r="B601" s="68"/>
      <c r="C601" s="69"/>
      <c r="D601" s="70"/>
      <c r="E601" s="71"/>
      <c r="F601" s="71"/>
      <c r="G601" s="71"/>
    </row>
    <row r="602" spans="1:9" ht="26.25" x14ac:dyDescent="0.3">
      <c r="A602" s="357" t="s">
        <v>547</v>
      </c>
      <c r="B602" s="357"/>
      <c r="C602" s="357"/>
      <c r="D602" s="357"/>
      <c r="E602" s="357"/>
      <c r="F602" s="357"/>
      <c r="G602" s="357"/>
    </row>
    <row r="603" spans="1:9" ht="18" customHeight="1" x14ac:dyDescent="0.3">
      <c r="A603" s="1" t="s">
        <v>2</v>
      </c>
      <c r="B603" s="2" t="s">
        <v>3</v>
      </c>
      <c r="C603" s="2" t="s">
        <v>4</v>
      </c>
      <c r="D603" s="3" t="s">
        <v>5</v>
      </c>
      <c r="E603" s="2" t="s">
        <v>6</v>
      </c>
      <c r="F603" s="2" t="s">
        <v>7</v>
      </c>
      <c r="G603" s="2" t="s">
        <v>8</v>
      </c>
    </row>
    <row r="604" spans="1:9" ht="18" customHeight="1" x14ac:dyDescent="0.4">
      <c r="A604" s="81" t="s">
        <v>787</v>
      </c>
      <c r="B604" s="171" t="s">
        <v>148</v>
      </c>
      <c r="C604" s="169">
        <v>324.5</v>
      </c>
      <c r="D604" s="142">
        <v>79.5</v>
      </c>
      <c r="E604" s="60">
        <f>+C604*D604</f>
        <v>25797.75</v>
      </c>
      <c r="F604" s="60">
        <f>+E604*7%</f>
        <v>1805.8425000000002</v>
      </c>
      <c r="G604" s="60">
        <f>+E604+F604</f>
        <v>27603.592499999999</v>
      </c>
      <c r="I604">
        <v>6905055</v>
      </c>
    </row>
    <row r="605" spans="1:9" ht="18" customHeight="1" thickBot="1" x14ac:dyDescent="0.35">
      <c r="A605" s="84"/>
      <c r="B605" s="17" t="s">
        <v>15</v>
      </c>
      <c r="C605" s="18">
        <f>SUM(C604:C604)</f>
        <v>324.5</v>
      </c>
      <c r="D605" s="19"/>
      <c r="E605" s="62">
        <f>SUM(E604:E604)</f>
        <v>25797.75</v>
      </c>
      <c r="F605" s="62">
        <f t="shared" ref="F605:G605" si="112">SUM(F604:F604)</f>
        <v>1805.8425000000002</v>
      </c>
      <c r="G605" s="62">
        <f t="shared" si="112"/>
        <v>27603.592499999999</v>
      </c>
    </row>
    <row r="606" spans="1:9" ht="18" customHeight="1" thickTop="1" x14ac:dyDescent="0.3">
      <c r="A606" s="69"/>
      <c r="B606" s="69"/>
      <c r="C606" s="69"/>
      <c r="D606" s="70"/>
      <c r="E606" s="71"/>
      <c r="F606" s="71"/>
      <c r="G606" s="71"/>
    </row>
    <row r="607" spans="1:9" ht="26.25" x14ac:dyDescent="0.3">
      <c r="A607" s="357" t="s">
        <v>150</v>
      </c>
      <c r="B607" s="357"/>
      <c r="C607" s="357"/>
      <c r="D607" s="357"/>
      <c r="E607" s="357"/>
      <c r="F607" s="357"/>
      <c r="G607" s="357"/>
    </row>
    <row r="608" spans="1:9" ht="18" customHeight="1" x14ac:dyDescent="0.3">
      <c r="A608" s="1" t="s">
        <v>2</v>
      </c>
      <c r="B608" s="2" t="s">
        <v>3</v>
      </c>
      <c r="C608" s="2" t="s">
        <v>4</v>
      </c>
      <c r="D608" s="3" t="s">
        <v>5</v>
      </c>
      <c r="E608" s="2" t="s">
        <v>6</v>
      </c>
      <c r="F608" s="2" t="s">
        <v>7</v>
      </c>
      <c r="G608" s="2" t="s">
        <v>8</v>
      </c>
    </row>
    <row r="609" spans="1:9" ht="18" customHeight="1" x14ac:dyDescent="0.4">
      <c r="A609" s="81" t="s">
        <v>804</v>
      </c>
      <c r="B609" s="171" t="s">
        <v>151</v>
      </c>
      <c r="C609" s="169">
        <v>940.6</v>
      </c>
      <c r="D609" s="142">
        <v>92</v>
      </c>
      <c r="E609" s="60">
        <f>+C609*D609</f>
        <v>86535.2</v>
      </c>
      <c r="F609" s="60">
        <f>+E609*7%</f>
        <v>6057.4639999999999</v>
      </c>
      <c r="G609" s="60">
        <f>+E609+F609</f>
        <v>92592.66399999999</v>
      </c>
      <c r="I609">
        <v>6905127</v>
      </c>
    </row>
    <row r="610" spans="1:9" ht="18" customHeight="1" thickBot="1" x14ac:dyDescent="0.35">
      <c r="A610" s="84"/>
      <c r="B610" s="17" t="s">
        <v>15</v>
      </c>
      <c r="C610" s="18">
        <f>SUM(C609:C609)</f>
        <v>940.6</v>
      </c>
      <c r="D610" s="19"/>
      <c r="E610" s="62">
        <f>SUM(E609:E609)</f>
        <v>86535.2</v>
      </c>
      <c r="F610" s="62">
        <f t="shared" ref="F610:G610" si="113">SUM(F609:F609)</f>
        <v>6057.4639999999999</v>
      </c>
      <c r="G610" s="62">
        <f t="shared" si="113"/>
        <v>92592.66399999999</v>
      </c>
    </row>
    <row r="611" spans="1:9" ht="18" customHeight="1" thickTop="1" x14ac:dyDescent="0.3">
      <c r="A611" s="69"/>
      <c r="B611" s="69"/>
      <c r="C611" s="69"/>
      <c r="D611" s="70"/>
      <c r="E611" s="71"/>
      <c r="F611" s="71"/>
      <c r="G611" s="71"/>
    </row>
    <row r="612" spans="1:9" ht="26.25" x14ac:dyDescent="0.3">
      <c r="A612" s="357" t="s">
        <v>831</v>
      </c>
      <c r="B612" s="357"/>
      <c r="C612" s="357"/>
      <c r="D612" s="357"/>
      <c r="E612" s="357"/>
      <c r="F612" s="357"/>
      <c r="G612" s="357"/>
    </row>
    <row r="613" spans="1:9" ht="18" customHeight="1" x14ac:dyDescent="0.3">
      <c r="A613" s="1" t="s">
        <v>2</v>
      </c>
      <c r="B613" s="2" t="s">
        <v>3</v>
      </c>
      <c r="C613" s="2" t="s">
        <v>76</v>
      </c>
      <c r="D613" s="3" t="s">
        <v>5</v>
      </c>
      <c r="E613" s="2" t="s">
        <v>6</v>
      </c>
      <c r="F613" s="2" t="s">
        <v>7</v>
      </c>
      <c r="G613" s="2" t="s">
        <v>8</v>
      </c>
    </row>
    <row r="614" spans="1:9" ht="18" customHeight="1" x14ac:dyDescent="0.4">
      <c r="A614" s="81" t="s">
        <v>787</v>
      </c>
      <c r="B614" s="171" t="s">
        <v>832</v>
      </c>
      <c r="C614" s="169">
        <v>6</v>
      </c>
      <c r="D614" s="142">
        <v>158</v>
      </c>
      <c r="E614" s="60">
        <f>+C614*D614</f>
        <v>948</v>
      </c>
      <c r="F614" s="60">
        <f>+E614*7%</f>
        <v>66.36</v>
      </c>
      <c r="G614" s="60">
        <f>+E614+F614</f>
        <v>1014.36</v>
      </c>
      <c r="I614">
        <v>6905054</v>
      </c>
    </row>
    <row r="615" spans="1:9" ht="18" customHeight="1" thickBot="1" x14ac:dyDescent="0.35">
      <c r="A615" s="84"/>
      <c r="B615" s="17" t="s">
        <v>15</v>
      </c>
      <c r="C615" s="18">
        <f>SUM(C614:C614)</f>
        <v>6</v>
      </c>
      <c r="D615" s="19"/>
      <c r="E615" s="62">
        <f>SUM(E614:E614)</f>
        <v>948</v>
      </c>
      <c r="F615" s="62">
        <f>SUM(F614:F614)</f>
        <v>66.36</v>
      </c>
      <c r="G615" s="62">
        <f>SUM(G614:G614)</f>
        <v>1014.36</v>
      </c>
    </row>
    <row r="616" spans="1:9" ht="18" customHeight="1" thickTop="1" x14ac:dyDescent="0.3">
      <c r="A616" s="69"/>
      <c r="B616" s="69"/>
      <c r="C616" s="69"/>
      <c r="D616" s="70"/>
      <c r="E616" s="71"/>
      <c r="F616" s="71"/>
      <c r="G616" s="71"/>
    </row>
    <row r="617" spans="1:9" s="30" customFormat="1" ht="12" customHeight="1" thickBot="1" x14ac:dyDescent="0.55000000000000004">
      <c r="A617" s="21"/>
      <c r="B617" s="147" t="s">
        <v>89</v>
      </c>
      <c r="C617" s="148">
        <f>+C615</f>
        <v>6</v>
      </c>
      <c r="D617" s="149">
        <v>2.0699999999999998</v>
      </c>
      <c r="E617" s="188">
        <f>+C617*D617</f>
        <v>12.419999999999998</v>
      </c>
      <c r="F617" s="23"/>
      <c r="G617" s="23"/>
    </row>
    <row r="618" spans="1:9" ht="18" customHeight="1" thickTop="1" x14ac:dyDescent="0.3">
      <c r="A618" s="69"/>
      <c r="B618" s="69"/>
      <c r="C618" s="69"/>
      <c r="D618" s="70"/>
      <c r="E618" s="71"/>
      <c r="F618" s="71"/>
      <c r="G618" s="71"/>
    </row>
    <row r="619" spans="1:9" ht="26.25" x14ac:dyDescent="0.3">
      <c r="A619" s="357" t="s">
        <v>160</v>
      </c>
      <c r="B619" s="357"/>
      <c r="C619" s="357"/>
      <c r="D619" s="357"/>
      <c r="E619" s="357"/>
      <c r="F619" s="357"/>
      <c r="G619" s="357"/>
    </row>
    <row r="620" spans="1:9" ht="18" customHeight="1" x14ac:dyDescent="0.3">
      <c r="A620" s="1" t="s">
        <v>2</v>
      </c>
      <c r="B620" s="2" t="s">
        <v>3</v>
      </c>
      <c r="C620" s="2" t="s">
        <v>86</v>
      </c>
      <c r="D620" s="3" t="s">
        <v>5</v>
      </c>
      <c r="E620" s="2" t="s">
        <v>6</v>
      </c>
      <c r="F620" s="2" t="s">
        <v>7</v>
      </c>
      <c r="G620" s="2" t="s">
        <v>8</v>
      </c>
    </row>
    <row r="621" spans="1:9" ht="18" customHeight="1" x14ac:dyDescent="0.4">
      <c r="A621" s="81" t="s">
        <v>785</v>
      </c>
      <c r="B621" s="171" t="s">
        <v>161</v>
      </c>
      <c r="C621" s="169">
        <v>500</v>
      </c>
      <c r="D621" s="142">
        <v>50.5</v>
      </c>
      <c r="E621" s="60">
        <f>+C621*D621</f>
        <v>25250</v>
      </c>
      <c r="F621" s="60">
        <f>+E621*7%</f>
        <v>1767.5000000000002</v>
      </c>
      <c r="G621" s="60">
        <f>+E621+F621</f>
        <v>27017.5</v>
      </c>
      <c r="I621">
        <v>6905153</v>
      </c>
    </row>
    <row r="622" spans="1:9" ht="18" customHeight="1" x14ac:dyDescent="0.4">
      <c r="A622" s="81" t="s">
        <v>791</v>
      </c>
      <c r="B622" s="171" t="s">
        <v>161</v>
      </c>
      <c r="C622" s="169">
        <v>500</v>
      </c>
      <c r="D622" s="142">
        <v>50.5</v>
      </c>
      <c r="E622" s="60">
        <f>+C622*D622</f>
        <v>25250</v>
      </c>
      <c r="F622" s="60">
        <f>+E622*7%</f>
        <v>1767.5000000000002</v>
      </c>
      <c r="G622" s="60">
        <f>+E622+F622</f>
        <v>27017.5</v>
      </c>
      <c r="I622">
        <v>6905167</v>
      </c>
    </row>
    <row r="623" spans="1:9" ht="18" customHeight="1" thickBot="1" x14ac:dyDescent="0.35">
      <c r="A623" s="84"/>
      <c r="B623" s="17" t="s">
        <v>15</v>
      </c>
      <c r="C623" s="18">
        <f>SUM(C621:C622)</f>
        <v>1000</v>
      </c>
      <c r="D623" s="19"/>
      <c r="E623" s="62">
        <f>SUM(E621:E622)</f>
        <v>50500</v>
      </c>
      <c r="F623" s="62">
        <f t="shared" ref="F623:G623" si="114">SUM(F621:F622)</f>
        <v>3535.0000000000005</v>
      </c>
      <c r="G623" s="62">
        <f t="shared" si="114"/>
        <v>54035</v>
      </c>
    </row>
    <row r="624" spans="1:9" ht="18" customHeight="1" thickTop="1" x14ac:dyDescent="0.3">
      <c r="A624" s="69"/>
      <c r="B624" s="69"/>
      <c r="C624" s="69"/>
      <c r="D624" s="70"/>
      <c r="E624" s="71"/>
      <c r="F624" s="71"/>
      <c r="G624" s="71"/>
    </row>
    <row r="625" spans="1:9" s="202" customFormat="1" ht="18" customHeight="1" thickBot="1" x14ac:dyDescent="0.45">
      <c r="A625" s="196"/>
      <c r="B625" s="22" t="s">
        <v>313</v>
      </c>
      <c r="C625" s="197">
        <v>0</v>
      </c>
      <c r="D625" s="198">
        <v>0.76</v>
      </c>
      <c r="E625" s="199">
        <f t="shared" ref="E625:E626" si="115">C625*D625</f>
        <v>0</v>
      </c>
      <c r="F625" s="200">
        <f>SUM(E625:E626)</f>
        <v>502.29999999999995</v>
      </c>
      <c r="G625" s="201"/>
    </row>
    <row r="626" spans="1:9" s="202" customFormat="1" ht="18" customHeight="1" thickTop="1" x14ac:dyDescent="0.4">
      <c r="A626" s="196"/>
      <c r="B626" s="22" t="s">
        <v>314</v>
      </c>
      <c r="C626" s="197">
        <f>C623</f>
        <v>1000</v>
      </c>
      <c r="D626" s="198">
        <v>0.50229999999999997</v>
      </c>
      <c r="E626" s="199">
        <f t="shared" si="115"/>
        <v>502.29999999999995</v>
      </c>
      <c r="F626" s="201"/>
      <c r="G626" s="201"/>
    </row>
    <row r="627" spans="1:9" s="30" customFormat="1" ht="12.75" customHeight="1" x14ac:dyDescent="0.5">
      <c r="A627" s="78"/>
      <c r="B627" s="22"/>
      <c r="C627" s="22"/>
      <c r="D627" s="198"/>
      <c r="E627" s="74"/>
      <c r="F627" s="22"/>
      <c r="G627" s="22"/>
    </row>
    <row r="628" spans="1:9" ht="26.25" x14ac:dyDescent="0.3">
      <c r="A628" s="357" t="s">
        <v>170</v>
      </c>
      <c r="B628" s="357"/>
      <c r="C628" s="357"/>
      <c r="D628" s="357"/>
      <c r="E628" s="357"/>
      <c r="F628" s="357"/>
      <c r="G628" s="357"/>
    </row>
    <row r="629" spans="1:9" ht="18" customHeight="1" x14ac:dyDescent="0.3">
      <c r="A629" s="1" t="s">
        <v>2</v>
      </c>
      <c r="B629" s="2" t="s">
        <v>3</v>
      </c>
      <c r="C629" s="2" t="s">
        <v>4</v>
      </c>
      <c r="D629" s="3" t="s">
        <v>5</v>
      </c>
      <c r="E629" s="2" t="s">
        <v>6</v>
      </c>
      <c r="F629" s="2" t="s">
        <v>7</v>
      </c>
      <c r="G629" s="2" t="s">
        <v>8</v>
      </c>
    </row>
    <row r="630" spans="1:9" ht="18" customHeight="1" x14ac:dyDescent="0.4">
      <c r="A630" s="81" t="s">
        <v>806</v>
      </c>
      <c r="B630" s="171" t="s">
        <v>172</v>
      </c>
      <c r="C630" s="169">
        <v>293.60000000000002</v>
      </c>
      <c r="D630" s="142">
        <v>87.5</v>
      </c>
      <c r="E630" s="60">
        <f>+C630*D630</f>
        <v>25690.000000000004</v>
      </c>
      <c r="F630" s="60">
        <f>+E630*7%</f>
        <v>1798.3000000000004</v>
      </c>
      <c r="G630" s="60">
        <f>+E630+F630</f>
        <v>27488.300000000003</v>
      </c>
      <c r="I630">
        <v>6905237</v>
      </c>
    </row>
    <row r="631" spans="1:9" ht="18" customHeight="1" x14ac:dyDescent="0.4">
      <c r="A631" s="81" t="s">
        <v>806</v>
      </c>
      <c r="B631" s="171" t="s">
        <v>171</v>
      </c>
      <c r="C631" s="169">
        <v>295.85000000000002</v>
      </c>
      <c r="D631" s="142">
        <v>87.5</v>
      </c>
      <c r="E631" s="60">
        <f>+C631*D631</f>
        <v>25886.875000000004</v>
      </c>
      <c r="F631" s="60">
        <f>+E631*7%</f>
        <v>1812.0812500000004</v>
      </c>
      <c r="G631" s="60">
        <f>+E631+F631</f>
        <v>27698.956250000003</v>
      </c>
      <c r="I631">
        <v>6905237</v>
      </c>
    </row>
    <row r="632" spans="1:9" ht="18" customHeight="1" thickBot="1" x14ac:dyDescent="0.35">
      <c r="A632" s="84"/>
      <c r="B632" s="17" t="s">
        <v>15</v>
      </c>
      <c r="C632" s="18">
        <f>SUM(C630:C631)</f>
        <v>589.45000000000005</v>
      </c>
      <c r="D632" s="19"/>
      <c r="E632" s="62">
        <f>SUM(E630:E631)</f>
        <v>51576.875000000007</v>
      </c>
      <c r="F632" s="62">
        <f t="shared" ref="F632:G632" si="116">SUM(F630:F631)</f>
        <v>3610.3812500000008</v>
      </c>
      <c r="G632" s="62">
        <f t="shared" si="116"/>
        <v>55187.256250000006</v>
      </c>
    </row>
    <row r="633" spans="1:9" ht="12" customHeight="1" thickTop="1" x14ac:dyDescent="0.3">
      <c r="A633" s="69"/>
      <c r="B633" s="69"/>
      <c r="C633" s="69"/>
      <c r="D633" s="70"/>
      <c r="E633" s="71"/>
      <c r="F633" s="71"/>
      <c r="G633" s="71"/>
    </row>
    <row r="634" spans="1:9" ht="26.25" x14ac:dyDescent="0.3">
      <c r="A634" s="357" t="s">
        <v>262</v>
      </c>
      <c r="B634" s="357"/>
      <c r="C634" s="357"/>
      <c r="D634" s="357"/>
      <c r="E634" s="357"/>
      <c r="F634" s="357"/>
      <c r="G634" s="357"/>
    </row>
    <row r="635" spans="1:9" ht="18" customHeight="1" x14ac:dyDescent="0.3">
      <c r="A635" s="1" t="s">
        <v>2</v>
      </c>
      <c r="B635" s="2" t="s">
        <v>3</v>
      </c>
      <c r="C635" s="2" t="s">
        <v>76</v>
      </c>
      <c r="D635" s="3" t="s">
        <v>5</v>
      </c>
      <c r="E635" s="2" t="s">
        <v>6</v>
      </c>
      <c r="F635" s="2" t="s">
        <v>7</v>
      </c>
      <c r="G635" s="2" t="s">
        <v>8</v>
      </c>
    </row>
    <row r="636" spans="1:9" ht="18" customHeight="1" x14ac:dyDescent="0.4">
      <c r="A636" s="81" t="s">
        <v>798</v>
      </c>
      <c r="B636" s="171" t="s">
        <v>89</v>
      </c>
      <c r="C636" s="169">
        <v>120</v>
      </c>
      <c r="D636" s="142">
        <v>157</v>
      </c>
      <c r="E636" s="60">
        <f>+C636*D636</f>
        <v>18840</v>
      </c>
      <c r="F636" s="60">
        <f>+E636*7%</f>
        <v>1318.8000000000002</v>
      </c>
      <c r="G636" s="60">
        <f>+E636+F636</f>
        <v>20158.8</v>
      </c>
      <c r="I636">
        <v>6905331</v>
      </c>
    </row>
    <row r="637" spans="1:9" ht="18" customHeight="1" thickBot="1" x14ac:dyDescent="0.35">
      <c r="A637" s="84"/>
      <c r="B637" s="17" t="s">
        <v>15</v>
      </c>
      <c r="C637" s="18">
        <f>SUM(C636:C636)</f>
        <v>120</v>
      </c>
      <c r="D637" s="19"/>
      <c r="E637" s="62">
        <f>SUM(E636:E636)</f>
        <v>18840</v>
      </c>
      <c r="F637" s="62">
        <f t="shared" ref="F637:G637" si="117">SUM(F636:F636)</f>
        <v>1318.8000000000002</v>
      </c>
      <c r="G637" s="62">
        <f t="shared" si="117"/>
        <v>20158.8</v>
      </c>
    </row>
    <row r="638" spans="1:9" ht="18" customHeight="1" thickTop="1" x14ac:dyDescent="0.3">
      <c r="A638" s="69"/>
      <c r="B638" s="69"/>
      <c r="C638" s="69"/>
      <c r="D638" s="70"/>
      <c r="E638" s="71"/>
      <c r="F638" s="71"/>
      <c r="G638" s="71"/>
    </row>
    <row r="639" spans="1:9" s="30" customFormat="1" ht="12" customHeight="1" thickBot="1" x14ac:dyDescent="0.55000000000000004">
      <c r="A639" s="21"/>
      <c r="B639" s="147" t="s">
        <v>89</v>
      </c>
      <c r="C639" s="148">
        <f>+C637</f>
        <v>120</v>
      </c>
      <c r="D639" s="149">
        <v>2.0699999999999998</v>
      </c>
      <c r="E639" s="188">
        <f>+C639*D639</f>
        <v>248.39999999999998</v>
      </c>
      <c r="F639" s="23"/>
      <c r="G639" s="23"/>
    </row>
    <row r="640" spans="1:9" ht="15" customHeight="1" thickTop="1" x14ac:dyDescent="0.3">
      <c r="A640" s="69"/>
      <c r="B640" s="69"/>
      <c r="C640" s="69"/>
      <c r="D640" s="70"/>
      <c r="E640" s="71"/>
      <c r="F640" s="71"/>
      <c r="G640" s="71"/>
    </row>
    <row r="641" spans="1:9" ht="26.25" x14ac:dyDescent="0.3">
      <c r="A641" s="357" t="s">
        <v>283</v>
      </c>
      <c r="B641" s="357"/>
      <c r="C641" s="357"/>
      <c r="D641" s="357"/>
      <c r="E641" s="357"/>
      <c r="F641" s="357"/>
      <c r="G641" s="357"/>
    </row>
    <row r="642" spans="1:9" ht="18" customHeight="1" x14ac:dyDescent="0.3">
      <c r="A642" s="1" t="s">
        <v>2</v>
      </c>
      <c r="B642" s="2" t="s">
        <v>3</v>
      </c>
      <c r="C642" s="2" t="s">
        <v>4</v>
      </c>
      <c r="D642" s="3" t="s">
        <v>5</v>
      </c>
      <c r="E642" s="2" t="s">
        <v>6</v>
      </c>
      <c r="F642" s="2" t="s">
        <v>7</v>
      </c>
      <c r="G642" s="2" t="s">
        <v>8</v>
      </c>
    </row>
    <row r="643" spans="1:9" ht="18" customHeight="1" x14ac:dyDescent="0.4">
      <c r="A643" s="81" t="s">
        <v>797</v>
      </c>
      <c r="B643" s="171" t="s">
        <v>89</v>
      </c>
      <c r="C643" s="169">
        <v>12</v>
      </c>
      <c r="D643" s="142">
        <v>157</v>
      </c>
      <c r="E643" s="60">
        <f>+C643*D643</f>
        <v>1884</v>
      </c>
      <c r="F643" s="60">
        <f>+E643*7%</f>
        <v>131.88000000000002</v>
      </c>
      <c r="G643" s="60">
        <f>+E643+F643</f>
        <v>2015.88</v>
      </c>
      <c r="I643">
        <v>6905292</v>
      </c>
    </row>
    <row r="644" spans="1:9" ht="18" customHeight="1" thickBot="1" x14ac:dyDescent="0.35">
      <c r="A644" s="84"/>
      <c r="B644" s="17" t="s">
        <v>15</v>
      </c>
      <c r="C644" s="18">
        <f>SUM(C643:C643)</f>
        <v>12</v>
      </c>
      <c r="D644" s="19"/>
      <c r="E644" s="62">
        <f>SUM(E643:E643)</f>
        <v>1884</v>
      </c>
      <c r="F644" s="62">
        <f t="shared" ref="F644:G644" si="118">SUM(F643:F643)</f>
        <v>131.88000000000002</v>
      </c>
      <c r="G644" s="62">
        <f t="shared" si="118"/>
        <v>2015.88</v>
      </c>
    </row>
    <row r="645" spans="1:9" ht="18" customHeight="1" thickTop="1" x14ac:dyDescent="0.3">
      <c r="A645" s="69"/>
      <c r="B645" s="69"/>
      <c r="C645" s="69"/>
      <c r="D645" s="70"/>
      <c r="E645" s="71"/>
      <c r="F645" s="71"/>
      <c r="G645" s="71"/>
    </row>
    <row r="646" spans="1:9" s="30" customFormat="1" ht="12" customHeight="1" thickBot="1" x14ac:dyDescent="0.55000000000000004">
      <c r="A646" s="21"/>
      <c r="B646" s="147" t="s">
        <v>89</v>
      </c>
      <c r="C646" s="148">
        <f>+C644</f>
        <v>12</v>
      </c>
      <c r="D646" s="149">
        <v>2.0699999999999998</v>
      </c>
      <c r="E646" s="188">
        <f>+C646*D646</f>
        <v>24.839999999999996</v>
      </c>
      <c r="F646" s="23"/>
      <c r="G646" s="23"/>
    </row>
    <row r="647" spans="1:9" ht="12" customHeight="1" thickTop="1" x14ac:dyDescent="0.3">
      <c r="A647" s="69"/>
      <c r="B647" s="69"/>
      <c r="C647" s="69"/>
      <c r="D647" s="70"/>
      <c r="E647" s="71"/>
      <c r="F647" s="71"/>
      <c r="G647" s="71"/>
    </row>
    <row r="648" spans="1:9" ht="26.25" x14ac:dyDescent="0.3">
      <c r="A648" s="357" t="s">
        <v>655</v>
      </c>
      <c r="B648" s="357"/>
      <c r="C648" s="357"/>
      <c r="D648" s="357"/>
      <c r="E648" s="357"/>
      <c r="F648" s="357"/>
      <c r="G648" s="357"/>
    </row>
    <row r="649" spans="1:9" ht="18" customHeight="1" x14ac:dyDescent="0.3">
      <c r="A649" s="1" t="s">
        <v>2</v>
      </c>
      <c r="B649" s="2" t="s">
        <v>3</v>
      </c>
      <c r="C649" s="2" t="s">
        <v>76</v>
      </c>
      <c r="D649" s="3" t="s">
        <v>5</v>
      </c>
      <c r="E649" s="2" t="s">
        <v>6</v>
      </c>
      <c r="F649" s="2" t="s">
        <v>7</v>
      </c>
      <c r="G649" s="2" t="s">
        <v>8</v>
      </c>
    </row>
    <row r="650" spans="1:9" ht="18" customHeight="1" x14ac:dyDescent="0.4">
      <c r="A650" s="81" t="s">
        <v>787</v>
      </c>
      <c r="B650" s="171" t="s">
        <v>89</v>
      </c>
      <c r="C650" s="169">
        <v>300</v>
      </c>
      <c r="D650" s="142">
        <v>157</v>
      </c>
      <c r="E650" s="60">
        <f>+C650*D650</f>
        <v>47100</v>
      </c>
      <c r="F650" s="60">
        <f>+E650*7%</f>
        <v>3297.0000000000005</v>
      </c>
      <c r="G650" s="60">
        <f>+E650+F650</f>
        <v>50397</v>
      </c>
      <c r="I650">
        <v>6905052</v>
      </c>
    </row>
    <row r="651" spans="1:9" ht="18" customHeight="1" thickBot="1" x14ac:dyDescent="0.35">
      <c r="A651" s="84"/>
      <c r="B651" s="17" t="s">
        <v>15</v>
      </c>
      <c r="C651" s="18">
        <f>SUM(C650:C650)</f>
        <v>300</v>
      </c>
      <c r="D651" s="19"/>
      <c r="E651" s="62">
        <f>SUM(E650:E650)</f>
        <v>47100</v>
      </c>
      <c r="F651" s="62">
        <f t="shared" ref="F651:G651" si="119">SUM(F650:F650)</f>
        <v>3297.0000000000005</v>
      </c>
      <c r="G651" s="62">
        <f t="shared" si="119"/>
        <v>50397</v>
      </c>
    </row>
    <row r="652" spans="1:9" ht="18" customHeight="1" thickTop="1" x14ac:dyDescent="0.3">
      <c r="A652" s="69"/>
      <c r="B652" s="69"/>
      <c r="C652" s="69"/>
      <c r="D652" s="70"/>
      <c r="E652" s="71"/>
      <c r="F652" s="71"/>
      <c r="G652" s="71"/>
    </row>
    <row r="653" spans="1:9" s="30" customFormat="1" ht="12" customHeight="1" thickBot="1" x14ac:dyDescent="0.55000000000000004">
      <c r="A653" s="21"/>
      <c r="B653" s="147" t="s">
        <v>89</v>
      </c>
      <c r="C653" s="148">
        <f>+C651</f>
        <v>300</v>
      </c>
      <c r="D653" s="149">
        <v>2.0699999999999998</v>
      </c>
      <c r="E653" s="188">
        <f>+C653*D653</f>
        <v>621</v>
      </c>
      <c r="F653" s="23"/>
      <c r="G653" s="23"/>
    </row>
    <row r="654" spans="1:9" ht="18" customHeight="1" thickTop="1" x14ac:dyDescent="0.3">
      <c r="A654" s="69"/>
      <c r="B654" s="69"/>
      <c r="C654" s="69"/>
      <c r="D654" s="70"/>
      <c r="E654" s="71"/>
      <c r="F654" s="71"/>
      <c r="G654" s="71"/>
    </row>
    <row r="655" spans="1:9" ht="26.25" x14ac:dyDescent="0.3">
      <c r="A655" s="357" t="s">
        <v>659</v>
      </c>
      <c r="B655" s="357"/>
      <c r="C655" s="357"/>
      <c r="D655" s="357"/>
      <c r="E655" s="357"/>
      <c r="F655" s="357"/>
      <c r="G655" s="357"/>
    </row>
    <row r="656" spans="1:9" ht="18" customHeight="1" x14ac:dyDescent="0.3">
      <c r="A656" s="1" t="s">
        <v>2</v>
      </c>
      <c r="B656" s="2" t="s">
        <v>3</v>
      </c>
      <c r="C656" s="2" t="s">
        <v>4</v>
      </c>
      <c r="D656" s="3" t="s">
        <v>5</v>
      </c>
      <c r="E656" s="2" t="s">
        <v>6</v>
      </c>
      <c r="F656" s="2" t="s">
        <v>7</v>
      </c>
      <c r="G656" s="2" t="s">
        <v>8</v>
      </c>
    </row>
    <row r="657" spans="1:9" ht="18" customHeight="1" x14ac:dyDescent="0.4">
      <c r="A657" s="81" t="s">
        <v>789</v>
      </c>
      <c r="B657" s="171" t="s">
        <v>660</v>
      </c>
      <c r="C657" s="169">
        <v>1984.05</v>
      </c>
      <c r="D657" s="142">
        <v>80</v>
      </c>
      <c r="E657" s="60">
        <f>+C657*D657</f>
        <v>158724</v>
      </c>
      <c r="F657" s="60">
        <f>+E657*7%</f>
        <v>11110.68</v>
      </c>
      <c r="G657" s="60">
        <f>+E657+F657</f>
        <v>169834.68</v>
      </c>
      <c r="I657">
        <v>6905114</v>
      </c>
    </row>
    <row r="658" spans="1:9" ht="18" customHeight="1" x14ac:dyDescent="0.4">
      <c r="A658" s="81" t="s">
        <v>789</v>
      </c>
      <c r="B658" s="171" t="s">
        <v>661</v>
      </c>
      <c r="C658" s="169">
        <v>3998.9</v>
      </c>
      <c r="D658" s="142">
        <v>80</v>
      </c>
      <c r="E658" s="60">
        <f>+C658*D658</f>
        <v>319912</v>
      </c>
      <c r="F658" s="60">
        <f>+E658*7%</f>
        <v>22393.840000000004</v>
      </c>
      <c r="G658" s="60">
        <f>+E658+F658</f>
        <v>342305.84</v>
      </c>
      <c r="I658">
        <v>6905115</v>
      </c>
    </row>
    <row r="659" spans="1:9" ht="18" customHeight="1" thickBot="1" x14ac:dyDescent="0.35">
      <c r="A659" s="84"/>
      <c r="B659" s="17" t="s">
        <v>15</v>
      </c>
      <c r="C659" s="18">
        <f>SUM(C657:C658)</f>
        <v>5982.95</v>
      </c>
      <c r="D659" s="19"/>
      <c r="E659" s="62">
        <f>SUM(E657:E658)</f>
        <v>478636</v>
      </c>
      <c r="F659" s="62">
        <f t="shared" ref="F659:G659" si="120">SUM(F657:F658)</f>
        <v>33504.520000000004</v>
      </c>
      <c r="G659" s="62">
        <f t="shared" si="120"/>
        <v>512140.52</v>
      </c>
    </row>
    <row r="660" spans="1:9" ht="18" customHeight="1" thickTop="1" x14ac:dyDescent="0.3">
      <c r="A660" s="69"/>
      <c r="B660" s="69"/>
      <c r="C660" s="69"/>
      <c r="D660" s="70"/>
      <c r="E660" s="71"/>
      <c r="F660" s="71"/>
      <c r="G660" s="71"/>
    </row>
    <row r="661" spans="1:9" ht="26.25" x14ac:dyDescent="0.3">
      <c r="A661" s="357" t="s">
        <v>749</v>
      </c>
      <c r="B661" s="357"/>
      <c r="C661" s="357"/>
      <c r="D661" s="357"/>
      <c r="E661" s="357"/>
      <c r="F661" s="357"/>
      <c r="G661" s="357"/>
    </row>
    <row r="662" spans="1:9" ht="18" customHeight="1" x14ac:dyDescent="0.3">
      <c r="A662" s="1" t="s">
        <v>2</v>
      </c>
      <c r="B662" s="2" t="s">
        <v>3</v>
      </c>
      <c r="C662" s="2" t="s">
        <v>76</v>
      </c>
      <c r="D662" s="3" t="s">
        <v>5</v>
      </c>
      <c r="E662" s="2" t="s">
        <v>6</v>
      </c>
      <c r="F662" s="2" t="s">
        <v>7</v>
      </c>
      <c r="G662" s="2" t="s">
        <v>8</v>
      </c>
    </row>
    <row r="663" spans="1:9" ht="18" customHeight="1" x14ac:dyDescent="0.4">
      <c r="A663" s="81" t="s">
        <v>803</v>
      </c>
      <c r="B663" s="171" t="s">
        <v>89</v>
      </c>
      <c r="C663" s="169">
        <v>160</v>
      </c>
      <c r="D663" s="142">
        <v>137</v>
      </c>
      <c r="E663" s="60">
        <f>+C663*D663</f>
        <v>21920</v>
      </c>
      <c r="F663" s="60">
        <f>+E663*7%</f>
        <v>1534.4</v>
      </c>
      <c r="G663" s="60">
        <f>+E663+F663</f>
        <v>23454.400000000001</v>
      </c>
      <c r="I663">
        <v>6905029</v>
      </c>
    </row>
    <row r="664" spans="1:9" ht="18" customHeight="1" thickBot="1" x14ac:dyDescent="0.35">
      <c r="A664" s="84"/>
      <c r="B664" s="17" t="s">
        <v>15</v>
      </c>
      <c r="C664" s="18">
        <f>SUM(C663:C663)</f>
        <v>160</v>
      </c>
      <c r="D664" s="19"/>
      <c r="E664" s="62">
        <f>SUM(E663:E663)</f>
        <v>21920</v>
      </c>
      <c r="F664" s="62">
        <f t="shared" ref="F664:G664" si="121">SUM(F663:F663)</f>
        <v>1534.4</v>
      </c>
      <c r="G664" s="62">
        <f t="shared" si="121"/>
        <v>23454.400000000001</v>
      </c>
    </row>
    <row r="665" spans="1:9" ht="18" customHeight="1" thickTop="1" x14ac:dyDescent="0.3">
      <c r="A665" s="69"/>
      <c r="B665" s="69"/>
      <c r="C665" s="69"/>
      <c r="D665" s="70"/>
      <c r="E665" s="71"/>
      <c r="F665" s="71"/>
      <c r="G665" s="71"/>
    </row>
    <row r="666" spans="1:9" s="30" customFormat="1" ht="12" customHeight="1" thickBot="1" x14ac:dyDescent="0.55000000000000004">
      <c r="A666" s="21"/>
      <c r="B666" s="147" t="s">
        <v>89</v>
      </c>
      <c r="C666" s="148">
        <f>+C664</f>
        <v>160</v>
      </c>
      <c r="D666" s="149">
        <v>2.0699999999999998</v>
      </c>
      <c r="E666" s="188">
        <f>+C666*D666</f>
        <v>331.2</v>
      </c>
      <c r="F666" s="23"/>
      <c r="G666" s="23"/>
    </row>
    <row r="667" spans="1:9" ht="18" customHeight="1" thickTop="1" x14ac:dyDescent="0.3">
      <c r="A667" s="69"/>
      <c r="B667" s="69"/>
      <c r="C667" s="69"/>
      <c r="D667" s="70"/>
      <c r="E667" s="71"/>
      <c r="F667" s="71"/>
      <c r="G667" s="71"/>
    </row>
    <row r="668" spans="1:9" ht="26.25" x14ac:dyDescent="0.3">
      <c r="A668" s="357" t="s">
        <v>756</v>
      </c>
      <c r="B668" s="357"/>
      <c r="C668" s="357"/>
      <c r="D668" s="357"/>
      <c r="E668" s="357"/>
      <c r="F668" s="357"/>
      <c r="G668" s="357"/>
    </row>
    <row r="669" spans="1:9" ht="18" customHeight="1" x14ac:dyDescent="0.3">
      <c r="A669" s="1" t="s">
        <v>2</v>
      </c>
      <c r="B669" s="2" t="s">
        <v>3</v>
      </c>
      <c r="C669" s="2" t="s">
        <v>76</v>
      </c>
      <c r="D669" s="3" t="s">
        <v>5</v>
      </c>
      <c r="E669" s="2" t="s">
        <v>6</v>
      </c>
      <c r="F669" s="2" t="s">
        <v>7</v>
      </c>
      <c r="G669" s="2" t="s">
        <v>8</v>
      </c>
    </row>
    <row r="670" spans="1:9" ht="18" customHeight="1" x14ac:dyDescent="0.4">
      <c r="A670" s="81" t="s">
        <v>794</v>
      </c>
      <c r="B670" s="171" t="s">
        <v>757</v>
      </c>
      <c r="C670" s="169">
        <v>100</v>
      </c>
      <c r="D670" s="142">
        <v>157</v>
      </c>
      <c r="E670" s="60">
        <f>+C670*D670</f>
        <v>15700</v>
      </c>
      <c r="F670" s="60">
        <f>+E670*7%</f>
        <v>1099</v>
      </c>
      <c r="G670" s="60">
        <f>+E670+F670</f>
        <v>16799</v>
      </c>
      <c r="I670">
        <v>6905227</v>
      </c>
    </row>
    <row r="671" spans="1:9" ht="18" customHeight="1" x14ac:dyDescent="0.4">
      <c r="A671" s="81" t="s">
        <v>794</v>
      </c>
      <c r="B671" s="171" t="s">
        <v>89</v>
      </c>
      <c r="C671" s="169">
        <v>60</v>
      </c>
      <c r="D671" s="142">
        <v>157</v>
      </c>
      <c r="E671" s="60">
        <f>+C671*D671</f>
        <v>9420</v>
      </c>
      <c r="F671" s="60">
        <f>+E671*7%</f>
        <v>659.40000000000009</v>
      </c>
      <c r="G671" s="60">
        <f>+E671+F671</f>
        <v>10079.4</v>
      </c>
      <c r="I671">
        <v>6905226</v>
      </c>
    </row>
    <row r="672" spans="1:9" ht="18" customHeight="1" thickBot="1" x14ac:dyDescent="0.35">
      <c r="A672" s="84"/>
      <c r="B672" s="17" t="s">
        <v>15</v>
      </c>
      <c r="C672" s="18">
        <f>SUM(C670:C671)</f>
        <v>160</v>
      </c>
      <c r="D672" s="19"/>
      <c r="E672" s="62">
        <f>SUM(E670:E671)</f>
        <v>25120</v>
      </c>
      <c r="F672" s="62">
        <f>SUM(F670:F671)</f>
        <v>1758.4</v>
      </c>
      <c r="G672" s="62">
        <f>SUM(G670:G671)</f>
        <v>26878.400000000001</v>
      </c>
    </row>
    <row r="673" spans="1:9" ht="18" customHeight="1" thickTop="1" x14ac:dyDescent="0.3">
      <c r="A673" s="69"/>
      <c r="B673" s="69"/>
      <c r="C673" s="69"/>
      <c r="D673" s="70"/>
      <c r="E673" s="71"/>
      <c r="F673" s="71"/>
      <c r="G673" s="71"/>
    </row>
    <row r="674" spans="1:9" s="30" customFormat="1" ht="12" customHeight="1" x14ac:dyDescent="0.5">
      <c r="A674" s="21"/>
      <c r="B674" s="147" t="s">
        <v>89</v>
      </c>
      <c r="C674" s="148">
        <f>C671</f>
        <v>60</v>
      </c>
      <c r="D674" s="149">
        <v>2.0699999999999998</v>
      </c>
      <c r="E674" s="204">
        <f>+C674*D674</f>
        <v>124.19999999999999</v>
      </c>
      <c r="F674" s="23"/>
      <c r="G674" s="23"/>
    </row>
    <row r="675" spans="1:9" ht="18" customHeight="1" thickBot="1" x14ac:dyDescent="0.35">
      <c r="A675" s="85"/>
      <c r="B675" s="147" t="s">
        <v>564</v>
      </c>
      <c r="C675" s="148">
        <f>C670</f>
        <v>100</v>
      </c>
      <c r="D675" s="149">
        <v>2.0720000000000001</v>
      </c>
      <c r="E675" s="204">
        <f>+C675*D675</f>
        <v>207.20000000000002</v>
      </c>
      <c r="F675" s="320">
        <f>E674+E675</f>
        <v>331.4</v>
      </c>
      <c r="G675" s="71"/>
    </row>
    <row r="676" spans="1:9" ht="13.5" customHeight="1" thickTop="1" x14ac:dyDescent="0.3">
      <c r="A676" s="85"/>
      <c r="B676" s="68"/>
      <c r="C676" s="69"/>
      <c r="D676" s="70"/>
      <c r="E676" s="71"/>
      <c r="F676" s="71"/>
      <c r="G676" s="71"/>
    </row>
    <row r="677" spans="1:9" ht="26.25" x14ac:dyDescent="0.3">
      <c r="A677" s="357" t="s">
        <v>833</v>
      </c>
      <c r="B677" s="357"/>
      <c r="C677" s="357"/>
      <c r="D677" s="357"/>
      <c r="E677" s="357"/>
      <c r="F677" s="357"/>
      <c r="G677" s="357"/>
    </row>
    <row r="678" spans="1:9" ht="18" customHeight="1" x14ac:dyDescent="0.3">
      <c r="A678" s="1" t="s">
        <v>2</v>
      </c>
      <c r="B678" s="2" t="s">
        <v>3</v>
      </c>
      <c r="C678" s="2" t="s">
        <v>76</v>
      </c>
      <c r="D678" s="3" t="s">
        <v>5</v>
      </c>
      <c r="E678" s="2" t="s">
        <v>6</v>
      </c>
      <c r="F678" s="2" t="s">
        <v>7</v>
      </c>
      <c r="G678" s="2" t="s">
        <v>8</v>
      </c>
    </row>
    <row r="679" spans="1:9" ht="18" customHeight="1" x14ac:dyDescent="0.4">
      <c r="A679" s="81" t="s">
        <v>803</v>
      </c>
      <c r="B679" s="171" t="s">
        <v>89</v>
      </c>
      <c r="C679" s="169">
        <v>480.55</v>
      </c>
      <c r="D679" s="142">
        <v>86</v>
      </c>
      <c r="E679" s="60">
        <f>+C679*D679</f>
        <v>41327.300000000003</v>
      </c>
      <c r="F679" s="60">
        <f>+E679*7%</f>
        <v>2892.9110000000005</v>
      </c>
      <c r="G679" s="60">
        <f>+E679+F679</f>
        <v>44220.211000000003</v>
      </c>
      <c r="I679">
        <v>6905027</v>
      </c>
    </row>
    <row r="680" spans="1:9" ht="18" customHeight="1" thickBot="1" x14ac:dyDescent="0.35">
      <c r="A680" s="84"/>
      <c r="B680" s="17" t="s">
        <v>15</v>
      </c>
      <c r="C680" s="18">
        <f>SUM(C679)</f>
        <v>480.55</v>
      </c>
      <c r="D680" s="19"/>
      <c r="E680" s="62">
        <f>SUM(E679)</f>
        <v>41327.300000000003</v>
      </c>
      <c r="F680" s="62">
        <f>SUM(F679)</f>
        <v>2892.9110000000005</v>
      </c>
      <c r="G680" s="62">
        <f>SUM(G679)</f>
        <v>44220.211000000003</v>
      </c>
    </row>
    <row r="681" spans="1:9" ht="18" customHeight="1" thickTop="1" x14ac:dyDescent="0.3">
      <c r="A681" s="69"/>
      <c r="B681" s="69"/>
      <c r="C681" s="69"/>
      <c r="D681" s="70"/>
      <c r="E681" s="71"/>
      <c r="F681" s="71"/>
      <c r="G681" s="71"/>
    </row>
    <row r="682" spans="1:9" s="30" customFormat="1" ht="12" customHeight="1" thickBot="1" x14ac:dyDescent="0.55000000000000004">
      <c r="A682" s="21"/>
      <c r="B682" s="147" t="s">
        <v>89</v>
      </c>
      <c r="C682" s="148">
        <f>+C680</f>
        <v>480.55</v>
      </c>
      <c r="D682" s="149">
        <v>2.0699999999999998</v>
      </c>
      <c r="E682" s="188">
        <f>+C682*D682</f>
        <v>994.73849999999993</v>
      </c>
      <c r="F682" s="23"/>
      <c r="G682" s="23"/>
    </row>
    <row r="683" spans="1:9" ht="12" customHeight="1" thickTop="1" x14ac:dyDescent="0.3">
      <c r="A683" s="69"/>
      <c r="B683" s="69"/>
      <c r="C683" s="69"/>
      <c r="D683" s="70"/>
      <c r="E683" s="71"/>
      <c r="F683" s="71"/>
      <c r="G683" s="71"/>
    </row>
    <row r="684" spans="1:9" ht="26.25" x14ac:dyDescent="0.3">
      <c r="A684" s="357" t="s">
        <v>834</v>
      </c>
      <c r="B684" s="357"/>
      <c r="C684" s="357"/>
      <c r="D684" s="357"/>
      <c r="E684" s="357"/>
      <c r="F684" s="357"/>
      <c r="G684" s="357"/>
    </row>
    <row r="685" spans="1:9" ht="18" customHeight="1" x14ac:dyDescent="0.3">
      <c r="A685" s="1" t="s">
        <v>2</v>
      </c>
      <c r="B685" s="2" t="s">
        <v>3</v>
      </c>
      <c r="C685" s="2" t="s">
        <v>835</v>
      </c>
      <c r="D685" s="3" t="s">
        <v>5</v>
      </c>
      <c r="E685" s="2" t="s">
        <v>6</v>
      </c>
      <c r="F685" s="2" t="s">
        <v>7</v>
      </c>
      <c r="G685" s="2" t="s">
        <v>8</v>
      </c>
    </row>
    <row r="686" spans="1:9" ht="18" customHeight="1" x14ac:dyDescent="0.4">
      <c r="A686" s="81" t="s">
        <v>795</v>
      </c>
      <c r="B686" s="171" t="s">
        <v>148</v>
      </c>
      <c r="C686" s="169">
        <v>207.9</v>
      </c>
      <c r="D686" s="142">
        <v>62</v>
      </c>
      <c r="E686" s="60">
        <f>+C686*D686</f>
        <v>12889.800000000001</v>
      </c>
      <c r="F686" s="60">
        <f>+E686*7%</f>
        <v>902.28600000000017</v>
      </c>
      <c r="G686" s="60">
        <f>+E686+F686</f>
        <v>13792.086000000001</v>
      </c>
      <c r="I686">
        <v>6905253</v>
      </c>
    </row>
    <row r="687" spans="1:9" ht="18" customHeight="1" thickBot="1" x14ac:dyDescent="0.35">
      <c r="A687" s="84"/>
      <c r="B687" s="17" t="s">
        <v>15</v>
      </c>
      <c r="C687" s="18">
        <f>SUM(C686)</f>
        <v>207.9</v>
      </c>
      <c r="D687" s="19"/>
      <c r="E687" s="62">
        <f>SUM(E686)</f>
        <v>12889.800000000001</v>
      </c>
      <c r="F687" s="62">
        <f t="shared" ref="F687:G687" si="122">SUM(F686)</f>
        <v>902.28600000000017</v>
      </c>
      <c r="G687" s="62">
        <f t="shared" si="122"/>
        <v>13792.086000000001</v>
      </c>
    </row>
    <row r="688" spans="1:9" ht="13.5" customHeight="1" thickTop="1" x14ac:dyDescent="0.3">
      <c r="A688" s="69"/>
      <c r="B688" s="69"/>
      <c r="C688" s="69"/>
      <c r="D688" s="70"/>
      <c r="E688" s="71"/>
      <c r="F688" s="71"/>
      <c r="G688" s="71"/>
    </row>
    <row r="689" spans="1:9" ht="26.25" x14ac:dyDescent="0.3">
      <c r="A689" s="357" t="s">
        <v>836</v>
      </c>
      <c r="B689" s="357"/>
      <c r="C689" s="357"/>
      <c r="D689" s="357"/>
      <c r="E689" s="357"/>
      <c r="F689" s="357"/>
      <c r="G689" s="357"/>
    </row>
    <row r="690" spans="1:9" ht="18" customHeight="1" x14ac:dyDescent="0.3">
      <c r="A690" s="1" t="s">
        <v>2</v>
      </c>
      <c r="B690" s="2" t="s">
        <v>3</v>
      </c>
      <c r="C690" s="2" t="s">
        <v>76</v>
      </c>
      <c r="D690" s="3" t="s">
        <v>5</v>
      </c>
      <c r="E690" s="2" t="s">
        <v>6</v>
      </c>
      <c r="F690" s="2" t="s">
        <v>7</v>
      </c>
      <c r="G690" s="2" t="s">
        <v>8</v>
      </c>
    </row>
    <row r="691" spans="1:9" ht="18" customHeight="1" x14ac:dyDescent="0.4">
      <c r="A691" s="81" t="s">
        <v>807</v>
      </c>
      <c r="B691" s="171" t="s">
        <v>837</v>
      </c>
      <c r="C691" s="169">
        <v>60</v>
      </c>
      <c r="D691" s="142">
        <v>63</v>
      </c>
      <c r="E691" s="60">
        <f>+C691*D691</f>
        <v>3780</v>
      </c>
      <c r="F691" s="60">
        <f>+E691*7%</f>
        <v>264.60000000000002</v>
      </c>
      <c r="G691" s="60">
        <f>+E691+F691</f>
        <v>4044.6</v>
      </c>
      <c r="I691">
        <v>6905268</v>
      </c>
    </row>
    <row r="692" spans="1:9" ht="18" customHeight="1" thickBot="1" x14ac:dyDescent="0.35">
      <c r="A692" s="84"/>
      <c r="B692" s="17" t="s">
        <v>15</v>
      </c>
      <c r="C692" s="18">
        <f>SUM(C691)</f>
        <v>60</v>
      </c>
      <c r="D692" s="19"/>
      <c r="E692" s="62">
        <f>SUM(E691)</f>
        <v>3780</v>
      </c>
      <c r="F692" s="62">
        <f t="shared" ref="F692:G692" si="123">SUM(F691)</f>
        <v>264.60000000000002</v>
      </c>
      <c r="G692" s="62">
        <f t="shared" si="123"/>
        <v>4044.6</v>
      </c>
    </row>
    <row r="693" spans="1:9" ht="18" customHeight="1" thickTop="1" x14ac:dyDescent="0.3">
      <c r="A693" s="69"/>
      <c r="B693" s="69"/>
      <c r="C693" s="69"/>
      <c r="D693" s="70"/>
      <c r="E693" s="71"/>
      <c r="F693" s="71"/>
      <c r="G693" s="71"/>
    </row>
    <row r="694" spans="1:9" s="30" customFormat="1" ht="12" customHeight="1" thickBot="1" x14ac:dyDescent="0.55000000000000004">
      <c r="A694" s="21"/>
      <c r="B694" s="147" t="s">
        <v>837</v>
      </c>
      <c r="C694" s="148">
        <f>+C692</f>
        <v>60</v>
      </c>
      <c r="D694" s="149">
        <v>0.83</v>
      </c>
      <c r="E694" s="188">
        <f>+C694*D694</f>
        <v>49.8</v>
      </c>
      <c r="F694" s="23"/>
      <c r="G694" s="23"/>
    </row>
    <row r="695" spans="1:9" ht="18" customHeight="1" thickTop="1" x14ac:dyDescent="0.3">
      <c r="A695" s="69"/>
      <c r="B695" s="69"/>
      <c r="C695" s="69"/>
      <c r="D695" s="70"/>
      <c r="E695" s="71"/>
      <c r="F695" s="71"/>
      <c r="G695" s="71"/>
    </row>
    <row r="696" spans="1:9" ht="26.25" x14ac:dyDescent="0.3">
      <c r="A696" s="357" t="s">
        <v>838</v>
      </c>
      <c r="B696" s="357"/>
      <c r="C696" s="357"/>
      <c r="D696" s="357"/>
      <c r="E696" s="357"/>
      <c r="F696" s="357"/>
      <c r="G696" s="357"/>
    </row>
    <row r="697" spans="1:9" ht="18" customHeight="1" x14ac:dyDescent="0.3">
      <c r="A697" s="1" t="s">
        <v>2</v>
      </c>
      <c r="B697" s="2" t="s">
        <v>3</v>
      </c>
      <c r="C697" s="2" t="s">
        <v>76</v>
      </c>
      <c r="D697" s="3" t="s">
        <v>5</v>
      </c>
      <c r="E697" s="2" t="s">
        <v>6</v>
      </c>
      <c r="F697" s="2" t="s">
        <v>7</v>
      </c>
      <c r="G697" s="2" t="s">
        <v>8</v>
      </c>
    </row>
    <row r="698" spans="1:9" ht="18" customHeight="1" x14ac:dyDescent="0.4">
      <c r="A698" s="81" t="s">
        <v>812</v>
      </c>
      <c r="B698" s="171" t="s">
        <v>839</v>
      </c>
      <c r="C698" s="169">
        <v>300</v>
      </c>
      <c r="D698" s="142">
        <v>114</v>
      </c>
      <c r="E698" s="60">
        <f>+C698*D698</f>
        <v>34200</v>
      </c>
      <c r="F698" s="60">
        <f>+E698*7%</f>
        <v>2394.0000000000005</v>
      </c>
      <c r="G698" s="60">
        <f>+E698+F698</f>
        <v>36594</v>
      </c>
      <c r="I698">
        <v>6905348</v>
      </c>
    </row>
    <row r="699" spans="1:9" ht="18" customHeight="1" thickBot="1" x14ac:dyDescent="0.35">
      <c r="A699" s="84"/>
      <c r="B699" s="17" t="s">
        <v>15</v>
      </c>
      <c r="C699" s="18">
        <f>SUM(C698)</f>
        <v>300</v>
      </c>
      <c r="D699" s="19"/>
      <c r="E699" s="62">
        <f>SUM(E698)</f>
        <v>34200</v>
      </c>
      <c r="F699" s="62">
        <f t="shared" ref="F699:G699" si="124">SUM(F698)</f>
        <v>2394.0000000000005</v>
      </c>
      <c r="G699" s="62">
        <f t="shared" si="124"/>
        <v>36594</v>
      </c>
    </row>
    <row r="700" spans="1:9" ht="18" customHeight="1" thickTop="1" x14ac:dyDescent="0.3">
      <c r="A700" s="85"/>
      <c r="B700" s="68"/>
      <c r="C700" s="69"/>
      <c r="D700" s="70"/>
      <c r="E700" s="71"/>
      <c r="F700" s="71"/>
      <c r="G700" s="71"/>
    </row>
    <row r="701" spans="1:9" s="30" customFormat="1" ht="12" customHeight="1" thickBot="1" x14ac:dyDescent="0.55000000000000004">
      <c r="A701" s="21"/>
      <c r="B701" s="147" t="s">
        <v>839</v>
      </c>
      <c r="C701" s="148">
        <f>+C699</f>
        <v>300</v>
      </c>
      <c r="D701" s="149">
        <v>2.21</v>
      </c>
      <c r="E701" s="188">
        <f>+C701*D701</f>
        <v>663</v>
      </c>
      <c r="F701" s="23"/>
      <c r="G701" s="23"/>
    </row>
    <row r="702" spans="1:9" ht="18" customHeight="1" thickTop="1" x14ac:dyDescent="0.3">
      <c r="A702" s="69"/>
      <c r="B702" s="69"/>
      <c r="C702" s="69"/>
      <c r="D702" s="70"/>
      <c r="E702" s="71"/>
      <c r="F702" s="71"/>
      <c r="G702" s="71"/>
    </row>
    <row r="703" spans="1:9" s="181" customFormat="1" ht="18" customHeight="1" x14ac:dyDescent="0.4">
      <c r="A703" s="175"/>
      <c r="B703" s="176"/>
      <c r="C703" s="177" t="s">
        <v>122</v>
      </c>
      <c r="D703" s="178"/>
      <c r="E703" s="179" t="s">
        <v>123</v>
      </c>
      <c r="F703" s="180"/>
      <c r="G703" s="71"/>
    </row>
    <row r="704" spans="1:9" s="181" customFormat="1" ht="18" customHeight="1" x14ac:dyDescent="0.4">
      <c r="A704" s="175"/>
      <c r="B704" s="182"/>
      <c r="C704" s="183">
        <f>C51+C92+C108+C124+C129+C154+C218+C281+C288+C294+C305+C310+C316+C328+C333+E340+C349+C359+C384+C413+C418+C429+C434+F442+C455+F479+C491+C506+C497+C511+C520+C526+C551+C560+C566+C578+E585+C591+C600+C605+C610+E617+F625+C632+E639+E646+E653+C659+E666+F675+E682+C687+E694+E701</f>
        <v>645959.59849999973</v>
      </c>
      <c r="D704" s="184"/>
      <c r="E704" s="185">
        <f>E51+E92+E108+E124+E129+E154+E218+E250+E288+E294+E305+E310+E316+E328+E333+E338+E349+E354+E372+E413+E418+E424+E434+E440+E455+E471+E491+E506+E497+E511+E520+E526+E551+E560+E566+E572+E583+E591+E596+E605+E610+E615+E623+E632+E637+E644+E651+E659+E664+E672+E680+E687+E692+E699</f>
        <v>59376879.599499986</v>
      </c>
      <c r="F704" s="180"/>
      <c r="G704" s="71"/>
    </row>
    <row r="705" spans="1:9" x14ac:dyDescent="0.3">
      <c r="E705" s="186"/>
    </row>
    <row r="707" spans="1:9" ht="23.25" x14ac:dyDescent="0.3">
      <c r="A707" s="359" t="s">
        <v>1</v>
      </c>
      <c r="B707" s="365"/>
      <c r="C707" s="365"/>
      <c r="D707" s="365"/>
      <c r="E707" s="365"/>
      <c r="F707" s="365"/>
      <c r="G707" s="365"/>
    </row>
    <row r="708" spans="1:9" ht="18" customHeight="1" x14ac:dyDescent="0.3">
      <c r="A708" s="1" t="s">
        <v>2</v>
      </c>
      <c r="B708" s="2" t="s">
        <v>3</v>
      </c>
      <c r="C708" s="2" t="s">
        <v>4</v>
      </c>
      <c r="D708" s="3" t="s">
        <v>5</v>
      </c>
      <c r="E708" s="2" t="s">
        <v>6</v>
      </c>
      <c r="F708" s="2" t="s">
        <v>7</v>
      </c>
      <c r="G708" s="2" t="s">
        <v>8</v>
      </c>
    </row>
    <row r="709" spans="1:9" ht="18" customHeight="1" x14ac:dyDescent="0.4">
      <c r="A709" s="4" t="s">
        <v>786</v>
      </c>
      <c r="B709" s="5" t="s">
        <v>688</v>
      </c>
      <c r="C709" s="6">
        <v>434.55</v>
      </c>
      <c r="D709" s="7">
        <v>75</v>
      </c>
      <c r="E709" s="8">
        <f>+C709*D709</f>
        <v>32591.25</v>
      </c>
      <c r="F709" s="8">
        <f>+E709*7%</f>
        <v>2281.3875000000003</v>
      </c>
      <c r="G709" s="8">
        <f>+E709+F709</f>
        <v>34872.637499999997</v>
      </c>
      <c r="I709">
        <v>6905004</v>
      </c>
    </row>
    <row r="710" spans="1:9" ht="18" customHeight="1" x14ac:dyDescent="0.4">
      <c r="A710" s="4" t="s">
        <v>787</v>
      </c>
      <c r="B710" s="5" t="s">
        <v>688</v>
      </c>
      <c r="C710" s="6">
        <v>1065.25</v>
      </c>
      <c r="D710" s="7">
        <v>75</v>
      </c>
      <c r="E710" s="8">
        <f t="shared" ref="E710:E715" si="125">+C710*D710</f>
        <v>79893.75</v>
      </c>
      <c r="F710" s="8">
        <f t="shared" ref="F710:F715" si="126">+E710*7%</f>
        <v>5592.5625000000009</v>
      </c>
      <c r="G710" s="8">
        <f t="shared" ref="G710:G715" si="127">+E710+F710</f>
        <v>85486.3125</v>
      </c>
      <c r="I710">
        <v>6905071</v>
      </c>
    </row>
    <row r="711" spans="1:9" ht="18" customHeight="1" x14ac:dyDescent="0.4">
      <c r="A711" s="4" t="s">
        <v>787</v>
      </c>
      <c r="B711" s="5" t="s">
        <v>688</v>
      </c>
      <c r="C711" s="6">
        <v>1487.4</v>
      </c>
      <c r="D711" s="7">
        <v>75</v>
      </c>
      <c r="E711" s="8">
        <f t="shared" si="125"/>
        <v>111555</v>
      </c>
      <c r="F711" s="8">
        <f t="shared" si="126"/>
        <v>7808.85</v>
      </c>
      <c r="G711" s="8">
        <f t="shared" si="127"/>
        <v>119363.85</v>
      </c>
      <c r="I711">
        <v>6905070</v>
      </c>
    </row>
    <row r="712" spans="1:9" ht="18" customHeight="1" x14ac:dyDescent="0.4">
      <c r="A712" s="4" t="s">
        <v>787</v>
      </c>
      <c r="B712" s="5" t="s">
        <v>688</v>
      </c>
      <c r="C712" s="6">
        <v>1491.95</v>
      </c>
      <c r="D712" s="7">
        <v>75</v>
      </c>
      <c r="E712" s="8">
        <f t="shared" si="125"/>
        <v>111896.25</v>
      </c>
      <c r="F712" s="8">
        <f t="shared" si="126"/>
        <v>7832.7375000000011</v>
      </c>
      <c r="G712" s="8">
        <f t="shared" si="127"/>
        <v>119728.9875</v>
      </c>
      <c r="I712">
        <v>6905069</v>
      </c>
    </row>
    <row r="713" spans="1:9" ht="18" customHeight="1" x14ac:dyDescent="0.4">
      <c r="A713" s="4" t="s">
        <v>787</v>
      </c>
      <c r="B713" s="5" t="s">
        <v>688</v>
      </c>
      <c r="C713" s="6">
        <v>2996.1</v>
      </c>
      <c r="D713" s="7">
        <v>75</v>
      </c>
      <c r="E713" s="8">
        <f t="shared" si="125"/>
        <v>224707.5</v>
      </c>
      <c r="F713" s="8">
        <f t="shared" si="126"/>
        <v>15729.525000000001</v>
      </c>
      <c r="G713" s="8">
        <f t="shared" si="127"/>
        <v>240437.02499999999</v>
      </c>
      <c r="I713">
        <v>6905068</v>
      </c>
    </row>
    <row r="714" spans="1:9" ht="18" customHeight="1" x14ac:dyDescent="0.4">
      <c r="A714" s="4" t="s">
        <v>787</v>
      </c>
      <c r="B714" s="5" t="s">
        <v>688</v>
      </c>
      <c r="C714" s="6">
        <v>1499.1</v>
      </c>
      <c r="D714" s="7">
        <v>75</v>
      </c>
      <c r="E714" s="8">
        <f t="shared" si="125"/>
        <v>112432.5</v>
      </c>
      <c r="F714" s="8">
        <f t="shared" si="126"/>
        <v>7870.2750000000005</v>
      </c>
      <c r="G714" s="8">
        <f t="shared" si="127"/>
        <v>120302.77499999999</v>
      </c>
      <c r="I714">
        <v>6905067</v>
      </c>
    </row>
    <row r="715" spans="1:9" ht="18" customHeight="1" x14ac:dyDescent="0.4">
      <c r="A715" s="4" t="s">
        <v>787</v>
      </c>
      <c r="B715" s="5" t="s">
        <v>688</v>
      </c>
      <c r="C715" s="6">
        <v>1490.15</v>
      </c>
      <c r="D715" s="7">
        <v>75</v>
      </c>
      <c r="E715" s="8">
        <f t="shared" si="125"/>
        <v>111761.25</v>
      </c>
      <c r="F715" s="8">
        <f t="shared" si="126"/>
        <v>7823.2875000000004</v>
      </c>
      <c r="G715" s="8">
        <f t="shared" si="127"/>
        <v>119584.53750000001</v>
      </c>
      <c r="I715">
        <v>6905066</v>
      </c>
    </row>
    <row r="716" spans="1:9" ht="18" customHeight="1" x14ac:dyDescent="0.4">
      <c r="A716" s="4" t="s">
        <v>787</v>
      </c>
      <c r="B716" s="5" t="s">
        <v>10</v>
      </c>
      <c r="C716" s="9">
        <v>4793.6000000000004</v>
      </c>
      <c r="D716" s="10">
        <v>75</v>
      </c>
      <c r="E716" s="8">
        <f t="shared" ref="E716:E721" si="128">+C716*D716</f>
        <v>359520</v>
      </c>
      <c r="F716" s="8">
        <f t="shared" ref="F716:F721" si="129">+E716*7%</f>
        <v>25166.400000000001</v>
      </c>
      <c r="G716" s="8">
        <f t="shared" ref="G716:G721" si="130">+E716+F716</f>
        <v>384686.4</v>
      </c>
      <c r="I716">
        <v>6905065</v>
      </c>
    </row>
    <row r="717" spans="1:9" ht="18" customHeight="1" x14ac:dyDescent="0.4">
      <c r="A717" s="4" t="s">
        <v>787</v>
      </c>
      <c r="B717" s="5" t="s">
        <v>10</v>
      </c>
      <c r="C717" s="6">
        <v>4786.26</v>
      </c>
      <c r="D717" s="7">
        <v>75</v>
      </c>
      <c r="E717" s="8">
        <f t="shared" si="128"/>
        <v>358969.5</v>
      </c>
      <c r="F717" s="8">
        <f t="shared" si="129"/>
        <v>25127.865000000002</v>
      </c>
      <c r="G717" s="8">
        <f t="shared" si="130"/>
        <v>384097.36499999999</v>
      </c>
      <c r="I717">
        <v>6905064</v>
      </c>
    </row>
    <row r="718" spans="1:9" ht="18" customHeight="1" x14ac:dyDescent="0.4">
      <c r="A718" s="4" t="s">
        <v>787</v>
      </c>
      <c r="B718" s="5" t="s">
        <v>10</v>
      </c>
      <c r="C718" s="6">
        <v>4790.1899999999996</v>
      </c>
      <c r="D718" s="7">
        <v>75</v>
      </c>
      <c r="E718" s="8">
        <f t="shared" si="128"/>
        <v>359264.24999999994</v>
      </c>
      <c r="F718" s="8">
        <f t="shared" si="129"/>
        <v>25148.497499999998</v>
      </c>
      <c r="G718" s="8">
        <f t="shared" si="130"/>
        <v>384412.74749999994</v>
      </c>
      <c r="I718">
        <v>6905063</v>
      </c>
    </row>
    <row r="719" spans="1:9" ht="18" customHeight="1" x14ac:dyDescent="0.4">
      <c r="A719" s="4" t="s">
        <v>787</v>
      </c>
      <c r="B719" s="5" t="s">
        <v>10</v>
      </c>
      <c r="C719" s="6">
        <v>4783.0200000000004</v>
      </c>
      <c r="D719" s="7">
        <v>75</v>
      </c>
      <c r="E719" s="8">
        <f t="shared" si="128"/>
        <v>358726.50000000006</v>
      </c>
      <c r="F719" s="8">
        <f t="shared" si="129"/>
        <v>25110.855000000007</v>
      </c>
      <c r="G719" s="8">
        <f t="shared" si="130"/>
        <v>383837.35500000004</v>
      </c>
      <c r="I719">
        <v>6905062</v>
      </c>
    </row>
    <row r="720" spans="1:9" ht="18" customHeight="1" x14ac:dyDescent="0.4">
      <c r="A720" s="4" t="s">
        <v>787</v>
      </c>
      <c r="B720" s="5" t="s">
        <v>10</v>
      </c>
      <c r="C720" s="6">
        <v>4795.8100000000004</v>
      </c>
      <c r="D720" s="7">
        <v>75</v>
      </c>
      <c r="E720" s="8">
        <f t="shared" si="128"/>
        <v>359685.75000000006</v>
      </c>
      <c r="F720" s="8">
        <f t="shared" si="129"/>
        <v>25178.002500000006</v>
      </c>
      <c r="G720" s="8">
        <f t="shared" si="130"/>
        <v>384863.75250000006</v>
      </c>
      <c r="I720">
        <v>6905061</v>
      </c>
    </row>
    <row r="721" spans="1:9" ht="18" customHeight="1" x14ac:dyDescent="0.4">
      <c r="A721" s="4" t="s">
        <v>787</v>
      </c>
      <c r="B721" s="5" t="s">
        <v>10</v>
      </c>
      <c r="C721" s="6">
        <v>4785.3599999999997</v>
      </c>
      <c r="D721" s="7">
        <v>75</v>
      </c>
      <c r="E721" s="8">
        <f t="shared" si="128"/>
        <v>358902</v>
      </c>
      <c r="F721" s="8">
        <f t="shared" si="129"/>
        <v>25123.140000000003</v>
      </c>
      <c r="G721" s="8">
        <f t="shared" si="130"/>
        <v>384025.14</v>
      </c>
      <c r="I721">
        <v>6905060</v>
      </c>
    </row>
    <row r="722" spans="1:9" ht="18" customHeight="1" thickBot="1" x14ac:dyDescent="0.45">
      <c r="A722" s="16"/>
      <c r="B722" s="17" t="s">
        <v>15</v>
      </c>
      <c r="C722" s="18">
        <f>SUM(C709:C721)</f>
        <v>39198.74</v>
      </c>
      <c r="D722" s="19"/>
      <c r="E722" s="20">
        <f>SUM(E709:E721)</f>
        <v>2939905.5</v>
      </c>
      <c r="F722" s="20">
        <f>SUM(F709:F721)</f>
        <v>205793.38500000001</v>
      </c>
      <c r="G722" s="20">
        <f>SUM(G709:G721)</f>
        <v>3145698.8849999998</v>
      </c>
    </row>
    <row r="723" spans="1:9" ht="18.75" customHeight="1" thickTop="1" x14ac:dyDescent="0.4">
      <c r="A723" s="21"/>
      <c r="B723" s="22"/>
      <c r="C723" s="23"/>
      <c r="D723" s="24"/>
      <c r="E723" s="23"/>
      <c r="F723" s="25"/>
      <c r="G723" s="23"/>
    </row>
  </sheetData>
  <mergeCells count="58">
    <mergeCell ref="A1:G1"/>
    <mergeCell ref="A2:G2"/>
    <mergeCell ref="A53:G53"/>
    <mergeCell ref="A94:G94"/>
    <mergeCell ref="A110:G110"/>
    <mergeCell ref="A220:G220"/>
    <mergeCell ref="A283:G283"/>
    <mergeCell ref="A291:G291"/>
    <mergeCell ref="A296:G296"/>
    <mergeCell ref="A126:G126"/>
    <mergeCell ref="A131:G131"/>
    <mergeCell ref="A156:G156"/>
    <mergeCell ref="A420:G420"/>
    <mergeCell ref="A307:G307"/>
    <mergeCell ref="A312:G312"/>
    <mergeCell ref="A318:G318"/>
    <mergeCell ref="A330:G330"/>
    <mergeCell ref="A335:G335"/>
    <mergeCell ref="A342:G342"/>
    <mergeCell ref="A351:G351"/>
    <mergeCell ref="A356:G356"/>
    <mergeCell ref="A361:G361"/>
    <mergeCell ref="A386:G386"/>
    <mergeCell ref="A415:G415"/>
    <mergeCell ref="A447:G447"/>
    <mergeCell ref="A457:G457"/>
    <mergeCell ref="A486:G486"/>
    <mergeCell ref="A499:G499"/>
    <mergeCell ref="A431:G431"/>
    <mergeCell ref="A436:G436"/>
    <mergeCell ref="A522:G522"/>
    <mergeCell ref="A528:G528"/>
    <mergeCell ref="A553:G553"/>
    <mergeCell ref="A493:G493"/>
    <mergeCell ref="A508:G508"/>
    <mergeCell ref="A513:G513"/>
    <mergeCell ref="A593:G593"/>
    <mergeCell ref="A580:G580"/>
    <mergeCell ref="A587:G587"/>
    <mergeCell ref="A562:G562"/>
    <mergeCell ref="A568:G568"/>
    <mergeCell ref="A574:G574"/>
    <mergeCell ref="A619:G619"/>
    <mergeCell ref="A628:G628"/>
    <mergeCell ref="A602:G602"/>
    <mergeCell ref="A607:G607"/>
    <mergeCell ref="A612:G612"/>
    <mergeCell ref="A661:G661"/>
    <mergeCell ref="A648:G648"/>
    <mergeCell ref="A655:G655"/>
    <mergeCell ref="A634:G634"/>
    <mergeCell ref="A641:G641"/>
    <mergeCell ref="A684:G684"/>
    <mergeCell ref="A689:G689"/>
    <mergeCell ref="A696:G696"/>
    <mergeCell ref="A707:G707"/>
    <mergeCell ref="A668:G668"/>
    <mergeCell ref="A677:G677"/>
  </mergeCells>
  <pageMargins left="0.35" right="0.25" top="0.5" bottom="0.49" header="0.3" footer="0.3"/>
  <pageSetup paperSize="9" orientation="portrait" horizontalDpi="0" verticalDpi="0" r:id="rId1"/>
  <headerFooter>
    <oddHeader>&amp;C&amp;"Angsana New,Regular"&amp;P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C3CF-308B-4746-8127-177837D0B9E1}">
  <sheetPr>
    <pageSetUpPr fitToPage="1"/>
  </sheetPr>
  <dimension ref="A1:AI91"/>
  <sheetViews>
    <sheetView tabSelected="1" zoomScale="80" zoomScaleNormal="80" workbookViewId="0">
      <selection activeCell="T18" sqref="T18"/>
    </sheetView>
  </sheetViews>
  <sheetFormatPr defaultColWidth="7.875" defaultRowHeight="23.25" x14ac:dyDescent="0.5"/>
  <cols>
    <col min="1" max="1" width="5.625" style="263" customWidth="1"/>
    <col min="2" max="2" width="23.25" style="225" customWidth="1"/>
    <col min="3" max="4" width="12.125" style="225" customWidth="1"/>
    <col min="5" max="5" width="10.75" style="225" customWidth="1"/>
    <col min="6" max="6" width="12" style="223" customWidth="1"/>
    <col min="7" max="7" width="9" style="264" customWidth="1"/>
    <col min="8" max="8" width="12.375" style="225" customWidth="1"/>
    <col min="9" max="9" width="14.25" style="225" customWidth="1"/>
    <col min="10" max="10" width="10.5" style="223" customWidth="1"/>
    <col min="11" max="11" width="10" style="224" customWidth="1"/>
    <col min="12" max="12" width="7.5" style="225" customWidth="1"/>
    <col min="13" max="13" width="24.5" style="225" customWidth="1"/>
    <col min="14" max="14" width="9.75" style="225" customWidth="1"/>
    <col min="15" max="19" width="11" style="225" customWidth="1"/>
    <col min="20" max="20" width="12.25" style="225" customWidth="1"/>
    <col min="21" max="21" width="7.875" style="225" customWidth="1"/>
    <col min="22" max="22" width="7.5" style="225" customWidth="1"/>
    <col min="23" max="23" width="24.5" style="225" customWidth="1"/>
    <col min="24" max="24" width="12.875" style="225" customWidth="1"/>
    <col min="25" max="25" width="11" style="225" customWidth="1"/>
    <col min="26" max="26" width="12.125" style="225" customWidth="1"/>
    <col min="27" max="27" width="7.375" style="225" customWidth="1"/>
    <col min="28" max="28" width="7.75" style="225" customWidth="1"/>
    <col min="29" max="29" width="22.75" style="225" customWidth="1"/>
    <col min="30" max="30" width="10.625" style="225" customWidth="1"/>
    <col min="31" max="31" width="11.125" style="252" customWidth="1"/>
    <col min="32" max="32" width="10.375" style="225" customWidth="1"/>
    <col min="33" max="33" width="10.875" style="225" customWidth="1"/>
    <col min="34" max="34" width="9.125" style="225" customWidth="1"/>
    <col min="35" max="35" width="8.875" style="225" customWidth="1"/>
    <col min="36" max="16384" width="7.875" style="225"/>
  </cols>
  <sheetData>
    <row r="1" spans="1:34" ht="42" customHeight="1" x14ac:dyDescent="0.6">
      <c r="A1" s="368" t="s">
        <v>851</v>
      </c>
      <c r="B1" s="368"/>
      <c r="C1" s="368"/>
      <c r="D1" s="368"/>
      <c r="E1" s="368"/>
      <c r="F1" s="368"/>
      <c r="G1" s="368"/>
      <c r="H1" s="368"/>
      <c r="I1" s="368"/>
      <c r="L1" s="369" t="s">
        <v>850</v>
      </c>
      <c r="M1" s="369"/>
      <c r="N1" s="369"/>
      <c r="O1" s="369"/>
      <c r="P1" s="369"/>
      <c r="Q1" s="369"/>
      <c r="R1" s="369"/>
      <c r="S1" s="369"/>
      <c r="T1" s="369"/>
      <c r="V1" s="369" t="s">
        <v>849</v>
      </c>
      <c r="W1" s="369"/>
      <c r="X1" s="369"/>
      <c r="Y1" s="369"/>
      <c r="Z1" s="369"/>
      <c r="AB1" s="370" t="s">
        <v>848</v>
      </c>
      <c r="AC1" s="370"/>
      <c r="AD1" s="370"/>
      <c r="AE1" s="370"/>
      <c r="AF1" s="370"/>
      <c r="AG1" s="370"/>
      <c r="AH1" s="226"/>
    </row>
    <row r="2" spans="1:34" s="233" customFormat="1" ht="46.5" x14ac:dyDescent="0.5">
      <c r="A2" s="227" t="s">
        <v>377</v>
      </c>
      <c r="B2" s="227" t="s">
        <v>378</v>
      </c>
      <c r="C2" s="228" t="s">
        <v>379</v>
      </c>
      <c r="D2" s="228" t="s">
        <v>380</v>
      </c>
      <c r="E2" s="228" t="s">
        <v>381</v>
      </c>
      <c r="F2" s="229" t="s">
        <v>382</v>
      </c>
      <c r="G2" s="230" t="s">
        <v>383</v>
      </c>
      <c r="H2" s="228" t="s">
        <v>384</v>
      </c>
      <c r="I2" s="227" t="s">
        <v>385</v>
      </c>
      <c r="J2" s="231"/>
      <c r="K2" s="232"/>
      <c r="L2" s="227" t="s">
        <v>377</v>
      </c>
      <c r="M2" s="227" t="s">
        <v>378</v>
      </c>
      <c r="N2" s="227" t="s">
        <v>386</v>
      </c>
      <c r="O2" s="227" t="s">
        <v>387</v>
      </c>
      <c r="P2" s="227" t="s">
        <v>388</v>
      </c>
      <c r="Q2" s="227" t="s">
        <v>389</v>
      </c>
      <c r="R2" s="227" t="s">
        <v>681</v>
      </c>
      <c r="S2" s="227" t="s">
        <v>390</v>
      </c>
      <c r="T2" s="227" t="s">
        <v>391</v>
      </c>
      <c r="V2" s="227" t="s">
        <v>377</v>
      </c>
      <c r="W2" s="227" t="s">
        <v>378</v>
      </c>
      <c r="X2" s="227" t="s">
        <v>392</v>
      </c>
      <c r="Y2" s="227" t="s">
        <v>393</v>
      </c>
      <c r="Z2" s="227" t="s">
        <v>391</v>
      </c>
      <c r="AA2" s="234"/>
      <c r="AB2" s="227" t="s">
        <v>377</v>
      </c>
      <c r="AC2" s="227" t="s">
        <v>378</v>
      </c>
      <c r="AD2" s="227" t="s">
        <v>394</v>
      </c>
      <c r="AE2" s="235" t="s">
        <v>395</v>
      </c>
      <c r="AF2" s="228" t="s">
        <v>396</v>
      </c>
      <c r="AG2" s="227" t="s">
        <v>391</v>
      </c>
      <c r="AH2" s="225"/>
    </row>
    <row r="3" spans="1:34" x14ac:dyDescent="0.5">
      <c r="A3" s="236">
        <v>1</v>
      </c>
      <c r="B3" s="219" t="s">
        <v>332</v>
      </c>
      <c r="C3" s="237">
        <v>181757.49</v>
      </c>
      <c r="D3" s="237">
        <v>0</v>
      </c>
      <c r="E3" s="237">
        <v>0</v>
      </c>
      <c r="F3" s="238">
        <v>0</v>
      </c>
      <c r="G3" s="239">
        <v>0</v>
      </c>
      <c r="H3" s="240">
        <f>+C3+D3+E3+F3+G3</f>
        <v>181757.49</v>
      </c>
      <c r="I3" s="220"/>
      <c r="J3" s="241">
        <f>+H3*100/H49</f>
        <v>28.137594119208682</v>
      </c>
      <c r="L3" s="236">
        <v>1</v>
      </c>
      <c r="M3" s="219" t="s">
        <v>333</v>
      </c>
      <c r="N3" s="242">
        <v>0</v>
      </c>
      <c r="O3" s="237">
        <v>2976.61</v>
      </c>
      <c r="P3" s="242">
        <v>0</v>
      </c>
      <c r="Q3" s="242">
        <v>0</v>
      </c>
      <c r="R3" s="242">
        <v>0</v>
      </c>
      <c r="S3" s="242">
        <v>0</v>
      </c>
      <c r="T3" s="242">
        <f>N3+O3+P3+Q3+R3+S3</f>
        <v>2976.61</v>
      </c>
      <c r="U3" s="241">
        <f>+T3*100/T9</f>
        <v>4.1950028531729977</v>
      </c>
      <c r="V3" s="236">
        <v>1</v>
      </c>
      <c r="W3" s="219" t="s">
        <v>333</v>
      </c>
      <c r="X3" s="237">
        <v>2976.61</v>
      </c>
      <c r="Y3" s="242">
        <v>0</v>
      </c>
      <c r="Z3" s="242">
        <f>+X3+Y3</f>
        <v>2976.61</v>
      </c>
      <c r="AA3" s="243"/>
      <c r="AB3" s="236">
        <v>1</v>
      </c>
      <c r="AC3" s="219" t="s">
        <v>339</v>
      </c>
      <c r="AD3" s="237">
        <v>8349.98</v>
      </c>
      <c r="AE3" s="244">
        <v>46100</v>
      </c>
      <c r="AF3" s="245">
        <v>0</v>
      </c>
      <c r="AG3" s="242">
        <f>+AD3+AF3</f>
        <v>8349.98</v>
      </c>
    </row>
    <row r="4" spans="1:34" x14ac:dyDescent="0.5">
      <c r="A4" s="236">
        <v>2</v>
      </c>
      <c r="B4" s="219" t="s">
        <v>333</v>
      </c>
      <c r="C4" s="237">
        <v>159990.76</v>
      </c>
      <c r="D4" s="237">
        <v>2976.61</v>
      </c>
      <c r="E4" s="237">
        <v>0</v>
      </c>
      <c r="F4" s="238">
        <v>0</v>
      </c>
      <c r="G4" s="239">
        <v>0</v>
      </c>
      <c r="H4" s="240">
        <f t="shared" ref="H4:H48" si="0">+C4+D4+E4+F4+G4</f>
        <v>162967.37</v>
      </c>
      <c r="I4" s="337" t="s">
        <v>392</v>
      </c>
      <c r="J4" s="246">
        <f>+H4*100/H49</f>
        <v>25.22872488905357</v>
      </c>
      <c r="L4" s="236">
        <v>2</v>
      </c>
      <c r="M4" s="219" t="s">
        <v>336</v>
      </c>
      <c r="N4" s="242">
        <v>615.15</v>
      </c>
      <c r="O4" s="242">
        <v>42710.19</v>
      </c>
      <c r="P4" s="242">
        <v>0</v>
      </c>
      <c r="Q4" s="242">
        <v>0</v>
      </c>
      <c r="R4" s="242">
        <v>0</v>
      </c>
      <c r="S4" s="242">
        <v>0</v>
      </c>
      <c r="T4" s="242">
        <f t="shared" ref="T4:T11" si="1">N4+O4+P4+Q4+R4+S4</f>
        <v>43325.340000000004</v>
      </c>
      <c r="U4" s="241">
        <f>+T4*100/T9</f>
        <v>61.059367842844779</v>
      </c>
      <c r="V4" s="236">
        <v>2</v>
      </c>
      <c r="W4" s="219" t="s">
        <v>336</v>
      </c>
      <c r="X4" s="242">
        <v>43325.340000000004</v>
      </c>
      <c r="Y4" s="242">
        <v>0</v>
      </c>
      <c r="Z4" s="242">
        <f t="shared" ref="Z4:Z10" si="2">+X4+Y4</f>
        <v>43325.340000000004</v>
      </c>
      <c r="AA4" s="243"/>
      <c r="AB4" s="236">
        <v>2</v>
      </c>
      <c r="AC4" s="219" t="s">
        <v>349</v>
      </c>
      <c r="AD4" s="237">
        <v>1551.2</v>
      </c>
      <c r="AE4" s="244">
        <v>1400</v>
      </c>
      <c r="AF4" s="245">
        <v>0</v>
      </c>
      <c r="AG4" s="242">
        <f>+AD4+AF4</f>
        <v>1551.2</v>
      </c>
    </row>
    <row r="5" spans="1:34" x14ac:dyDescent="0.5">
      <c r="A5" s="236">
        <v>3</v>
      </c>
      <c r="B5" s="219" t="s">
        <v>335</v>
      </c>
      <c r="C5" s="237">
        <v>58257.700000000004</v>
      </c>
      <c r="D5" s="237">
        <v>0</v>
      </c>
      <c r="E5" s="237">
        <v>0</v>
      </c>
      <c r="F5" s="238">
        <v>0</v>
      </c>
      <c r="G5" s="239">
        <v>0</v>
      </c>
      <c r="H5" s="240">
        <f t="shared" si="0"/>
        <v>58257.700000000004</v>
      </c>
      <c r="I5" s="220"/>
      <c r="J5" s="246">
        <f>+H5*100/H49</f>
        <v>9.0187838581982156</v>
      </c>
      <c r="L5" s="236">
        <v>3</v>
      </c>
      <c r="M5" s="219" t="s">
        <v>340</v>
      </c>
      <c r="N5" s="242">
        <v>0</v>
      </c>
      <c r="O5" s="242">
        <v>12471.69</v>
      </c>
      <c r="P5" s="242">
        <v>0</v>
      </c>
      <c r="Q5" s="242">
        <v>0</v>
      </c>
      <c r="R5" s="242">
        <v>0</v>
      </c>
      <c r="S5" s="242">
        <v>0</v>
      </c>
      <c r="T5" s="242">
        <f t="shared" si="1"/>
        <v>12471.69</v>
      </c>
      <c r="U5" s="241">
        <f>+T5*100/T9</f>
        <v>17.576630843103107</v>
      </c>
      <c r="V5" s="236">
        <v>3</v>
      </c>
      <c r="W5" s="219" t="s">
        <v>340</v>
      </c>
      <c r="X5" s="242">
        <v>12471.69</v>
      </c>
      <c r="Y5" s="242">
        <v>0</v>
      </c>
      <c r="Z5" s="242">
        <f t="shared" si="2"/>
        <v>12471.69</v>
      </c>
      <c r="AA5" s="243"/>
      <c r="AB5" s="236">
        <v>3</v>
      </c>
      <c r="AC5" s="219" t="s">
        <v>569</v>
      </c>
      <c r="AD5" s="237">
        <v>825</v>
      </c>
      <c r="AE5" s="244">
        <v>5000</v>
      </c>
      <c r="AF5" s="245">
        <v>0</v>
      </c>
      <c r="AG5" s="242">
        <f t="shared" ref="AG5:AG8" si="3">+AD5+AF5</f>
        <v>825</v>
      </c>
    </row>
    <row r="6" spans="1:34" x14ac:dyDescent="0.5">
      <c r="A6" s="236">
        <v>4</v>
      </c>
      <c r="B6" s="219" t="s">
        <v>334</v>
      </c>
      <c r="C6" s="237">
        <v>50830.610000000008</v>
      </c>
      <c r="D6" s="237">
        <v>0</v>
      </c>
      <c r="E6" s="237">
        <v>0</v>
      </c>
      <c r="F6" s="238">
        <v>0</v>
      </c>
      <c r="G6" s="239">
        <v>0</v>
      </c>
      <c r="H6" s="240">
        <f t="shared" si="0"/>
        <v>50830.610000000008</v>
      </c>
      <c r="I6" s="220"/>
      <c r="J6" s="246">
        <f>+H6*100/H49</f>
        <v>7.8690076156519888</v>
      </c>
      <c r="L6" s="236">
        <v>4</v>
      </c>
      <c r="M6" s="219" t="s">
        <v>337</v>
      </c>
      <c r="N6" s="242">
        <v>0</v>
      </c>
      <c r="O6" s="237">
        <v>7864.15</v>
      </c>
      <c r="P6" s="242">
        <v>0</v>
      </c>
      <c r="Q6" s="242">
        <v>0</v>
      </c>
      <c r="R6" s="242">
        <v>0</v>
      </c>
      <c r="S6" s="242">
        <v>0</v>
      </c>
      <c r="T6" s="242">
        <f t="shared" si="1"/>
        <v>7864.15</v>
      </c>
      <c r="U6" s="241">
        <f>+T6*100/T9</f>
        <v>11.083121970221303</v>
      </c>
      <c r="V6" s="236">
        <v>4</v>
      </c>
      <c r="W6" s="219" t="s">
        <v>337</v>
      </c>
      <c r="X6" s="237">
        <v>7864.15</v>
      </c>
      <c r="Y6" s="242">
        <v>0</v>
      </c>
      <c r="Z6" s="242">
        <f t="shared" si="2"/>
        <v>7864.15</v>
      </c>
      <c r="AA6" s="243"/>
      <c r="AB6" s="236">
        <v>4</v>
      </c>
      <c r="AC6" s="219" t="s">
        <v>360</v>
      </c>
      <c r="AD6" s="237">
        <v>502.29999999999995</v>
      </c>
      <c r="AE6" s="244">
        <v>1000</v>
      </c>
      <c r="AF6" s="245">
        <v>0</v>
      </c>
      <c r="AG6" s="242">
        <f t="shared" si="3"/>
        <v>502.29999999999995</v>
      </c>
    </row>
    <row r="7" spans="1:34" x14ac:dyDescent="0.5">
      <c r="A7" s="236">
        <v>5</v>
      </c>
      <c r="B7" s="219" t="s">
        <v>336</v>
      </c>
      <c r="C7" s="237">
        <v>4930.07</v>
      </c>
      <c r="D7" s="237">
        <v>43325.34</v>
      </c>
      <c r="E7" s="237">
        <v>0</v>
      </c>
      <c r="F7" s="238">
        <v>0</v>
      </c>
      <c r="G7" s="239">
        <v>0</v>
      </c>
      <c r="H7" s="240">
        <f t="shared" si="0"/>
        <v>48255.409999999996</v>
      </c>
      <c r="I7" s="337" t="s">
        <v>392</v>
      </c>
      <c r="J7" s="246">
        <f>+H7*100/H49</f>
        <v>7.470344911981365</v>
      </c>
      <c r="L7" s="236">
        <v>5</v>
      </c>
      <c r="M7" s="219" t="s">
        <v>344</v>
      </c>
      <c r="N7" s="242">
        <v>0</v>
      </c>
      <c r="O7" s="237">
        <v>2236.9</v>
      </c>
      <c r="P7" s="242">
        <v>0</v>
      </c>
      <c r="Q7" s="242">
        <v>0</v>
      </c>
      <c r="R7" s="242">
        <v>0</v>
      </c>
      <c r="S7" s="242">
        <v>0</v>
      </c>
      <c r="T7" s="242">
        <f t="shared" si="1"/>
        <v>2236.9</v>
      </c>
      <c r="U7" s="241">
        <f>+T7*100/T9</f>
        <v>3.1525130542001398</v>
      </c>
      <c r="V7" s="236">
        <v>5</v>
      </c>
      <c r="W7" s="219" t="s">
        <v>344</v>
      </c>
      <c r="X7" s="237">
        <v>2236.9</v>
      </c>
      <c r="Y7" s="242">
        <v>0</v>
      </c>
      <c r="Z7" s="242">
        <f t="shared" si="2"/>
        <v>2236.9</v>
      </c>
      <c r="AA7" s="243"/>
      <c r="AB7" s="236">
        <v>5</v>
      </c>
      <c r="AC7" s="219" t="s">
        <v>574</v>
      </c>
      <c r="AD7" s="237">
        <v>320</v>
      </c>
      <c r="AE7" s="244">
        <v>800</v>
      </c>
      <c r="AF7" s="245">
        <v>0</v>
      </c>
      <c r="AG7" s="242">
        <f t="shared" si="3"/>
        <v>320</v>
      </c>
    </row>
    <row r="8" spans="1:34" ht="24" thickBot="1" x14ac:dyDescent="0.55000000000000004">
      <c r="A8" s="236">
        <v>6</v>
      </c>
      <c r="B8" s="221" t="s">
        <v>338</v>
      </c>
      <c r="C8" s="237">
        <v>26641.15</v>
      </c>
      <c r="D8" s="237">
        <v>0</v>
      </c>
      <c r="E8" s="237">
        <v>0</v>
      </c>
      <c r="F8" s="238">
        <v>0</v>
      </c>
      <c r="G8" s="239">
        <v>0</v>
      </c>
      <c r="H8" s="240">
        <f t="shared" si="0"/>
        <v>26641.15</v>
      </c>
      <c r="I8" s="337"/>
      <c r="J8" s="246">
        <f>+H8*100/H49</f>
        <v>4.1242749642336962</v>
      </c>
      <c r="L8" s="236">
        <v>6</v>
      </c>
      <c r="M8" s="219" t="s">
        <v>667</v>
      </c>
      <c r="N8" s="242">
        <v>0</v>
      </c>
      <c r="O8" s="242">
        <v>2081.4</v>
      </c>
      <c r="P8" s="242">
        <v>0</v>
      </c>
      <c r="Q8" s="242">
        <v>0</v>
      </c>
      <c r="R8" s="242">
        <v>0</v>
      </c>
      <c r="S8" s="242">
        <v>0</v>
      </c>
      <c r="T8" s="242">
        <f t="shared" si="1"/>
        <v>2081.4</v>
      </c>
      <c r="U8" s="241">
        <f>+T8*100/T9</f>
        <v>2.9333634364576744</v>
      </c>
      <c r="V8" s="236">
        <v>6</v>
      </c>
      <c r="W8" s="219" t="s">
        <v>667</v>
      </c>
      <c r="X8" s="242">
        <v>2081.4</v>
      </c>
      <c r="Y8" s="242">
        <v>0</v>
      </c>
      <c r="Z8" s="242">
        <f t="shared" si="2"/>
        <v>2081.4</v>
      </c>
      <c r="AA8" s="243"/>
      <c r="AB8" s="247"/>
      <c r="AC8" s="248" t="s">
        <v>397</v>
      </c>
      <c r="AD8" s="249">
        <f>SUM(AD3:AD7)</f>
        <v>11548.48</v>
      </c>
      <c r="AE8" s="250">
        <f>SUM(AE3:AE7)</f>
        <v>54300</v>
      </c>
      <c r="AF8" s="251">
        <f>SUM(AF3:AF7)</f>
        <v>0</v>
      </c>
      <c r="AG8" s="251">
        <f>SUM(AG3:AG7)</f>
        <v>11548.48</v>
      </c>
    </row>
    <row r="9" spans="1:34" ht="24.75" thickTop="1" thickBot="1" x14ac:dyDescent="0.55000000000000004">
      <c r="A9" s="236">
        <v>7</v>
      </c>
      <c r="B9" s="219" t="s">
        <v>342</v>
      </c>
      <c r="C9" s="237">
        <v>18313.05</v>
      </c>
      <c r="D9" s="237">
        <v>0</v>
      </c>
      <c r="E9" s="237">
        <v>0</v>
      </c>
      <c r="F9" s="238">
        <v>0</v>
      </c>
      <c r="G9" s="239">
        <v>0</v>
      </c>
      <c r="H9" s="240">
        <f t="shared" si="0"/>
        <v>18313.05</v>
      </c>
      <c r="I9" s="337"/>
      <c r="J9" s="246">
        <f>+H9*100/H49</f>
        <v>2.8350147660202314</v>
      </c>
      <c r="L9" s="254"/>
      <c r="M9" s="255" t="s">
        <v>397</v>
      </c>
      <c r="N9" s="256">
        <f>SUM(N3:N8)</f>
        <v>615.15</v>
      </c>
      <c r="O9" s="256">
        <f>SUM(O3:O8)</f>
        <v>70340.939999999988</v>
      </c>
      <c r="P9" s="256">
        <f>SUM(P3:P8)</f>
        <v>0</v>
      </c>
      <c r="Q9" s="256">
        <f>SUM(Q3:Q8)</f>
        <v>0</v>
      </c>
      <c r="R9" s="256">
        <f>SUM(R3:R8)</f>
        <v>0</v>
      </c>
      <c r="S9" s="256">
        <f>SUM(S3:S8)</f>
        <v>0</v>
      </c>
      <c r="T9" s="256">
        <f>SUM(T3:T8)</f>
        <v>70956.09</v>
      </c>
      <c r="U9" s="241"/>
      <c r="V9" s="254"/>
      <c r="W9" s="255" t="s">
        <v>397</v>
      </c>
      <c r="X9" s="256">
        <f>SUM(X3:X8)</f>
        <v>70956.09</v>
      </c>
      <c r="Y9" s="256">
        <f>SUM(Y3:Y8)</f>
        <v>0</v>
      </c>
      <c r="Z9" s="256">
        <f>SUM(Z3:Z8)</f>
        <v>70956.09</v>
      </c>
    </row>
    <row r="10" spans="1:34" ht="24" thickTop="1" x14ac:dyDescent="0.5">
      <c r="A10" s="236">
        <v>8</v>
      </c>
      <c r="B10" s="219" t="s">
        <v>340</v>
      </c>
      <c r="C10" s="237">
        <v>0</v>
      </c>
      <c r="D10" s="237">
        <v>12471.69</v>
      </c>
      <c r="E10" s="237">
        <v>0</v>
      </c>
      <c r="F10" s="238">
        <v>0</v>
      </c>
      <c r="G10" s="239">
        <v>0</v>
      </c>
      <c r="H10" s="240">
        <f t="shared" si="0"/>
        <v>12471.69</v>
      </c>
      <c r="I10" s="337" t="s">
        <v>392</v>
      </c>
      <c r="J10" s="246">
        <f>+H10*100/H49</f>
        <v>1.9307229165664299</v>
      </c>
      <c r="U10" s="241"/>
    </row>
    <row r="11" spans="1:34" x14ac:dyDescent="0.5">
      <c r="A11" s="236">
        <v>9</v>
      </c>
      <c r="B11" s="219" t="s">
        <v>337</v>
      </c>
      <c r="C11" s="237">
        <v>3986.4</v>
      </c>
      <c r="D11" s="237">
        <v>7864.15</v>
      </c>
      <c r="E11" s="237">
        <v>0</v>
      </c>
      <c r="F11" s="238">
        <v>0</v>
      </c>
      <c r="G11" s="239">
        <v>0</v>
      </c>
      <c r="H11" s="240">
        <f t="shared" si="0"/>
        <v>11850.55</v>
      </c>
      <c r="I11" s="337" t="s">
        <v>392</v>
      </c>
      <c r="J11" s="246">
        <f>+H11*100/H49</f>
        <v>1.8345651999782151</v>
      </c>
      <c r="N11" s="259">
        <f>+N9*100/T9</f>
        <v>0.86694461321078997</v>
      </c>
      <c r="O11" s="259">
        <f>+O9*100/T9</f>
        <v>99.133055386789195</v>
      </c>
      <c r="P11" s="259">
        <f>+P9*100/T9</f>
        <v>0</v>
      </c>
      <c r="Q11" s="259">
        <f>+Q9*100/T9</f>
        <v>0</v>
      </c>
      <c r="R11" s="259">
        <f>+R9*100/T9</f>
        <v>0</v>
      </c>
      <c r="S11" s="259">
        <f>+S9*100/T9</f>
        <v>0</v>
      </c>
      <c r="X11" s="259">
        <f>+X9*100/Z9</f>
        <v>100</v>
      </c>
      <c r="Y11" s="259">
        <f>+Y9*100/Z9</f>
        <v>0</v>
      </c>
      <c r="Z11" s="259"/>
    </row>
    <row r="12" spans="1:34" x14ac:dyDescent="0.5">
      <c r="A12" s="236">
        <v>10</v>
      </c>
      <c r="B12" s="219" t="s">
        <v>339</v>
      </c>
      <c r="C12" s="237">
        <v>0</v>
      </c>
      <c r="D12" s="237">
        <v>0</v>
      </c>
      <c r="E12" s="237">
        <v>8349.98</v>
      </c>
      <c r="F12" s="238">
        <v>0</v>
      </c>
      <c r="G12" s="239">
        <v>0</v>
      </c>
      <c r="H12" s="240">
        <f t="shared" si="0"/>
        <v>8349.98</v>
      </c>
      <c r="I12" s="337"/>
      <c r="J12" s="246">
        <f>+H12*100/H49</f>
        <v>1.2926474069569849</v>
      </c>
    </row>
    <row r="13" spans="1:34" x14ac:dyDescent="0.5">
      <c r="A13" s="236">
        <v>11</v>
      </c>
      <c r="B13" s="219" t="s">
        <v>344</v>
      </c>
      <c r="C13" s="237">
        <v>4971.7</v>
      </c>
      <c r="D13" s="237">
        <v>2236.9</v>
      </c>
      <c r="E13" s="237">
        <v>0</v>
      </c>
      <c r="F13" s="238">
        <v>0</v>
      </c>
      <c r="G13" s="239">
        <v>0</v>
      </c>
      <c r="H13" s="240">
        <f t="shared" si="0"/>
        <v>7208.6</v>
      </c>
      <c r="I13" s="337" t="s">
        <v>392</v>
      </c>
      <c r="J13" s="257"/>
    </row>
    <row r="14" spans="1:34" x14ac:dyDescent="0.5">
      <c r="A14" s="236">
        <v>12</v>
      </c>
      <c r="B14" s="219" t="s">
        <v>343</v>
      </c>
      <c r="C14" s="237">
        <v>6036.4</v>
      </c>
      <c r="D14" s="237">
        <v>0</v>
      </c>
      <c r="E14" s="237">
        <v>0</v>
      </c>
      <c r="F14" s="238">
        <v>0</v>
      </c>
      <c r="G14" s="239">
        <v>0</v>
      </c>
      <c r="H14" s="240">
        <f t="shared" si="0"/>
        <v>6036.4</v>
      </c>
      <c r="I14" s="220"/>
      <c r="J14" s="257"/>
      <c r="K14" s="258"/>
    </row>
    <row r="15" spans="1:34" ht="23.25" customHeight="1" x14ac:dyDescent="0.5">
      <c r="A15" s="236">
        <v>13</v>
      </c>
      <c r="B15" s="219" t="s">
        <v>675</v>
      </c>
      <c r="C15" s="237">
        <v>5982.95</v>
      </c>
      <c r="D15" s="237">
        <v>0</v>
      </c>
      <c r="E15" s="237">
        <v>0</v>
      </c>
      <c r="F15" s="238">
        <v>0</v>
      </c>
      <c r="G15" s="239">
        <v>0</v>
      </c>
      <c r="H15" s="240">
        <f t="shared" si="0"/>
        <v>5982.95</v>
      </c>
      <c r="I15" s="337"/>
      <c r="J15" s="257"/>
      <c r="K15" s="258"/>
    </row>
    <row r="16" spans="1:34" ht="23.25" customHeight="1" x14ac:dyDescent="0.6">
      <c r="A16" s="236">
        <v>14</v>
      </c>
      <c r="B16" s="219" t="s">
        <v>840</v>
      </c>
      <c r="C16" s="237">
        <v>5976.1</v>
      </c>
      <c r="D16" s="237">
        <v>0</v>
      </c>
      <c r="E16" s="237">
        <v>0</v>
      </c>
      <c r="F16" s="238">
        <v>0</v>
      </c>
      <c r="G16" s="239">
        <v>0</v>
      </c>
      <c r="H16" s="240">
        <f t="shared" si="0"/>
        <v>5976.1</v>
      </c>
      <c r="I16" s="220"/>
      <c r="J16" s="257"/>
      <c r="K16" s="258"/>
      <c r="AH16" s="226"/>
    </row>
    <row r="17" spans="1:11" ht="23.25" customHeight="1" x14ac:dyDescent="0.5">
      <c r="A17" s="236">
        <v>15</v>
      </c>
      <c r="B17" s="219" t="s">
        <v>571</v>
      </c>
      <c r="C17" s="237">
        <v>4971.1000000000004</v>
      </c>
      <c r="D17" s="237"/>
      <c r="E17" s="237">
        <v>0</v>
      </c>
      <c r="F17" s="238">
        <v>0</v>
      </c>
      <c r="G17" s="239">
        <v>0</v>
      </c>
      <c r="H17" s="240">
        <f t="shared" si="0"/>
        <v>4971.1000000000004</v>
      </c>
      <c r="I17" s="220"/>
      <c r="J17" s="257"/>
      <c r="K17" s="258"/>
    </row>
    <row r="18" spans="1:11" ht="23.25" customHeight="1" x14ac:dyDescent="0.5">
      <c r="A18" s="236">
        <v>16</v>
      </c>
      <c r="B18" s="219" t="s">
        <v>359</v>
      </c>
      <c r="C18" s="237">
        <v>3885.05</v>
      </c>
      <c r="D18" s="237">
        <v>0</v>
      </c>
      <c r="E18" s="237">
        <v>0</v>
      </c>
      <c r="F18" s="238">
        <v>0</v>
      </c>
      <c r="G18" s="239">
        <v>0</v>
      </c>
      <c r="H18" s="240">
        <f t="shared" si="0"/>
        <v>3885.05</v>
      </c>
      <c r="I18" s="220"/>
      <c r="J18" s="257"/>
      <c r="K18" s="258"/>
    </row>
    <row r="19" spans="1:11" ht="23.25" customHeight="1" x14ac:dyDescent="0.5">
      <c r="A19" s="236">
        <v>17</v>
      </c>
      <c r="B19" s="219" t="s">
        <v>348</v>
      </c>
      <c r="C19" s="237">
        <v>2994.75</v>
      </c>
      <c r="D19" s="237">
        <v>0</v>
      </c>
      <c r="E19" s="237">
        <v>0</v>
      </c>
      <c r="F19" s="238">
        <v>0</v>
      </c>
      <c r="G19" s="239">
        <v>0</v>
      </c>
      <c r="H19" s="240">
        <f t="shared" si="0"/>
        <v>2994.75</v>
      </c>
      <c r="I19" s="220"/>
      <c r="J19" s="257"/>
      <c r="K19" s="258"/>
    </row>
    <row r="20" spans="1:11" ht="23.25" customHeight="1" x14ac:dyDescent="0.5">
      <c r="A20" s="236">
        <v>18</v>
      </c>
      <c r="B20" s="219" t="s">
        <v>361</v>
      </c>
      <c r="C20" s="237">
        <v>2969.05</v>
      </c>
      <c r="D20" s="237">
        <v>0</v>
      </c>
      <c r="E20" s="237">
        <v>0</v>
      </c>
      <c r="F20" s="238">
        <v>0</v>
      </c>
      <c r="G20" s="239">
        <v>0</v>
      </c>
      <c r="H20" s="240">
        <f t="shared" si="0"/>
        <v>2969.05</v>
      </c>
      <c r="I20" s="337"/>
      <c r="J20" s="257"/>
      <c r="K20" s="258"/>
    </row>
    <row r="21" spans="1:11" x14ac:dyDescent="0.5">
      <c r="A21" s="236">
        <v>19</v>
      </c>
      <c r="B21" s="219" t="s">
        <v>356</v>
      </c>
      <c r="C21" s="237">
        <v>2927.95</v>
      </c>
      <c r="D21" s="237">
        <v>0</v>
      </c>
      <c r="E21" s="237">
        <v>0</v>
      </c>
      <c r="F21" s="238">
        <v>0</v>
      </c>
      <c r="G21" s="239">
        <v>0</v>
      </c>
      <c r="H21" s="240">
        <f t="shared" si="0"/>
        <v>2927.95</v>
      </c>
      <c r="I21" s="220"/>
      <c r="J21" s="257"/>
      <c r="K21" s="258"/>
    </row>
    <row r="22" spans="1:11" x14ac:dyDescent="0.5">
      <c r="A22" s="236">
        <v>20</v>
      </c>
      <c r="B22" s="219" t="s">
        <v>350</v>
      </c>
      <c r="C22" s="237">
        <v>2701.6000000000004</v>
      </c>
      <c r="D22" s="237">
        <v>0</v>
      </c>
      <c r="E22" s="237">
        <v>0</v>
      </c>
      <c r="F22" s="238">
        <v>0</v>
      </c>
      <c r="G22" s="239">
        <v>0</v>
      </c>
      <c r="H22" s="240">
        <f t="shared" si="0"/>
        <v>2701.6000000000004</v>
      </c>
      <c r="I22" s="220"/>
      <c r="J22" s="257"/>
      <c r="K22" s="258"/>
    </row>
    <row r="23" spans="1:11" x14ac:dyDescent="0.5">
      <c r="A23" s="236">
        <v>21</v>
      </c>
      <c r="B23" s="219" t="s">
        <v>841</v>
      </c>
      <c r="C23" s="237">
        <v>2573.6999999999998</v>
      </c>
      <c r="D23" s="237">
        <v>0</v>
      </c>
      <c r="E23" s="237">
        <v>0</v>
      </c>
      <c r="F23" s="238">
        <v>0</v>
      </c>
      <c r="G23" s="239">
        <v>0</v>
      </c>
      <c r="H23" s="240">
        <f t="shared" si="0"/>
        <v>2573.6999999999998</v>
      </c>
      <c r="I23" s="220"/>
      <c r="J23" s="257"/>
      <c r="K23" s="258"/>
    </row>
    <row r="24" spans="1:11" x14ac:dyDescent="0.5">
      <c r="A24" s="236">
        <v>22</v>
      </c>
      <c r="B24" s="219" t="s">
        <v>667</v>
      </c>
      <c r="C24" s="237">
        <v>0</v>
      </c>
      <c r="D24" s="237">
        <v>2081.4</v>
      </c>
      <c r="E24" s="237">
        <v>0</v>
      </c>
      <c r="F24" s="238">
        <v>0</v>
      </c>
      <c r="G24" s="239">
        <v>0</v>
      </c>
      <c r="H24" s="240">
        <f t="shared" si="0"/>
        <v>2081.4</v>
      </c>
      <c r="I24" s="337" t="s">
        <v>392</v>
      </c>
      <c r="J24" s="257"/>
      <c r="K24" s="258"/>
    </row>
    <row r="25" spans="1:11" x14ac:dyDescent="0.5">
      <c r="A25" s="236">
        <v>23</v>
      </c>
      <c r="B25" s="219" t="s">
        <v>364</v>
      </c>
      <c r="C25" s="237">
        <v>1952.45</v>
      </c>
      <c r="D25" s="237">
        <v>0</v>
      </c>
      <c r="E25" s="237">
        <v>0</v>
      </c>
      <c r="F25" s="238">
        <v>0</v>
      </c>
      <c r="G25" s="239">
        <v>0</v>
      </c>
      <c r="H25" s="240">
        <f t="shared" si="0"/>
        <v>1952.45</v>
      </c>
      <c r="I25" s="337"/>
      <c r="J25" s="257"/>
      <c r="K25" s="258"/>
    </row>
    <row r="26" spans="1:11" x14ac:dyDescent="0.5">
      <c r="A26" s="236">
        <v>24</v>
      </c>
      <c r="B26" s="219" t="s">
        <v>347</v>
      </c>
      <c r="C26" s="237">
        <v>1792.6499999999999</v>
      </c>
      <c r="D26" s="237">
        <v>0</v>
      </c>
      <c r="E26" s="237">
        <v>0</v>
      </c>
      <c r="F26" s="238">
        <v>0</v>
      </c>
      <c r="G26" s="239">
        <v>0</v>
      </c>
      <c r="H26" s="240">
        <f t="shared" si="0"/>
        <v>1792.6499999999999</v>
      </c>
      <c r="I26" s="220"/>
      <c r="J26" s="257"/>
      <c r="K26" s="258"/>
    </row>
    <row r="27" spans="1:11" x14ac:dyDescent="0.5">
      <c r="A27" s="236">
        <v>25</v>
      </c>
      <c r="B27" s="219" t="s">
        <v>362</v>
      </c>
      <c r="C27" s="237">
        <v>1771</v>
      </c>
      <c r="D27" s="237">
        <v>0</v>
      </c>
      <c r="E27" s="237">
        <v>0</v>
      </c>
      <c r="F27" s="238">
        <v>0</v>
      </c>
      <c r="G27" s="239">
        <v>0</v>
      </c>
      <c r="H27" s="240">
        <f t="shared" si="0"/>
        <v>1771</v>
      </c>
      <c r="I27" s="220"/>
      <c r="J27" s="257"/>
      <c r="K27" s="258"/>
    </row>
    <row r="28" spans="1:11" x14ac:dyDescent="0.5">
      <c r="A28" s="236">
        <v>26</v>
      </c>
      <c r="B28" s="219" t="s">
        <v>349</v>
      </c>
      <c r="C28" s="237">
        <v>0</v>
      </c>
      <c r="D28" s="237">
        <v>0</v>
      </c>
      <c r="E28" s="237">
        <v>1551.2</v>
      </c>
      <c r="F28" s="238">
        <v>0</v>
      </c>
      <c r="G28" s="239">
        <v>0</v>
      </c>
      <c r="H28" s="240">
        <f t="shared" si="0"/>
        <v>1551.2</v>
      </c>
      <c r="I28" s="220"/>
      <c r="J28" s="257"/>
      <c r="K28" s="258"/>
    </row>
    <row r="29" spans="1:11" x14ac:dyDescent="0.5">
      <c r="A29" s="236">
        <v>27</v>
      </c>
      <c r="B29" s="219" t="s">
        <v>352</v>
      </c>
      <c r="C29" s="237">
        <v>1028.9000000000001</v>
      </c>
      <c r="D29" s="237">
        <v>0</v>
      </c>
      <c r="E29" s="237">
        <v>0</v>
      </c>
      <c r="F29" s="238">
        <v>0</v>
      </c>
      <c r="G29" s="239">
        <v>0</v>
      </c>
      <c r="H29" s="240">
        <f t="shared" si="0"/>
        <v>1028.9000000000001</v>
      </c>
      <c r="I29" s="337"/>
      <c r="J29" s="257"/>
      <c r="K29" s="258"/>
    </row>
    <row r="30" spans="1:11" x14ac:dyDescent="0.5">
      <c r="A30" s="236">
        <v>28</v>
      </c>
      <c r="B30" s="219" t="s">
        <v>844</v>
      </c>
      <c r="C30" s="237">
        <v>0</v>
      </c>
      <c r="D30" s="237">
        <v>0</v>
      </c>
      <c r="E30" s="237">
        <v>0</v>
      </c>
      <c r="F30" s="238">
        <v>994.73849999999993</v>
      </c>
      <c r="G30" s="239">
        <v>0</v>
      </c>
      <c r="H30" s="240">
        <f t="shared" si="0"/>
        <v>994.73849999999993</v>
      </c>
      <c r="I30" s="220"/>
      <c r="J30" s="257"/>
      <c r="K30" s="258"/>
    </row>
    <row r="31" spans="1:11" x14ac:dyDescent="0.5">
      <c r="A31" s="236">
        <v>29</v>
      </c>
      <c r="B31" s="219" t="s">
        <v>355</v>
      </c>
      <c r="C31" s="237">
        <v>940.6</v>
      </c>
      <c r="D31" s="237">
        <v>0</v>
      </c>
      <c r="E31" s="237">
        <v>0</v>
      </c>
      <c r="F31" s="238">
        <v>0</v>
      </c>
      <c r="G31" s="239">
        <v>0</v>
      </c>
      <c r="H31" s="240">
        <f t="shared" si="0"/>
        <v>940.6</v>
      </c>
      <c r="I31" s="337"/>
      <c r="J31" s="257"/>
      <c r="K31" s="258"/>
    </row>
    <row r="32" spans="1:11" x14ac:dyDescent="0.5">
      <c r="A32" s="236">
        <v>30</v>
      </c>
      <c r="B32" s="219" t="s">
        <v>569</v>
      </c>
      <c r="C32" s="237">
        <v>0</v>
      </c>
      <c r="D32" s="237">
        <v>0</v>
      </c>
      <c r="E32" s="237">
        <v>825</v>
      </c>
      <c r="F32" s="238">
        <v>0</v>
      </c>
      <c r="G32" s="239">
        <v>0</v>
      </c>
      <c r="H32" s="240">
        <f t="shared" si="0"/>
        <v>825</v>
      </c>
      <c r="I32" s="220"/>
      <c r="J32" s="257"/>
      <c r="K32" s="258"/>
    </row>
    <row r="33" spans="1:11" x14ac:dyDescent="0.5">
      <c r="A33" s="236">
        <v>31</v>
      </c>
      <c r="B33" s="219" t="s">
        <v>847</v>
      </c>
      <c r="C33" s="237">
        <v>0</v>
      </c>
      <c r="D33" s="237">
        <v>0</v>
      </c>
      <c r="E33" s="237">
        <v>0</v>
      </c>
      <c r="F33" s="238">
        <v>663</v>
      </c>
      <c r="G33" s="239">
        <v>0</v>
      </c>
      <c r="H33" s="240">
        <f t="shared" si="0"/>
        <v>663</v>
      </c>
      <c r="I33" s="220"/>
      <c r="J33" s="257"/>
      <c r="K33" s="258"/>
    </row>
    <row r="34" spans="1:11" x14ac:dyDescent="0.5">
      <c r="A34" s="236">
        <v>32</v>
      </c>
      <c r="B34" s="219" t="s">
        <v>672</v>
      </c>
      <c r="C34" s="237">
        <v>0</v>
      </c>
      <c r="D34" s="237">
        <v>0</v>
      </c>
      <c r="E34" s="237">
        <v>0</v>
      </c>
      <c r="F34" s="238">
        <v>621</v>
      </c>
      <c r="G34" s="239">
        <v>0</v>
      </c>
      <c r="H34" s="240">
        <f t="shared" si="0"/>
        <v>621</v>
      </c>
      <c r="I34" s="220"/>
      <c r="J34" s="257"/>
      <c r="K34" s="258"/>
    </row>
    <row r="35" spans="1:11" x14ac:dyDescent="0.5">
      <c r="A35" s="236">
        <v>33</v>
      </c>
      <c r="B35" s="219" t="s">
        <v>368</v>
      </c>
      <c r="C35" s="237">
        <v>589.45000000000005</v>
      </c>
      <c r="D35" s="237">
        <v>0</v>
      </c>
      <c r="E35" s="237">
        <v>0</v>
      </c>
      <c r="F35" s="238">
        <v>0</v>
      </c>
      <c r="G35" s="239">
        <v>0</v>
      </c>
      <c r="H35" s="240">
        <f t="shared" si="0"/>
        <v>589.45000000000005</v>
      </c>
      <c r="I35" s="337"/>
      <c r="J35" s="257"/>
      <c r="K35" s="258"/>
    </row>
    <row r="36" spans="1:11" x14ac:dyDescent="0.5">
      <c r="A36" s="236">
        <v>34</v>
      </c>
      <c r="B36" s="219" t="s">
        <v>360</v>
      </c>
      <c r="C36" s="237">
        <v>0</v>
      </c>
      <c r="D36" s="237">
        <v>0</v>
      </c>
      <c r="E36" s="237">
        <v>502.29999999999995</v>
      </c>
      <c r="F36" s="238">
        <v>0</v>
      </c>
      <c r="G36" s="239">
        <v>0</v>
      </c>
      <c r="H36" s="240">
        <f t="shared" si="0"/>
        <v>502.29999999999995</v>
      </c>
      <c r="I36" s="337"/>
      <c r="J36" s="257"/>
      <c r="K36" s="258"/>
    </row>
    <row r="37" spans="1:11" x14ac:dyDescent="0.5">
      <c r="A37" s="236">
        <v>35</v>
      </c>
      <c r="B37" s="219" t="s">
        <v>578</v>
      </c>
      <c r="C37" s="237">
        <v>492.65</v>
      </c>
      <c r="D37" s="237">
        <v>0</v>
      </c>
      <c r="E37" s="237">
        <v>0</v>
      </c>
      <c r="F37" s="238">
        <v>0</v>
      </c>
      <c r="G37" s="239">
        <v>0</v>
      </c>
      <c r="H37" s="240">
        <f t="shared" si="0"/>
        <v>492.65</v>
      </c>
      <c r="I37" s="220"/>
      <c r="J37" s="257"/>
      <c r="K37" s="258"/>
    </row>
    <row r="38" spans="1:11" x14ac:dyDescent="0.5">
      <c r="A38" s="236">
        <v>36</v>
      </c>
      <c r="B38" s="219" t="s">
        <v>776</v>
      </c>
      <c r="C38" s="237">
        <v>0</v>
      </c>
      <c r="D38" s="237">
        <v>0</v>
      </c>
      <c r="E38" s="237">
        <v>0</v>
      </c>
      <c r="F38" s="238">
        <v>331.4</v>
      </c>
      <c r="G38" s="239">
        <v>0</v>
      </c>
      <c r="H38" s="240">
        <f t="shared" si="0"/>
        <v>331.4</v>
      </c>
      <c r="I38" s="337"/>
      <c r="J38" s="257"/>
      <c r="K38" s="258"/>
    </row>
    <row r="39" spans="1:11" x14ac:dyDescent="0.5">
      <c r="A39" s="236">
        <v>37</v>
      </c>
      <c r="B39" s="219" t="s">
        <v>771</v>
      </c>
      <c r="C39" s="237">
        <v>0</v>
      </c>
      <c r="D39" s="237">
        <v>0</v>
      </c>
      <c r="E39" s="237">
        <v>0</v>
      </c>
      <c r="F39" s="238">
        <v>331.2</v>
      </c>
      <c r="G39" s="239">
        <v>0</v>
      </c>
      <c r="H39" s="240">
        <f t="shared" si="0"/>
        <v>331.2</v>
      </c>
      <c r="I39" s="220"/>
      <c r="J39" s="257"/>
      <c r="K39" s="258"/>
    </row>
    <row r="40" spans="1:11" x14ac:dyDescent="0.5">
      <c r="A40" s="236">
        <v>38</v>
      </c>
      <c r="B40" s="219" t="s">
        <v>547</v>
      </c>
      <c r="C40" s="237">
        <v>324.5</v>
      </c>
      <c r="D40" s="237">
        <v>0</v>
      </c>
      <c r="E40" s="237">
        <v>0</v>
      </c>
      <c r="F40" s="238">
        <v>0</v>
      </c>
      <c r="G40" s="239">
        <v>0</v>
      </c>
      <c r="H40" s="240">
        <f t="shared" si="0"/>
        <v>324.5</v>
      </c>
      <c r="I40" s="220"/>
      <c r="J40" s="257"/>
      <c r="K40" s="258"/>
    </row>
    <row r="41" spans="1:11" x14ac:dyDescent="0.5">
      <c r="A41" s="236">
        <v>39</v>
      </c>
      <c r="B41" s="219" t="s">
        <v>574</v>
      </c>
      <c r="C41" s="237">
        <v>0</v>
      </c>
      <c r="D41" s="237">
        <v>0</v>
      </c>
      <c r="E41" s="237">
        <v>320</v>
      </c>
      <c r="F41" s="238">
        <v>0</v>
      </c>
      <c r="G41" s="239">
        <v>0</v>
      </c>
      <c r="H41" s="240">
        <f t="shared" si="0"/>
        <v>320</v>
      </c>
      <c r="I41" s="220"/>
      <c r="J41" s="257"/>
      <c r="K41" s="258"/>
    </row>
    <row r="42" spans="1:11" x14ac:dyDescent="0.5">
      <c r="A42" s="236">
        <v>40</v>
      </c>
      <c r="B42" s="219" t="s">
        <v>369</v>
      </c>
      <c r="C42" s="237">
        <v>0</v>
      </c>
      <c r="D42" s="237">
        <v>0</v>
      </c>
      <c r="E42" s="237">
        <v>0</v>
      </c>
      <c r="F42" s="238">
        <v>248.39999999999998</v>
      </c>
      <c r="G42" s="239">
        <v>0</v>
      </c>
      <c r="H42" s="240">
        <f t="shared" si="0"/>
        <v>248.39999999999998</v>
      </c>
      <c r="I42" s="220"/>
      <c r="J42" s="257"/>
      <c r="K42" s="258"/>
    </row>
    <row r="43" spans="1:11" x14ac:dyDescent="0.5">
      <c r="A43" s="236">
        <v>41</v>
      </c>
      <c r="B43" s="219" t="s">
        <v>845</v>
      </c>
      <c r="C43" s="237">
        <v>207.9</v>
      </c>
      <c r="D43" s="237">
        <v>0</v>
      </c>
      <c r="E43" s="237">
        <v>0</v>
      </c>
      <c r="F43" s="238">
        <v>0</v>
      </c>
      <c r="G43" s="239">
        <v>0</v>
      </c>
      <c r="H43" s="240">
        <f t="shared" si="0"/>
        <v>207.9</v>
      </c>
      <c r="I43" s="220"/>
      <c r="J43" s="257"/>
      <c r="K43" s="258"/>
    </row>
    <row r="44" spans="1:11" x14ac:dyDescent="0.5">
      <c r="A44" s="236">
        <v>42</v>
      </c>
      <c r="B44" s="219" t="s">
        <v>351</v>
      </c>
      <c r="C44" s="237">
        <v>192.9</v>
      </c>
      <c r="D44" s="237">
        <v>0</v>
      </c>
      <c r="E44" s="237">
        <v>0</v>
      </c>
      <c r="F44" s="238">
        <v>0</v>
      </c>
      <c r="G44" s="239">
        <v>0</v>
      </c>
      <c r="H44" s="240">
        <f t="shared" si="0"/>
        <v>192.9</v>
      </c>
      <c r="I44" s="220"/>
      <c r="J44" s="257"/>
      <c r="K44" s="258"/>
    </row>
    <row r="45" spans="1:11" x14ac:dyDescent="0.5">
      <c r="A45" s="236">
        <v>43</v>
      </c>
      <c r="B45" s="219" t="s">
        <v>842</v>
      </c>
      <c r="C45" s="237">
        <v>187.65</v>
      </c>
      <c r="D45" s="237">
        <v>0</v>
      </c>
      <c r="E45" s="237">
        <v>0</v>
      </c>
      <c r="F45" s="238">
        <v>0</v>
      </c>
      <c r="G45" s="239">
        <v>0</v>
      </c>
      <c r="H45" s="240">
        <f t="shared" si="0"/>
        <v>187.65</v>
      </c>
      <c r="I45" s="220"/>
      <c r="J45" s="257"/>
      <c r="K45" s="258"/>
    </row>
    <row r="46" spans="1:11" x14ac:dyDescent="0.5">
      <c r="A46" s="236">
        <v>44</v>
      </c>
      <c r="B46" s="219" t="s">
        <v>846</v>
      </c>
      <c r="C46" s="237">
        <v>0</v>
      </c>
      <c r="D46" s="237">
        <v>0</v>
      </c>
      <c r="E46" s="237">
        <v>0</v>
      </c>
      <c r="F46" s="238">
        <v>49.8</v>
      </c>
      <c r="G46" s="239">
        <v>0</v>
      </c>
      <c r="H46" s="240">
        <f t="shared" si="0"/>
        <v>49.8</v>
      </c>
      <c r="I46" s="220"/>
      <c r="J46" s="257"/>
      <c r="K46" s="258"/>
    </row>
    <row r="47" spans="1:11" x14ac:dyDescent="0.5">
      <c r="A47" s="236">
        <v>45</v>
      </c>
      <c r="B47" s="219" t="s">
        <v>376</v>
      </c>
      <c r="C47" s="237">
        <v>0</v>
      </c>
      <c r="D47" s="237">
        <v>0</v>
      </c>
      <c r="E47" s="237">
        <v>0</v>
      </c>
      <c r="F47" s="238">
        <v>24.839999999999996</v>
      </c>
      <c r="G47" s="239">
        <v>0</v>
      </c>
      <c r="H47" s="240">
        <f t="shared" si="0"/>
        <v>24.839999999999996</v>
      </c>
      <c r="I47" s="220"/>
      <c r="J47" s="257"/>
      <c r="K47" s="258"/>
    </row>
    <row r="48" spans="1:11" x14ac:dyDescent="0.5">
      <c r="A48" s="236">
        <v>46</v>
      </c>
      <c r="B48" s="219" t="s">
        <v>843</v>
      </c>
      <c r="C48" s="237">
        <v>0</v>
      </c>
      <c r="D48" s="237">
        <v>0</v>
      </c>
      <c r="E48" s="237">
        <v>0</v>
      </c>
      <c r="F48" s="238">
        <v>12.419999999999998</v>
      </c>
      <c r="G48" s="239">
        <v>0</v>
      </c>
      <c r="H48" s="240">
        <f t="shared" si="0"/>
        <v>12.419999999999998</v>
      </c>
      <c r="I48" s="220"/>
      <c r="J48" s="257"/>
      <c r="K48" s="258"/>
    </row>
    <row r="49" spans="1:33" ht="24" thickBot="1" x14ac:dyDescent="0.55000000000000004">
      <c r="A49" s="366" t="s">
        <v>397</v>
      </c>
      <c r="B49" s="367"/>
      <c r="C49" s="260">
        <f>SUM(C3:C48)</f>
        <v>560178.2300000001</v>
      </c>
      <c r="D49" s="260">
        <f>SUM(D3:D48)</f>
        <v>70956.089999999982</v>
      </c>
      <c r="E49" s="260">
        <f>SUM(E3:E48)</f>
        <v>11548.48</v>
      </c>
      <c r="F49" s="261">
        <f>SUM(F3:F48)</f>
        <v>3276.7985000000003</v>
      </c>
      <c r="G49" s="262">
        <f>SUM(G3:G48)</f>
        <v>0</v>
      </c>
      <c r="H49" s="260">
        <f>SUM(H3:H48)</f>
        <v>645959.59849999996</v>
      </c>
      <c r="I49" s="222"/>
      <c r="J49" s="257"/>
      <c r="K49" s="258"/>
    </row>
    <row r="50" spans="1:33" ht="24" thickTop="1" x14ac:dyDescent="0.5">
      <c r="I50" s="265"/>
      <c r="J50" s="266"/>
    </row>
    <row r="51" spans="1:33" x14ac:dyDescent="0.5">
      <c r="C51" s="259">
        <f>+C49*100/H49</f>
        <v>86.720319862233623</v>
      </c>
      <c r="D51" s="259">
        <f>+D49*100/H49</f>
        <v>10.984601848903401</v>
      </c>
      <c r="E51" s="259">
        <f>+E49*100/H49</f>
        <v>1.7878022134537568</v>
      </c>
      <c r="F51" s="259">
        <f>+F49*100/H49</f>
        <v>0.50727607540922703</v>
      </c>
      <c r="G51" s="259">
        <f>+G49*100/H49</f>
        <v>0</v>
      </c>
    </row>
    <row r="57" spans="1:33" ht="29.25" x14ac:dyDescent="0.6">
      <c r="A57" s="368" t="s">
        <v>399</v>
      </c>
      <c r="B57" s="368"/>
      <c r="C57" s="368"/>
      <c r="D57" s="368"/>
      <c r="E57" s="368"/>
      <c r="F57" s="368"/>
      <c r="G57" s="368"/>
      <c r="H57" s="368"/>
      <c r="I57" s="368"/>
      <c r="L57" s="370" t="s">
        <v>400</v>
      </c>
      <c r="M57" s="370"/>
      <c r="N57" s="370"/>
      <c r="O57" s="370"/>
      <c r="P57" s="370"/>
      <c r="Q57" s="370"/>
      <c r="R57" s="370"/>
      <c r="S57" s="370"/>
      <c r="T57" s="370"/>
      <c r="V57" s="370" t="s">
        <v>401</v>
      </c>
      <c r="W57" s="370"/>
      <c r="X57" s="370"/>
      <c r="Y57" s="370"/>
      <c r="Z57" s="370"/>
      <c r="AB57" s="370" t="s">
        <v>402</v>
      </c>
      <c r="AC57" s="370"/>
      <c r="AD57" s="370"/>
      <c r="AE57" s="370"/>
      <c r="AF57" s="370"/>
      <c r="AG57" s="370"/>
    </row>
    <row r="58" spans="1:33" ht="46.5" x14ac:dyDescent="0.5">
      <c r="A58" s="227" t="s">
        <v>377</v>
      </c>
      <c r="B58" s="227" t="s">
        <v>403</v>
      </c>
      <c r="C58" s="228" t="s">
        <v>379</v>
      </c>
      <c r="D58" s="228" t="s">
        <v>380</v>
      </c>
      <c r="E58" s="228" t="s">
        <v>381</v>
      </c>
      <c r="F58" s="229" t="s">
        <v>404</v>
      </c>
      <c r="G58" s="230" t="s">
        <v>383</v>
      </c>
      <c r="H58" s="228" t="s">
        <v>384</v>
      </c>
      <c r="I58" s="227" t="s">
        <v>385</v>
      </c>
      <c r="J58" s="231"/>
      <c r="L58" s="227" t="s">
        <v>377</v>
      </c>
      <c r="M58" s="227" t="s">
        <v>403</v>
      </c>
      <c r="N58" s="227" t="s">
        <v>386</v>
      </c>
      <c r="O58" s="227" t="s">
        <v>387</v>
      </c>
      <c r="P58" s="227" t="s">
        <v>388</v>
      </c>
      <c r="Q58" s="227" t="s">
        <v>389</v>
      </c>
      <c r="R58" s="227" t="s">
        <v>681</v>
      </c>
      <c r="S58" s="227" t="s">
        <v>390</v>
      </c>
      <c r="T58" s="227" t="s">
        <v>391</v>
      </c>
      <c r="V58" s="227" t="s">
        <v>377</v>
      </c>
      <c r="W58" s="227" t="s">
        <v>403</v>
      </c>
      <c r="X58" s="227" t="s">
        <v>392</v>
      </c>
      <c r="Y58" s="227" t="s">
        <v>393</v>
      </c>
      <c r="Z58" s="227" t="s">
        <v>391</v>
      </c>
      <c r="AB58" s="227" t="s">
        <v>377</v>
      </c>
      <c r="AC58" s="227" t="s">
        <v>378</v>
      </c>
      <c r="AD58" s="227" t="s">
        <v>394</v>
      </c>
      <c r="AE58" s="235" t="s">
        <v>395</v>
      </c>
      <c r="AF58" s="228" t="s">
        <v>396</v>
      </c>
      <c r="AG58" s="227" t="s">
        <v>391</v>
      </c>
    </row>
    <row r="59" spans="1:33" x14ac:dyDescent="0.5">
      <c r="A59" s="236">
        <v>1</v>
      </c>
      <c r="B59" s="267" t="s">
        <v>319</v>
      </c>
      <c r="C59" s="267">
        <v>438464.53</v>
      </c>
      <c r="D59" s="267">
        <v>108239.80999999998</v>
      </c>
      <c r="E59" s="267">
        <v>10409.939999999999</v>
      </c>
      <c r="F59" s="267">
        <v>1826.7799999999997</v>
      </c>
      <c r="G59" s="267">
        <v>0</v>
      </c>
      <c r="H59" s="268">
        <f>+C59+D59+E59+F59+G59</f>
        <v>558941.05999999994</v>
      </c>
      <c r="I59" s="237"/>
      <c r="J59" s="266"/>
      <c r="L59" s="236">
        <v>1</v>
      </c>
      <c r="M59" s="267" t="s">
        <v>319</v>
      </c>
      <c r="N59" s="242">
        <v>593.65</v>
      </c>
      <c r="O59" s="242">
        <v>107609.75999999998</v>
      </c>
      <c r="P59" s="242">
        <v>0</v>
      </c>
      <c r="Q59" s="242">
        <v>0</v>
      </c>
      <c r="R59" s="242">
        <v>0</v>
      </c>
      <c r="S59" s="242">
        <v>36.4</v>
      </c>
      <c r="T59" s="269">
        <f>+N59+O59</f>
        <v>108203.40999999997</v>
      </c>
      <c r="V59" s="236">
        <v>1</v>
      </c>
      <c r="W59" s="267" t="s">
        <v>319</v>
      </c>
      <c r="X59" s="242">
        <v>102484.54999999999</v>
      </c>
      <c r="Y59" s="242">
        <v>5755.26</v>
      </c>
      <c r="Z59" s="269">
        <f>+X59+Y59</f>
        <v>108239.80999999998</v>
      </c>
      <c r="AB59" s="236">
        <v>1</v>
      </c>
      <c r="AC59" s="267" t="s">
        <v>319</v>
      </c>
      <c r="AD59" s="242">
        <v>10409.941999999997</v>
      </c>
      <c r="AE59" s="242">
        <v>22800</v>
      </c>
      <c r="AF59" s="242">
        <v>0</v>
      </c>
      <c r="AG59" s="269">
        <f t="shared" ref="AG59:AG70" si="4">+AD59+AF59</f>
        <v>10409.941999999997</v>
      </c>
    </row>
    <row r="60" spans="1:33" x14ac:dyDescent="0.5">
      <c r="A60" s="236">
        <v>2</v>
      </c>
      <c r="B60" s="267" t="s">
        <v>320</v>
      </c>
      <c r="C60" s="267"/>
      <c r="D60" s="267"/>
      <c r="E60" s="267"/>
      <c r="F60" s="267"/>
      <c r="G60" s="267"/>
      <c r="H60" s="268">
        <f t="shared" ref="H60:H70" si="5">+C60+D60+E60+F60+G60</f>
        <v>0</v>
      </c>
      <c r="I60" s="237"/>
      <c r="J60" s="266"/>
      <c r="L60" s="236">
        <v>2</v>
      </c>
      <c r="M60" s="267" t="s">
        <v>320</v>
      </c>
      <c r="N60" s="242"/>
      <c r="O60" s="242"/>
      <c r="P60" s="242"/>
      <c r="Q60" s="242"/>
      <c r="R60" s="242"/>
      <c r="S60" s="242"/>
      <c r="T60" s="269">
        <f t="shared" ref="T60:T70" si="6">+N60+O60</f>
        <v>0</v>
      </c>
      <c r="V60" s="236">
        <v>2</v>
      </c>
      <c r="W60" s="267" t="s">
        <v>320</v>
      </c>
      <c r="X60" s="242"/>
      <c r="Y60" s="242"/>
      <c r="Z60" s="269">
        <f t="shared" ref="Z60:Z70" si="7">+X60+Y60</f>
        <v>0</v>
      </c>
      <c r="AB60" s="236">
        <v>2</v>
      </c>
      <c r="AC60" s="267" t="s">
        <v>320</v>
      </c>
      <c r="AD60" s="242">
        <v>0</v>
      </c>
      <c r="AE60" s="242">
        <v>0</v>
      </c>
      <c r="AF60" s="242">
        <v>0</v>
      </c>
      <c r="AG60" s="269">
        <f t="shared" si="4"/>
        <v>0</v>
      </c>
    </row>
    <row r="61" spans="1:33" x14ac:dyDescent="0.5">
      <c r="A61" s="236">
        <v>3</v>
      </c>
      <c r="B61" s="267" t="s">
        <v>321</v>
      </c>
      <c r="C61" s="267">
        <v>521075.58999999997</v>
      </c>
      <c r="D61" s="267">
        <v>118235.74</v>
      </c>
      <c r="E61" s="267">
        <v>10580.638800000001</v>
      </c>
      <c r="F61" s="267">
        <v>3446.8399999999997</v>
      </c>
      <c r="G61" s="267">
        <v>0</v>
      </c>
      <c r="H61" s="268">
        <f t="shared" si="5"/>
        <v>653338.80879999988</v>
      </c>
      <c r="I61" s="237"/>
      <c r="J61" s="266"/>
      <c r="L61" s="236">
        <v>3</v>
      </c>
      <c r="M61" s="267" t="s">
        <v>321</v>
      </c>
      <c r="N61" s="242">
        <v>1436.5</v>
      </c>
      <c r="O61" s="242">
        <v>112027.54</v>
      </c>
      <c r="P61" s="242">
        <v>296.5</v>
      </c>
      <c r="Q61" s="242">
        <v>0</v>
      </c>
      <c r="R61" s="242">
        <v>4475.2</v>
      </c>
      <c r="S61" s="242">
        <v>0</v>
      </c>
      <c r="T61" s="269">
        <f t="shared" si="6"/>
        <v>113464.04</v>
      </c>
      <c r="V61" s="236">
        <v>3</v>
      </c>
      <c r="W61" s="267" t="s">
        <v>321</v>
      </c>
      <c r="X61" s="242">
        <v>111893.06</v>
      </c>
      <c r="Y61" s="242">
        <v>6342.68</v>
      </c>
      <c r="Z61" s="269">
        <f t="shared" si="7"/>
        <v>118235.73999999999</v>
      </c>
      <c r="AB61" s="236">
        <v>3</v>
      </c>
      <c r="AC61" s="267" t="s">
        <v>321</v>
      </c>
      <c r="AD61" s="242">
        <v>10580.638800000001</v>
      </c>
      <c r="AE61" s="242">
        <v>42360</v>
      </c>
      <c r="AF61" s="242">
        <v>0</v>
      </c>
      <c r="AG61" s="269">
        <f t="shared" si="4"/>
        <v>10580.638800000001</v>
      </c>
    </row>
    <row r="62" spans="1:33" x14ac:dyDescent="0.5">
      <c r="A62" s="236">
        <v>4</v>
      </c>
      <c r="B62" s="267" t="s">
        <v>322</v>
      </c>
      <c r="C62" s="267">
        <v>638737.29000000027</v>
      </c>
      <c r="D62" s="267">
        <v>70316.38</v>
      </c>
      <c r="E62" s="267">
        <v>7440.08</v>
      </c>
      <c r="F62" s="267">
        <v>1536.0199999999998</v>
      </c>
      <c r="G62" s="267">
        <v>2447</v>
      </c>
      <c r="H62" s="268">
        <f t="shared" si="5"/>
        <v>720476.77000000025</v>
      </c>
      <c r="I62" s="237"/>
      <c r="J62" s="266"/>
      <c r="L62" s="236">
        <v>4</v>
      </c>
      <c r="M62" s="267" t="s">
        <v>322</v>
      </c>
      <c r="N62" s="242">
        <v>762.20999999999992</v>
      </c>
      <c r="O62" s="242">
        <v>57127.320000000007</v>
      </c>
      <c r="P62" s="242">
        <v>41.71</v>
      </c>
      <c r="Q62" s="242">
        <v>990.75</v>
      </c>
      <c r="R62" s="242">
        <v>11394.4</v>
      </c>
      <c r="S62" s="242">
        <v>0</v>
      </c>
      <c r="T62" s="269">
        <f t="shared" si="6"/>
        <v>57889.530000000006</v>
      </c>
      <c r="V62" s="236">
        <v>4</v>
      </c>
      <c r="W62" s="267" t="s">
        <v>322</v>
      </c>
      <c r="X62" s="242">
        <v>70956.09</v>
      </c>
      <c r="Y62" s="242">
        <v>0</v>
      </c>
      <c r="Z62" s="269">
        <f t="shared" si="7"/>
        <v>70956.09</v>
      </c>
      <c r="AB62" s="236">
        <v>4</v>
      </c>
      <c r="AC62" s="267" t="s">
        <v>322</v>
      </c>
      <c r="AD62" s="242">
        <v>7440.08</v>
      </c>
      <c r="AE62" s="242">
        <v>37500</v>
      </c>
      <c r="AF62" s="242">
        <v>2447</v>
      </c>
      <c r="AG62" s="269">
        <f t="shared" si="4"/>
        <v>9887.08</v>
      </c>
    </row>
    <row r="63" spans="1:33" x14ac:dyDescent="0.5">
      <c r="A63" s="236">
        <v>5</v>
      </c>
      <c r="B63" s="267" t="s">
        <v>323</v>
      </c>
      <c r="C63" s="267">
        <v>560178.2300000001</v>
      </c>
      <c r="D63" s="267">
        <v>70956.089999999982</v>
      </c>
      <c r="E63" s="267">
        <v>11548.48</v>
      </c>
      <c r="F63" s="267">
        <v>3276.7985000000003</v>
      </c>
      <c r="G63" s="267">
        <v>0</v>
      </c>
      <c r="H63" s="268">
        <f t="shared" si="5"/>
        <v>645959.59850000008</v>
      </c>
      <c r="I63" s="237"/>
      <c r="J63" s="266"/>
      <c r="L63" s="236">
        <v>5</v>
      </c>
      <c r="M63" s="267" t="s">
        <v>323</v>
      </c>
      <c r="N63" s="242">
        <v>615.15</v>
      </c>
      <c r="O63" s="242">
        <v>70340.939999999988</v>
      </c>
      <c r="P63" s="242">
        <v>0</v>
      </c>
      <c r="Q63" s="242">
        <v>0</v>
      </c>
      <c r="R63" s="242">
        <v>0</v>
      </c>
      <c r="S63" s="242">
        <v>0</v>
      </c>
      <c r="T63" s="269">
        <f t="shared" si="6"/>
        <v>70956.089999999982</v>
      </c>
      <c r="V63" s="236">
        <v>5</v>
      </c>
      <c r="W63" s="267" t="s">
        <v>323</v>
      </c>
      <c r="X63" s="242"/>
      <c r="Y63" s="242"/>
      <c r="Z63" s="269">
        <f t="shared" si="7"/>
        <v>0</v>
      </c>
      <c r="AA63" s="270"/>
      <c r="AB63" s="236">
        <v>5</v>
      </c>
      <c r="AC63" s="267" t="s">
        <v>323</v>
      </c>
      <c r="AD63" s="242">
        <v>11548.48</v>
      </c>
      <c r="AE63" s="242">
        <v>54300</v>
      </c>
      <c r="AF63" s="242">
        <v>0</v>
      </c>
      <c r="AG63" s="269">
        <f>+AD63+AF63</f>
        <v>11548.48</v>
      </c>
    </row>
    <row r="64" spans="1:33" ht="23.25" customHeight="1" x14ac:dyDescent="0.5">
      <c r="A64" s="236">
        <v>6</v>
      </c>
      <c r="B64" s="267" t="s">
        <v>324</v>
      </c>
      <c r="C64" s="267"/>
      <c r="D64" s="267"/>
      <c r="E64" s="267"/>
      <c r="F64" s="267"/>
      <c r="G64" s="267"/>
      <c r="H64" s="268">
        <f>+C64+D64+E64+F64+G64</f>
        <v>0</v>
      </c>
      <c r="I64" s="237"/>
      <c r="J64" s="266"/>
      <c r="L64" s="236">
        <v>6</v>
      </c>
      <c r="M64" s="267" t="s">
        <v>324</v>
      </c>
      <c r="N64" s="242"/>
      <c r="O64" s="242"/>
      <c r="P64" s="242"/>
      <c r="Q64" s="242"/>
      <c r="R64" s="242"/>
      <c r="S64" s="242"/>
      <c r="T64" s="269">
        <f t="shared" si="6"/>
        <v>0</v>
      </c>
      <c r="U64" s="233"/>
      <c r="V64" s="236">
        <v>6</v>
      </c>
      <c r="W64" s="267" t="s">
        <v>324</v>
      </c>
      <c r="X64" s="242"/>
      <c r="Y64" s="242"/>
      <c r="Z64" s="269">
        <f t="shared" si="7"/>
        <v>0</v>
      </c>
      <c r="AB64" s="236">
        <v>6</v>
      </c>
      <c r="AC64" s="267" t="s">
        <v>324</v>
      </c>
      <c r="AD64" s="242">
        <v>0</v>
      </c>
      <c r="AE64" s="242">
        <v>0</v>
      </c>
      <c r="AF64" s="242">
        <f>AF13</f>
        <v>0</v>
      </c>
      <c r="AG64" s="269">
        <f t="shared" si="4"/>
        <v>0</v>
      </c>
    </row>
    <row r="65" spans="1:35" ht="23.25" customHeight="1" x14ac:dyDescent="0.6">
      <c r="A65" s="236">
        <v>7</v>
      </c>
      <c r="B65" s="267" t="s">
        <v>325</v>
      </c>
      <c r="C65" s="267"/>
      <c r="D65" s="267"/>
      <c r="E65" s="267"/>
      <c r="F65" s="267"/>
      <c r="G65" s="267"/>
      <c r="H65" s="268">
        <f t="shared" si="5"/>
        <v>0</v>
      </c>
      <c r="I65" s="237"/>
      <c r="J65" s="266"/>
      <c r="L65" s="236">
        <v>7</v>
      </c>
      <c r="M65" s="267" t="s">
        <v>325</v>
      </c>
      <c r="N65" s="242"/>
      <c r="O65" s="242"/>
      <c r="P65" s="242"/>
      <c r="Q65" s="242"/>
      <c r="R65" s="242"/>
      <c r="S65" s="242"/>
      <c r="T65" s="269">
        <f t="shared" si="6"/>
        <v>0</v>
      </c>
      <c r="V65" s="236">
        <v>7</v>
      </c>
      <c r="W65" s="267" t="s">
        <v>325</v>
      </c>
      <c r="X65" s="242"/>
      <c r="Y65" s="242"/>
      <c r="Z65" s="269">
        <f t="shared" si="7"/>
        <v>0</v>
      </c>
      <c r="AB65" s="236">
        <v>7</v>
      </c>
      <c r="AC65" s="267" t="s">
        <v>325</v>
      </c>
      <c r="AD65" s="242">
        <v>0</v>
      </c>
      <c r="AE65" s="242">
        <v>0</v>
      </c>
      <c r="AF65" s="242">
        <f>AF14</f>
        <v>0</v>
      </c>
      <c r="AG65" s="269">
        <f>+AD65+AF65</f>
        <v>0</v>
      </c>
      <c r="AH65" s="226"/>
      <c r="AI65" s="233"/>
    </row>
    <row r="66" spans="1:35" s="233" customFormat="1" x14ac:dyDescent="0.5">
      <c r="A66" s="236">
        <v>8</v>
      </c>
      <c r="B66" s="267" t="s">
        <v>326</v>
      </c>
      <c r="C66" s="267"/>
      <c r="D66" s="267"/>
      <c r="E66" s="267"/>
      <c r="F66" s="267"/>
      <c r="G66" s="267"/>
      <c r="H66" s="268">
        <f t="shared" si="5"/>
        <v>0</v>
      </c>
      <c r="I66" s="237"/>
      <c r="J66" s="266"/>
      <c r="K66" s="232"/>
      <c r="L66" s="236">
        <v>8</v>
      </c>
      <c r="M66" s="267" t="s">
        <v>326</v>
      </c>
      <c r="N66" s="242"/>
      <c r="O66" s="242"/>
      <c r="P66" s="242"/>
      <c r="Q66" s="242"/>
      <c r="R66" s="242"/>
      <c r="S66" s="242"/>
      <c r="T66" s="269">
        <f t="shared" si="6"/>
        <v>0</v>
      </c>
      <c r="U66" s="225"/>
      <c r="V66" s="236">
        <v>8</v>
      </c>
      <c r="W66" s="267" t="s">
        <v>326</v>
      </c>
      <c r="X66" s="242"/>
      <c r="Y66" s="242"/>
      <c r="Z66" s="269">
        <f t="shared" si="7"/>
        <v>0</v>
      </c>
      <c r="AA66" s="225"/>
      <c r="AB66" s="236">
        <v>8</v>
      </c>
      <c r="AC66" s="267" t="s">
        <v>326</v>
      </c>
      <c r="AD66" s="242">
        <v>0</v>
      </c>
      <c r="AE66" s="242">
        <v>0</v>
      </c>
      <c r="AF66" s="242">
        <f>AF15</f>
        <v>0</v>
      </c>
      <c r="AG66" s="269">
        <f t="shared" si="4"/>
        <v>0</v>
      </c>
      <c r="AH66" s="225"/>
      <c r="AI66" s="225"/>
    </row>
    <row r="67" spans="1:35" x14ac:dyDescent="0.5">
      <c r="A67" s="236">
        <v>9</v>
      </c>
      <c r="B67" s="267" t="s">
        <v>327</v>
      </c>
      <c r="C67" s="267"/>
      <c r="D67" s="267"/>
      <c r="E67" s="267"/>
      <c r="F67" s="267"/>
      <c r="G67" s="267"/>
      <c r="H67" s="268">
        <f>+C67+D67+E67+F67+G67</f>
        <v>0</v>
      </c>
      <c r="I67" s="237"/>
      <c r="J67" s="266"/>
      <c r="L67" s="236">
        <v>9</v>
      </c>
      <c r="M67" s="267" t="s">
        <v>327</v>
      </c>
      <c r="N67" s="242"/>
      <c r="O67" s="242"/>
      <c r="P67" s="242"/>
      <c r="Q67" s="242"/>
      <c r="R67" s="242"/>
      <c r="S67" s="242"/>
      <c r="T67" s="269">
        <f t="shared" si="6"/>
        <v>0</v>
      </c>
      <c r="V67" s="236">
        <v>9</v>
      </c>
      <c r="W67" s="267" t="s">
        <v>327</v>
      </c>
      <c r="X67" s="242"/>
      <c r="Y67" s="242"/>
      <c r="Z67" s="269">
        <f t="shared" si="7"/>
        <v>0</v>
      </c>
      <c r="AB67" s="236">
        <v>9</v>
      </c>
      <c r="AC67" s="267" t="s">
        <v>327</v>
      </c>
      <c r="AD67" s="242">
        <v>0</v>
      </c>
      <c r="AE67" s="242">
        <v>0</v>
      </c>
      <c r="AF67" s="242">
        <f>AF16</f>
        <v>0</v>
      </c>
      <c r="AG67" s="269">
        <f t="shared" si="4"/>
        <v>0</v>
      </c>
    </row>
    <row r="68" spans="1:35" x14ac:dyDescent="0.5">
      <c r="A68" s="236">
        <v>10</v>
      </c>
      <c r="B68" s="267" t="s">
        <v>328</v>
      </c>
      <c r="C68" s="267"/>
      <c r="D68" s="267"/>
      <c r="E68" s="267"/>
      <c r="F68" s="267"/>
      <c r="G68" s="267"/>
      <c r="H68" s="268">
        <f>+C68+D68+E68+F68+G68</f>
        <v>0</v>
      </c>
      <c r="I68" s="237"/>
      <c r="J68" s="266"/>
      <c r="L68" s="236">
        <v>10</v>
      </c>
      <c r="M68" s="267" t="s">
        <v>328</v>
      </c>
      <c r="N68" s="242"/>
      <c r="O68" s="242"/>
      <c r="P68" s="242"/>
      <c r="Q68" s="242"/>
      <c r="R68" s="242"/>
      <c r="S68" s="242"/>
      <c r="T68" s="269">
        <f t="shared" si="6"/>
        <v>0</v>
      </c>
      <c r="V68" s="236">
        <v>10</v>
      </c>
      <c r="W68" s="267" t="s">
        <v>328</v>
      </c>
      <c r="X68" s="242"/>
      <c r="Y68" s="242"/>
      <c r="Z68" s="269">
        <f t="shared" si="7"/>
        <v>0</v>
      </c>
      <c r="AB68" s="236">
        <v>10</v>
      </c>
      <c r="AC68" s="267" t="s">
        <v>328</v>
      </c>
      <c r="AD68" s="242">
        <v>0</v>
      </c>
      <c r="AE68" s="242">
        <v>0</v>
      </c>
      <c r="AF68" s="242">
        <f>AF17</f>
        <v>0</v>
      </c>
      <c r="AG68" s="269">
        <f>+AD68+AF68</f>
        <v>0</v>
      </c>
    </row>
    <row r="69" spans="1:35" x14ac:dyDescent="0.5">
      <c r="A69" s="236">
        <v>11</v>
      </c>
      <c r="B69" s="267" t="s">
        <v>329</v>
      </c>
      <c r="C69" s="267"/>
      <c r="D69" s="267"/>
      <c r="E69" s="267"/>
      <c r="F69" s="267"/>
      <c r="G69" s="267"/>
      <c r="H69" s="268">
        <f t="shared" si="5"/>
        <v>0</v>
      </c>
      <c r="I69" s="237"/>
      <c r="J69" s="266"/>
      <c r="L69" s="236">
        <v>11</v>
      </c>
      <c r="M69" s="267" t="s">
        <v>329</v>
      </c>
      <c r="N69" s="242"/>
      <c r="O69" s="242"/>
      <c r="P69" s="242"/>
      <c r="Q69" s="242"/>
      <c r="R69" s="242"/>
      <c r="S69" s="242"/>
      <c r="T69" s="269">
        <f t="shared" si="6"/>
        <v>0</v>
      </c>
      <c r="V69" s="236">
        <v>11</v>
      </c>
      <c r="W69" s="267" t="s">
        <v>329</v>
      </c>
      <c r="X69" s="242"/>
      <c r="Y69" s="242"/>
      <c r="Z69" s="269">
        <f t="shared" si="7"/>
        <v>0</v>
      </c>
      <c r="AB69" s="236">
        <v>11</v>
      </c>
      <c r="AC69" s="267" t="s">
        <v>329</v>
      </c>
      <c r="AD69" s="242">
        <v>0</v>
      </c>
      <c r="AE69" s="242">
        <v>0</v>
      </c>
      <c r="AF69" s="242">
        <f>AF18</f>
        <v>0</v>
      </c>
      <c r="AG69" s="269">
        <f>+AD69+AF69</f>
        <v>0</v>
      </c>
    </row>
    <row r="70" spans="1:35" x14ac:dyDescent="0.5">
      <c r="A70" s="236">
        <v>12</v>
      </c>
      <c r="B70" s="267" t="s">
        <v>330</v>
      </c>
      <c r="C70" s="267"/>
      <c r="D70" s="267"/>
      <c r="E70" s="267"/>
      <c r="F70" s="267"/>
      <c r="G70" s="267"/>
      <c r="H70" s="268">
        <f t="shared" si="5"/>
        <v>0</v>
      </c>
      <c r="I70" s="237"/>
      <c r="J70" s="266"/>
      <c r="L70" s="236">
        <v>12</v>
      </c>
      <c r="M70" s="267" t="s">
        <v>330</v>
      </c>
      <c r="N70" s="242"/>
      <c r="O70" s="242"/>
      <c r="P70" s="242"/>
      <c r="Q70" s="242"/>
      <c r="R70" s="242"/>
      <c r="S70" s="242"/>
      <c r="T70" s="269">
        <f t="shared" si="6"/>
        <v>0</v>
      </c>
      <c r="V70" s="236">
        <v>12</v>
      </c>
      <c r="W70" s="267" t="s">
        <v>330</v>
      </c>
      <c r="X70" s="242"/>
      <c r="Y70" s="242"/>
      <c r="Z70" s="269">
        <f t="shared" si="7"/>
        <v>0</v>
      </c>
      <c r="AB70" s="236">
        <v>12</v>
      </c>
      <c r="AC70" s="267" t="s">
        <v>330</v>
      </c>
      <c r="AD70" s="242">
        <v>0</v>
      </c>
      <c r="AE70" s="242">
        <v>0</v>
      </c>
      <c r="AF70" s="242">
        <f>AF19</f>
        <v>0</v>
      </c>
      <c r="AG70" s="269">
        <f t="shared" si="4"/>
        <v>0</v>
      </c>
    </row>
    <row r="71" spans="1:35" ht="24" thickBot="1" x14ac:dyDescent="0.55000000000000004">
      <c r="A71" s="366" t="s">
        <v>397</v>
      </c>
      <c r="B71" s="367"/>
      <c r="C71" s="260">
        <f>SUM(C59:C70)</f>
        <v>2158455.64</v>
      </c>
      <c r="D71" s="260">
        <f>SUM(D59:D70)</f>
        <v>367748.01999999996</v>
      </c>
      <c r="E71" s="260">
        <f>SUM(E59:E70)</f>
        <v>39979.138800000001</v>
      </c>
      <c r="F71" s="261">
        <f>SUM(F59:F70)</f>
        <v>10086.438499999998</v>
      </c>
      <c r="G71" s="262">
        <f t="shared" ref="G71" si="8">SUM(G59:G70)</f>
        <v>2447</v>
      </c>
      <c r="H71" s="260">
        <f>SUM(H59:H70)</f>
        <v>2578716.2373000002</v>
      </c>
      <c r="I71" s="260"/>
      <c r="J71" s="266"/>
      <c r="L71" s="247"/>
      <c r="M71" s="248" t="s">
        <v>397</v>
      </c>
      <c r="N71" s="251">
        <f>SUM(N59:N70)</f>
        <v>3407.51</v>
      </c>
      <c r="O71" s="251">
        <f t="shared" ref="O71:S71" si="9">SUM(O59:O70)</f>
        <v>347105.56</v>
      </c>
      <c r="P71" s="251">
        <f t="shared" si="9"/>
        <v>338.21</v>
      </c>
      <c r="Q71" s="251">
        <f t="shared" si="9"/>
        <v>990.75</v>
      </c>
      <c r="R71" s="251"/>
      <c r="S71" s="251">
        <f t="shared" si="9"/>
        <v>36.4</v>
      </c>
      <c r="T71" s="251">
        <f>SUM(T59:T70)</f>
        <v>350513.06999999995</v>
      </c>
      <c r="V71" s="247"/>
      <c r="W71" s="248" t="s">
        <v>397</v>
      </c>
      <c r="X71" s="251">
        <f>SUM(X59:X70)</f>
        <v>285333.69999999995</v>
      </c>
      <c r="Y71" s="251">
        <f>SUM(Y59:Y70)</f>
        <v>12097.94</v>
      </c>
      <c r="Z71" s="251">
        <f>SUM(Z59:Z70)</f>
        <v>297431.64</v>
      </c>
      <c r="AB71" s="247"/>
      <c r="AC71" s="248" t="s">
        <v>397</v>
      </c>
      <c r="AD71" s="251">
        <f>SUM(AD59:AD70)</f>
        <v>39979.140799999994</v>
      </c>
      <c r="AE71" s="250">
        <f>SUM(AE59:AE70)</f>
        <v>156960</v>
      </c>
      <c r="AF71" s="251">
        <f>SUM(AF59:AF70)</f>
        <v>2447</v>
      </c>
      <c r="AG71" s="251">
        <f>SUM(AG59:AG70)</f>
        <v>42426.140799999994</v>
      </c>
    </row>
    <row r="72" spans="1:35" ht="24" thickTop="1" x14ac:dyDescent="0.5">
      <c r="H72" s="270"/>
    </row>
    <row r="73" spans="1:35" x14ac:dyDescent="0.5">
      <c r="C73" s="271">
        <f>+C71*100/H71</f>
        <v>83.702720321797543</v>
      </c>
      <c r="D73" s="271">
        <f>+D71*100/H71</f>
        <v>14.26089519586087</v>
      </c>
      <c r="E73" s="271">
        <f>+E71*100/H71</f>
        <v>1.5503504504186727</v>
      </c>
      <c r="F73" s="271">
        <f>+F71*100/H71</f>
        <v>0.3911418540009981</v>
      </c>
      <c r="G73" s="271">
        <f>+G71*100/H71</f>
        <v>9.4892177921913914E-2</v>
      </c>
      <c r="N73" s="271">
        <f>+N71*100/T71</f>
        <v>0.97214919831662783</v>
      </c>
      <c r="O73" s="271">
        <f>+O71*100/T71</f>
        <v>99.027850801683385</v>
      </c>
      <c r="P73" s="271">
        <f>+P71*100/T71</f>
        <v>9.6489982527613039E-2</v>
      </c>
      <c r="Q73" s="271">
        <f>+Q71*100/T71</f>
        <v>0.28265707752352864</v>
      </c>
      <c r="R73" s="271">
        <f>+R71*100/T71</f>
        <v>0</v>
      </c>
      <c r="S73" s="271">
        <f>+S71*100/T71</f>
        <v>1.038477680732419E-2</v>
      </c>
      <c r="X73" s="271">
        <f>+X71*100/Z71</f>
        <v>95.932530917020102</v>
      </c>
      <c r="Y73" s="271">
        <f>+Y71*100/Z71</f>
        <v>4.0674690829798736</v>
      </c>
      <c r="AA73" s="233"/>
    </row>
    <row r="74" spans="1:35" x14ac:dyDescent="0.5">
      <c r="C74" s="272"/>
    </row>
    <row r="76" spans="1:35" ht="29.25" x14ac:dyDescent="0.6">
      <c r="A76" s="368" t="s">
        <v>405</v>
      </c>
      <c r="B76" s="368"/>
      <c r="C76" s="368"/>
      <c r="D76" s="368"/>
      <c r="E76" s="368"/>
      <c r="F76" s="368"/>
      <c r="G76" s="368"/>
      <c r="H76" s="368"/>
      <c r="I76" s="368"/>
      <c r="L76" s="370" t="s">
        <v>406</v>
      </c>
      <c r="M76" s="370"/>
      <c r="N76" s="370"/>
      <c r="O76" s="370"/>
      <c r="P76" s="370"/>
      <c r="Q76" s="370"/>
      <c r="R76" s="370"/>
      <c r="S76" s="370"/>
      <c r="T76" s="370"/>
      <c r="V76" s="370" t="s">
        <v>407</v>
      </c>
      <c r="W76" s="370"/>
      <c r="X76" s="370"/>
      <c r="Y76" s="370"/>
      <c r="Z76" s="370"/>
      <c r="AB76" s="370" t="s">
        <v>408</v>
      </c>
      <c r="AC76" s="370"/>
      <c r="AD76" s="370"/>
      <c r="AE76" s="370"/>
      <c r="AF76" s="370"/>
      <c r="AG76" s="370"/>
    </row>
    <row r="77" spans="1:35" ht="46.5" x14ac:dyDescent="0.5">
      <c r="A77" s="227" t="s">
        <v>377</v>
      </c>
      <c r="B77" s="227" t="s">
        <v>403</v>
      </c>
      <c r="C77" s="228" t="s">
        <v>379</v>
      </c>
      <c r="D77" s="228" t="s">
        <v>380</v>
      </c>
      <c r="E77" s="228" t="s">
        <v>381</v>
      </c>
      <c r="F77" s="229" t="s">
        <v>404</v>
      </c>
      <c r="G77" s="230" t="s">
        <v>383</v>
      </c>
      <c r="H77" s="228" t="s">
        <v>384</v>
      </c>
      <c r="I77" s="227" t="s">
        <v>385</v>
      </c>
      <c r="L77" s="227" t="s">
        <v>377</v>
      </c>
      <c r="M77" s="227" t="s">
        <v>403</v>
      </c>
      <c r="N77" s="227" t="s">
        <v>386</v>
      </c>
      <c r="O77" s="227" t="s">
        <v>387</v>
      </c>
      <c r="P77" s="227" t="s">
        <v>388</v>
      </c>
      <c r="Q77" s="227" t="s">
        <v>389</v>
      </c>
      <c r="R77" s="227"/>
      <c r="S77" s="227" t="s">
        <v>390</v>
      </c>
      <c r="T77" s="227" t="s">
        <v>391</v>
      </c>
      <c r="V77" s="227" t="s">
        <v>377</v>
      </c>
      <c r="W77" s="227" t="s">
        <v>403</v>
      </c>
      <c r="X77" s="227" t="s">
        <v>392</v>
      </c>
      <c r="Y77" s="227" t="s">
        <v>393</v>
      </c>
      <c r="Z77" s="227" t="s">
        <v>391</v>
      </c>
      <c r="AB77" s="227" t="s">
        <v>377</v>
      </c>
      <c r="AC77" s="227" t="s">
        <v>378</v>
      </c>
      <c r="AD77" s="227" t="s">
        <v>394</v>
      </c>
      <c r="AE77" s="235" t="s">
        <v>395</v>
      </c>
      <c r="AF77" s="228" t="s">
        <v>396</v>
      </c>
      <c r="AG77" s="227" t="s">
        <v>391</v>
      </c>
    </row>
    <row r="78" spans="1:35" x14ac:dyDescent="0.5">
      <c r="A78" s="236">
        <v>1</v>
      </c>
      <c r="B78" s="267" t="s">
        <v>319</v>
      </c>
      <c r="C78" s="267">
        <f t="shared" ref="C78:C88" si="10">C59*100/H59</f>
        <v>78.445575281229125</v>
      </c>
      <c r="D78" s="267">
        <f t="shared" ref="D78:D89" si="11">D59*100/H59</f>
        <v>19.365156318986475</v>
      </c>
      <c r="E78" s="267">
        <f t="shared" ref="E78:E89" si="12">E59*100/H59</f>
        <v>1.862439664031839</v>
      </c>
      <c r="F78" s="267">
        <f t="shared" ref="F78:F89" si="13">F59*100/H59</f>
        <v>0.32682873575256755</v>
      </c>
      <c r="G78" s="267">
        <f t="shared" ref="G78:G89" si="14">G59*100/H59</f>
        <v>0</v>
      </c>
      <c r="H78" s="268">
        <f>+C78+D78+E78+F78+G78</f>
        <v>100.00000000000001</v>
      </c>
      <c r="I78" s="237"/>
      <c r="L78" s="236">
        <v>1</v>
      </c>
      <c r="M78" s="267" t="s">
        <v>319</v>
      </c>
      <c r="N78" s="242">
        <f t="shared" ref="N78:N89" si="15">N59*100/T59</f>
        <v>0.54864259823234784</v>
      </c>
      <c r="O78" s="242">
        <f t="shared" ref="O78:O89" si="16">O59*100/T59</f>
        <v>99.451357401767652</v>
      </c>
      <c r="P78" s="242"/>
      <c r="Q78" s="242"/>
      <c r="R78" s="242"/>
      <c r="S78" s="242"/>
      <c r="T78" s="269">
        <f>+N78+O78</f>
        <v>100</v>
      </c>
      <c r="V78" s="236">
        <v>1</v>
      </c>
      <c r="W78" s="267" t="s">
        <v>319</v>
      </c>
      <c r="X78" s="242">
        <f t="shared" ref="X78:X89" si="17">X59*100/Z59</f>
        <v>94.682862063412713</v>
      </c>
      <c r="Y78" s="242">
        <f t="shared" ref="Y78:Y89" si="18">Y59*100/Z59</f>
        <v>5.3171379365872875</v>
      </c>
      <c r="Z78" s="269">
        <f>+X78+Y78</f>
        <v>100</v>
      </c>
      <c r="AB78" s="236">
        <v>1</v>
      </c>
      <c r="AC78" s="267" t="s">
        <v>319</v>
      </c>
      <c r="AD78" s="242">
        <f>AD59*100/AG59</f>
        <v>100</v>
      </c>
      <c r="AE78" s="242"/>
      <c r="AF78" s="242">
        <f>AF59*100/AG59</f>
        <v>0</v>
      </c>
      <c r="AG78" s="269">
        <f t="shared" ref="AG78:AG81" si="19">+AD78+AF78</f>
        <v>100</v>
      </c>
    </row>
    <row r="79" spans="1:35" x14ac:dyDescent="0.5">
      <c r="A79" s="236">
        <v>2</v>
      </c>
      <c r="B79" s="267" t="s">
        <v>320</v>
      </c>
      <c r="C79" s="267" t="e">
        <f t="shared" si="10"/>
        <v>#DIV/0!</v>
      </c>
      <c r="D79" s="267" t="e">
        <f t="shared" si="11"/>
        <v>#DIV/0!</v>
      </c>
      <c r="E79" s="267" t="e">
        <f t="shared" si="12"/>
        <v>#DIV/0!</v>
      </c>
      <c r="F79" s="267" t="e">
        <f t="shared" si="13"/>
        <v>#DIV/0!</v>
      </c>
      <c r="G79" s="267" t="e">
        <f t="shared" si="14"/>
        <v>#DIV/0!</v>
      </c>
      <c r="H79" s="268" t="e">
        <f t="shared" ref="H79:H82" si="20">+C79+D79+E79+F79+G79</f>
        <v>#DIV/0!</v>
      </c>
      <c r="I79" s="237"/>
      <c r="L79" s="236">
        <v>2</v>
      </c>
      <c r="M79" s="267" t="s">
        <v>320</v>
      </c>
      <c r="N79" s="242" t="e">
        <f t="shared" si="15"/>
        <v>#DIV/0!</v>
      </c>
      <c r="O79" s="242" t="e">
        <f t="shared" si="16"/>
        <v>#DIV/0!</v>
      </c>
      <c r="P79" s="242"/>
      <c r="Q79" s="242"/>
      <c r="R79" s="242"/>
      <c r="S79" s="242"/>
      <c r="T79" s="269" t="e">
        <f>+N79+O79+#REF!</f>
        <v>#DIV/0!</v>
      </c>
      <c r="V79" s="236">
        <v>2</v>
      </c>
      <c r="W79" s="267" t="s">
        <v>320</v>
      </c>
      <c r="X79" s="242" t="e">
        <f t="shared" si="17"/>
        <v>#DIV/0!</v>
      </c>
      <c r="Y79" s="242" t="e">
        <f t="shared" si="18"/>
        <v>#DIV/0!</v>
      </c>
      <c r="Z79" s="269" t="e">
        <f>+X79+Y79</f>
        <v>#DIV/0!</v>
      </c>
      <c r="AB79" s="236">
        <v>2</v>
      </c>
      <c r="AC79" s="267" t="s">
        <v>320</v>
      </c>
      <c r="AD79" s="242" t="e">
        <f t="shared" ref="AD79:AD89" si="21">AD60*100/AG60</f>
        <v>#DIV/0!</v>
      </c>
      <c r="AE79" s="242"/>
      <c r="AF79" s="242" t="e">
        <f t="shared" ref="AF79:AF89" si="22">AF60*100/AG60</f>
        <v>#DIV/0!</v>
      </c>
      <c r="AG79" s="269" t="e">
        <f t="shared" si="19"/>
        <v>#DIV/0!</v>
      </c>
    </row>
    <row r="80" spans="1:35" x14ac:dyDescent="0.5">
      <c r="A80" s="236">
        <v>3</v>
      </c>
      <c r="B80" s="267" t="s">
        <v>321</v>
      </c>
      <c r="C80" s="267">
        <f t="shared" si="10"/>
        <v>79.755799438436796</v>
      </c>
      <c r="D80" s="267">
        <f t="shared" si="11"/>
        <v>18.097155473921088</v>
      </c>
      <c r="E80" s="267">
        <f t="shared" si="12"/>
        <v>1.6194719581152184</v>
      </c>
      <c r="F80" s="267">
        <f t="shared" si="13"/>
        <v>0.52757312952691082</v>
      </c>
      <c r="G80" s="267">
        <f t="shared" si="14"/>
        <v>0</v>
      </c>
      <c r="H80" s="268">
        <f t="shared" si="20"/>
        <v>100.00000000000001</v>
      </c>
      <c r="I80" s="237"/>
      <c r="L80" s="236">
        <v>3</v>
      </c>
      <c r="M80" s="267" t="s">
        <v>321</v>
      </c>
      <c r="N80" s="242">
        <f t="shared" si="15"/>
        <v>1.2660398836494806</v>
      </c>
      <c r="O80" s="242">
        <f t="shared" si="16"/>
        <v>98.733960116350531</v>
      </c>
      <c r="P80" s="242"/>
      <c r="Q80" s="242"/>
      <c r="R80" s="242"/>
      <c r="S80" s="242"/>
      <c r="T80" s="269" t="e">
        <f>+N80+O80+#REF!</f>
        <v>#REF!</v>
      </c>
      <c r="V80" s="236">
        <v>3</v>
      </c>
      <c r="W80" s="267" t="s">
        <v>321</v>
      </c>
      <c r="X80" s="242">
        <f t="shared" si="17"/>
        <v>94.635564508667187</v>
      </c>
      <c r="Y80" s="242">
        <f t="shared" si="18"/>
        <v>5.3644354913328245</v>
      </c>
      <c r="Z80" s="269">
        <f t="shared" ref="Z80:Z89" si="23">+X80+Y80</f>
        <v>100.00000000000001</v>
      </c>
      <c r="AB80" s="236">
        <v>3</v>
      </c>
      <c r="AC80" s="267" t="s">
        <v>321</v>
      </c>
      <c r="AD80" s="242">
        <f t="shared" si="21"/>
        <v>100</v>
      </c>
      <c r="AE80" s="242"/>
      <c r="AF80" s="242">
        <f t="shared" si="22"/>
        <v>0</v>
      </c>
      <c r="AG80" s="269">
        <f t="shared" si="19"/>
        <v>100</v>
      </c>
    </row>
    <row r="81" spans="1:33" x14ac:dyDescent="0.5">
      <c r="A81" s="236">
        <v>4</v>
      </c>
      <c r="B81" s="267" t="s">
        <v>322</v>
      </c>
      <c r="C81" s="267">
        <f t="shared" si="10"/>
        <v>88.654807010641036</v>
      </c>
      <c r="D81" s="267">
        <f t="shared" si="11"/>
        <v>9.7597012045232177</v>
      </c>
      <c r="E81" s="267">
        <f t="shared" si="12"/>
        <v>1.0326606366503666</v>
      </c>
      <c r="F81" s="267">
        <f t="shared" si="13"/>
        <v>0.21319493756890998</v>
      </c>
      <c r="G81" s="267">
        <f t="shared" si="14"/>
        <v>0.3396362106164782</v>
      </c>
      <c r="H81" s="268">
        <f t="shared" si="20"/>
        <v>100.00000000000001</v>
      </c>
      <c r="I81" s="237"/>
      <c r="L81" s="236">
        <v>4</v>
      </c>
      <c r="M81" s="267" t="s">
        <v>322</v>
      </c>
      <c r="N81" s="242">
        <f t="shared" si="15"/>
        <v>1.316662961333422</v>
      </c>
      <c r="O81" s="242">
        <f t="shared" si="16"/>
        <v>98.683337038666579</v>
      </c>
      <c r="P81" s="242"/>
      <c r="Q81" s="242"/>
      <c r="R81" s="242"/>
      <c r="S81" s="242"/>
      <c r="T81" s="269" t="e">
        <f>+N81+O81+#REF!</f>
        <v>#REF!</v>
      </c>
      <c r="V81" s="236">
        <v>4</v>
      </c>
      <c r="W81" s="267" t="s">
        <v>322</v>
      </c>
      <c r="X81" s="242">
        <f t="shared" si="17"/>
        <v>100</v>
      </c>
      <c r="Y81" s="242">
        <f t="shared" si="18"/>
        <v>0</v>
      </c>
      <c r="Z81" s="269">
        <f t="shared" si="23"/>
        <v>100</v>
      </c>
      <c r="AB81" s="236">
        <v>4</v>
      </c>
      <c r="AC81" s="267" t="s">
        <v>322</v>
      </c>
      <c r="AD81" s="242">
        <f t="shared" si="21"/>
        <v>75.250528973164975</v>
      </c>
      <c r="AE81" s="242"/>
      <c r="AF81" s="242">
        <f t="shared" si="22"/>
        <v>24.749471026835021</v>
      </c>
      <c r="AG81" s="269">
        <f t="shared" si="19"/>
        <v>100</v>
      </c>
    </row>
    <row r="82" spans="1:33" x14ac:dyDescent="0.5">
      <c r="A82" s="236">
        <v>5</v>
      </c>
      <c r="B82" s="267" t="s">
        <v>323</v>
      </c>
      <c r="C82" s="267">
        <f t="shared" si="10"/>
        <v>86.720319862233609</v>
      </c>
      <c r="D82" s="267">
        <f t="shared" si="11"/>
        <v>10.984601848903399</v>
      </c>
      <c r="E82" s="267">
        <f t="shared" si="12"/>
        <v>1.7878022134537566</v>
      </c>
      <c r="F82" s="267">
        <f t="shared" si="13"/>
        <v>0.50727607540922703</v>
      </c>
      <c r="G82" s="267">
        <f t="shared" si="14"/>
        <v>0</v>
      </c>
      <c r="H82" s="268">
        <f t="shared" si="20"/>
        <v>99.999999999999986</v>
      </c>
      <c r="I82" s="237"/>
      <c r="L82" s="236">
        <v>5</v>
      </c>
      <c r="M82" s="267" t="s">
        <v>323</v>
      </c>
      <c r="N82" s="242">
        <f t="shared" si="15"/>
        <v>0.86694461321079019</v>
      </c>
      <c r="O82" s="242">
        <f t="shared" si="16"/>
        <v>99.133055386789223</v>
      </c>
      <c r="P82" s="242"/>
      <c r="Q82" s="242"/>
      <c r="R82" s="242"/>
      <c r="S82" s="242"/>
      <c r="T82" s="269" t="e">
        <f>+N82+O82+#REF!</f>
        <v>#REF!</v>
      </c>
      <c r="V82" s="236">
        <v>5</v>
      </c>
      <c r="W82" s="267" t="s">
        <v>323</v>
      </c>
      <c r="X82" s="242" t="e">
        <f t="shared" si="17"/>
        <v>#DIV/0!</v>
      </c>
      <c r="Y82" s="242" t="e">
        <f t="shared" si="18"/>
        <v>#DIV/0!</v>
      </c>
      <c r="Z82" s="269" t="e">
        <f t="shared" si="23"/>
        <v>#DIV/0!</v>
      </c>
      <c r="AB82" s="236">
        <v>5</v>
      </c>
      <c r="AC82" s="267" t="s">
        <v>323</v>
      </c>
      <c r="AD82" s="242">
        <f t="shared" si="21"/>
        <v>100</v>
      </c>
      <c r="AE82" s="242"/>
      <c r="AF82" s="242">
        <f t="shared" si="22"/>
        <v>0</v>
      </c>
      <c r="AG82" s="269">
        <f>+AD82+AF82</f>
        <v>100</v>
      </c>
    </row>
    <row r="83" spans="1:33" x14ac:dyDescent="0.5">
      <c r="A83" s="236">
        <v>6</v>
      </c>
      <c r="B83" s="267" t="s">
        <v>324</v>
      </c>
      <c r="C83" s="267" t="e">
        <f t="shared" si="10"/>
        <v>#DIV/0!</v>
      </c>
      <c r="D83" s="267" t="e">
        <f t="shared" si="11"/>
        <v>#DIV/0!</v>
      </c>
      <c r="E83" s="267" t="e">
        <f t="shared" si="12"/>
        <v>#DIV/0!</v>
      </c>
      <c r="F83" s="267" t="e">
        <f t="shared" si="13"/>
        <v>#DIV/0!</v>
      </c>
      <c r="G83" s="267" t="e">
        <f t="shared" si="14"/>
        <v>#DIV/0!</v>
      </c>
      <c r="H83" s="268" t="e">
        <f>+C83+D83+E83+F83+G83</f>
        <v>#DIV/0!</v>
      </c>
      <c r="I83" s="237"/>
      <c r="L83" s="236">
        <v>6</v>
      </c>
      <c r="M83" s="267" t="s">
        <v>324</v>
      </c>
      <c r="N83" s="242" t="e">
        <f t="shared" si="15"/>
        <v>#DIV/0!</v>
      </c>
      <c r="O83" s="242" t="e">
        <f t="shared" si="16"/>
        <v>#DIV/0!</v>
      </c>
      <c r="P83" s="242"/>
      <c r="Q83" s="242"/>
      <c r="R83" s="242"/>
      <c r="S83" s="242"/>
      <c r="T83" s="269" t="e">
        <f>+N83+O83+#REF!</f>
        <v>#DIV/0!</v>
      </c>
      <c r="U83" s="233"/>
      <c r="V83" s="236">
        <v>6</v>
      </c>
      <c r="W83" s="267" t="s">
        <v>324</v>
      </c>
      <c r="X83" s="242" t="e">
        <f t="shared" si="17"/>
        <v>#DIV/0!</v>
      </c>
      <c r="Y83" s="242" t="e">
        <f t="shared" si="18"/>
        <v>#DIV/0!</v>
      </c>
      <c r="Z83" s="269" t="e">
        <f t="shared" si="23"/>
        <v>#DIV/0!</v>
      </c>
      <c r="AB83" s="236">
        <v>6</v>
      </c>
      <c r="AC83" s="267" t="s">
        <v>324</v>
      </c>
      <c r="AD83" s="242" t="e">
        <f t="shared" si="21"/>
        <v>#DIV/0!</v>
      </c>
      <c r="AE83" s="242"/>
      <c r="AF83" s="242" t="e">
        <f t="shared" si="22"/>
        <v>#DIV/0!</v>
      </c>
      <c r="AG83" s="269" t="e">
        <f t="shared" ref="AG83" si="24">+AD83+AF83</f>
        <v>#DIV/0!</v>
      </c>
    </row>
    <row r="84" spans="1:33" x14ac:dyDescent="0.5">
      <c r="A84" s="236">
        <v>7</v>
      </c>
      <c r="B84" s="267" t="s">
        <v>325</v>
      </c>
      <c r="C84" s="267" t="e">
        <f t="shared" si="10"/>
        <v>#DIV/0!</v>
      </c>
      <c r="D84" s="267" t="e">
        <f t="shared" si="11"/>
        <v>#DIV/0!</v>
      </c>
      <c r="E84" s="267" t="e">
        <f t="shared" si="12"/>
        <v>#DIV/0!</v>
      </c>
      <c r="F84" s="267" t="e">
        <f t="shared" si="13"/>
        <v>#DIV/0!</v>
      </c>
      <c r="G84" s="267" t="e">
        <f t="shared" si="14"/>
        <v>#DIV/0!</v>
      </c>
      <c r="H84" s="268" t="e">
        <f t="shared" ref="H84:H85" si="25">+C84+D84+E84+F84+G84</f>
        <v>#DIV/0!</v>
      </c>
      <c r="I84" s="237"/>
      <c r="L84" s="236">
        <v>7</v>
      </c>
      <c r="M84" s="267" t="s">
        <v>325</v>
      </c>
      <c r="N84" s="242" t="e">
        <f t="shared" si="15"/>
        <v>#DIV/0!</v>
      </c>
      <c r="O84" s="242" t="e">
        <f t="shared" si="16"/>
        <v>#DIV/0!</v>
      </c>
      <c r="P84" s="242"/>
      <c r="Q84" s="242"/>
      <c r="R84" s="242"/>
      <c r="S84" s="242"/>
      <c r="T84" s="269" t="e">
        <f>+N84+O84+#REF!</f>
        <v>#DIV/0!</v>
      </c>
      <c r="V84" s="236">
        <v>7</v>
      </c>
      <c r="W84" s="267" t="s">
        <v>325</v>
      </c>
      <c r="X84" s="242" t="e">
        <f t="shared" si="17"/>
        <v>#DIV/0!</v>
      </c>
      <c r="Y84" s="242" t="e">
        <f t="shared" si="18"/>
        <v>#DIV/0!</v>
      </c>
      <c r="Z84" s="269" t="e">
        <f t="shared" si="23"/>
        <v>#DIV/0!</v>
      </c>
      <c r="AB84" s="236">
        <v>7</v>
      </c>
      <c r="AC84" s="267" t="s">
        <v>325</v>
      </c>
      <c r="AD84" s="242" t="e">
        <f t="shared" si="21"/>
        <v>#DIV/0!</v>
      </c>
      <c r="AE84" s="242"/>
      <c r="AF84" s="242" t="e">
        <f t="shared" si="22"/>
        <v>#DIV/0!</v>
      </c>
      <c r="AG84" s="269" t="e">
        <f>+AD84+AF84</f>
        <v>#DIV/0!</v>
      </c>
    </row>
    <row r="85" spans="1:33" x14ac:dyDescent="0.5">
      <c r="A85" s="236">
        <v>8</v>
      </c>
      <c r="B85" s="267" t="s">
        <v>326</v>
      </c>
      <c r="C85" s="267" t="e">
        <f t="shared" si="10"/>
        <v>#DIV/0!</v>
      </c>
      <c r="D85" s="267" t="e">
        <f t="shared" si="11"/>
        <v>#DIV/0!</v>
      </c>
      <c r="E85" s="267" t="e">
        <f t="shared" si="12"/>
        <v>#DIV/0!</v>
      </c>
      <c r="F85" s="267" t="e">
        <f t="shared" si="13"/>
        <v>#DIV/0!</v>
      </c>
      <c r="G85" s="267" t="e">
        <f t="shared" si="14"/>
        <v>#DIV/0!</v>
      </c>
      <c r="H85" s="268" t="e">
        <f t="shared" si="25"/>
        <v>#DIV/0!</v>
      </c>
      <c r="I85" s="237"/>
      <c r="L85" s="236">
        <v>8</v>
      </c>
      <c r="M85" s="267" t="s">
        <v>326</v>
      </c>
      <c r="N85" s="242" t="e">
        <f t="shared" si="15"/>
        <v>#DIV/0!</v>
      </c>
      <c r="O85" s="242" t="e">
        <f t="shared" si="16"/>
        <v>#DIV/0!</v>
      </c>
      <c r="P85" s="242"/>
      <c r="Q85" s="242"/>
      <c r="R85" s="242"/>
      <c r="S85" s="242"/>
      <c r="T85" s="269" t="e">
        <f>+N85+O85+#REF!</f>
        <v>#DIV/0!</v>
      </c>
      <c r="V85" s="236">
        <v>8</v>
      </c>
      <c r="W85" s="267" t="s">
        <v>326</v>
      </c>
      <c r="X85" s="242" t="e">
        <f t="shared" si="17"/>
        <v>#DIV/0!</v>
      </c>
      <c r="Y85" s="242" t="e">
        <f t="shared" si="18"/>
        <v>#DIV/0!</v>
      </c>
      <c r="Z85" s="269" t="e">
        <f t="shared" si="23"/>
        <v>#DIV/0!</v>
      </c>
      <c r="AB85" s="236">
        <v>8</v>
      </c>
      <c r="AC85" s="267" t="s">
        <v>326</v>
      </c>
      <c r="AD85" s="242" t="e">
        <f t="shared" si="21"/>
        <v>#DIV/0!</v>
      </c>
      <c r="AE85" s="242"/>
      <c r="AF85" s="242" t="e">
        <f t="shared" si="22"/>
        <v>#DIV/0!</v>
      </c>
      <c r="AG85" s="269" t="e">
        <f t="shared" ref="AG85:AG89" si="26">+AD85+AF85</f>
        <v>#DIV/0!</v>
      </c>
    </row>
    <row r="86" spans="1:33" x14ac:dyDescent="0.5">
      <c r="A86" s="236">
        <v>9</v>
      </c>
      <c r="B86" s="267" t="s">
        <v>327</v>
      </c>
      <c r="C86" s="267" t="e">
        <f t="shared" si="10"/>
        <v>#DIV/0!</v>
      </c>
      <c r="D86" s="267" t="e">
        <f t="shared" si="11"/>
        <v>#DIV/0!</v>
      </c>
      <c r="E86" s="267" t="e">
        <f t="shared" si="12"/>
        <v>#DIV/0!</v>
      </c>
      <c r="F86" s="267" t="e">
        <f t="shared" si="13"/>
        <v>#DIV/0!</v>
      </c>
      <c r="G86" s="267" t="e">
        <f t="shared" si="14"/>
        <v>#DIV/0!</v>
      </c>
      <c r="H86" s="268" t="e">
        <f>+C86+D86+E86+F86+G86</f>
        <v>#DIV/0!</v>
      </c>
      <c r="I86" s="237"/>
      <c r="L86" s="236">
        <v>9</v>
      </c>
      <c r="M86" s="267" t="s">
        <v>327</v>
      </c>
      <c r="N86" s="242" t="e">
        <f t="shared" si="15"/>
        <v>#DIV/0!</v>
      </c>
      <c r="O86" s="242" t="e">
        <f t="shared" si="16"/>
        <v>#DIV/0!</v>
      </c>
      <c r="P86" s="242"/>
      <c r="Q86" s="242"/>
      <c r="R86" s="242"/>
      <c r="S86" s="242"/>
      <c r="T86" s="269" t="e">
        <f>+N86+O86+#REF!</f>
        <v>#DIV/0!</v>
      </c>
      <c r="V86" s="236">
        <v>9</v>
      </c>
      <c r="W86" s="267" t="s">
        <v>327</v>
      </c>
      <c r="X86" s="242" t="e">
        <f t="shared" si="17"/>
        <v>#DIV/0!</v>
      </c>
      <c r="Y86" s="242" t="e">
        <f t="shared" si="18"/>
        <v>#DIV/0!</v>
      </c>
      <c r="Z86" s="269" t="e">
        <f t="shared" si="23"/>
        <v>#DIV/0!</v>
      </c>
      <c r="AB86" s="236">
        <v>9</v>
      </c>
      <c r="AC86" s="267" t="s">
        <v>327</v>
      </c>
      <c r="AD86" s="242" t="e">
        <f t="shared" si="21"/>
        <v>#DIV/0!</v>
      </c>
      <c r="AE86" s="242"/>
      <c r="AF86" s="242" t="e">
        <f t="shared" si="22"/>
        <v>#DIV/0!</v>
      </c>
      <c r="AG86" s="269" t="e">
        <f t="shared" si="26"/>
        <v>#DIV/0!</v>
      </c>
    </row>
    <row r="87" spans="1:33" x14ac:dyDescent="0.5">
      <c r="A87" s="236">
        <v>10</v>
      </c>
      <c r="B87" s="267" t="s">
        <v>328</v>
      </c>
      <c r="C87" s="267" t="e">
        <f t="shared" si="10"/>
        <v>#DIV/0!</v>
      </c>
      <c r="D87" s="267" t="e">
        <f t="shared" si="11"/>
        <v>#DIV/0!</v>
      </c>
      <c r="E87" s="267" t="e">
        <f t="shared" si="12"/>
        <v>#DIV/0!</v>
      </c>
      <c r="F87" s="267" t="e">
        <f t="shared" si="13"/>
        <v>#DIV/0!</v>
      </c>
      <c r="G87" s="267" t="e">
        <f t="shared" si="14"/>
        <v>#DIV/0!</v>
      </c>
      <c r="H87" s="268" t="e">
        <f t="shared" ref="H87:H89" si="27">+C87+D87+E87+F87+G87</f>
        <v>#DIV/0!</v>
      </c>
      <c r="I87" s="237"/>
      <c r="L87" s="236">
        <v>10</v>
      </c>
      <c r="M87" s="267" t="s">
        <v>328</v>
      </c>
      <c r="N87" s="242" t="e">
        <f t="shared" si="15"/>
        <v>#DIV/0!</v>
      </c>
      <c r="O87" s="242" t="e">
        <f t="shared" si="16"/>
        <v>#DIV/0!</v>
      </c>
      <c r="P87" s="242" t="e">
        <f>P68*100/T68</f>
        <v>#DIV/0!</v>
      </c>
      <c r="Q87" s="242" t="e">
        <f>Q68*100/T68</f>
        <v>#DIV/0!</v>
      </c>
      <c r="R87" s="242"/>
      <c r="S87" s="242" t="e">
        <f>S68*100/T68</f>
        <v>#DIV/0!</v>
      </c>
      <c r="T87" s="269" t="e">
        <f>N87+O87+P87+Q87+S87+#REF!</f>
        <v>#DIV/0!</v>
      </c>
      <c r="V87" s="236">
        <v>10</v>
      </c>
      <c r="W87" s="267" t="s">
        <v>397</v>
      </c>
      <c r="X87" s="242" t="e">
        <f t="shared" si="17"/>
        <v>#DIV/0!</v>
      </c>
      <c r="Y87" s="242" t="e">
        <f t="shared" si="18"/>
        <v>#DIV/0!</v>
      </c>
      <c r="Z87" s="269" t="e">
        <f t="shared" si="23"/>
        <v>#DIV/0!</v>
      </c>
      <c r="AB87" s="236">
        <v>10</v>
      </c>
      <c r="AC87" s="267" t="s">
        <v>328</v>
      </c>
      <c r="AD87" s="242" t="e">
        <f t="shared" si="21"/>
        <v>#DIV/0!</v>
      </c>
      <c r="AE87" s="242"/>
      <c r="AF87" s="242" t="e">
        <f t="shared" si="22"/>
        <v>#DIV/0!</v>
      </c>
      <c r="AG87" s="269" t="e">
        <f t="shared" si="26"/>
        <v>#DIV/0!</v>
      </c>
    </row>
    <row r="88" spans="1:33" x14ac:dyDescent="0.5">
      <c r="A88" s="236">
        <v>11</v>
      </c>
      <c r="B88" s="267" t="s">
        <v>329</v>
      </c>
      <c r="C88" s="267" t="e">
        <f t="shared" si="10"/>
        <v>#DIV/0!</v>
      </c>
      <c r="D88" s="267" t="e">
        <f t="shared" si="11"/>
        <v>#DIV/0!</v>
      </c>
      <c r="E88" s="267" t="e">
        <f t="shared" si="12"/>
        <v>#DIV/0!</v>
      </c>
      <c r="F88" s="267" t="e">
        <f t="shared" si="13"/>
        <v>#DIV/0!</v>
      </c>
      <c r="G88" s="267" t="e">
        <f t="shared" si="14"/>
        <v>#DIV/0!</v>
      </c>
      <c r="H88" s="268" t="e">
        <f t="shared" si="27"/>
        <v>#DIV/0!</v>
      </c>
      <c r="I88" s="237"/>
      <c r="L88" s="236">
        <v>11</v>
      </c>
      <c r="M88" s="267" t="s">
        <v>329</v>
      </c>
      <c r="N88" s="242" t="e">
        <f t="shared" si="15"/>
        <v>#DIV/0!</v>
      </c>
      <c r="O88" s="242" t="e">
        <f t="shared" si="16"/>
        <v>#DIV/0!</v>
      </c>
      <c r="P88" s="242" t="e">
        <f>P69*100/T69</f>
        <v>#DIV/0!</v>
      </c>
      <c r="Q88" s="242" t="e">
        <f>Q69*100/T69</f>
        <v>#DIV/0!</v>
      </c>
      <c r="R88" s="242"/>
      <c r="S88" s="242" t="e">
        <f>S69*100/T69</f>
        <v>#DIV/0!</v>
      </c>
      <c r="T88" s="269" t="e">
        <f>N88+O88+P88+Q88+S88+#REF!</f>
        <v>#DIV/0!</v>
      </c>
      <c r="V88" s="236">
        <v>11</v>
      </c>
      <c r="W88" s="267" t="s">
        <v>329</v>
      </c>
      <c r="X88" s="242" t="e">
        <f t="shared" si="17"/>
        <v>#DIV/0!</v>
      </c>
      <c r="Y88" s="242" t="e">
        <f t="shared" si="18"/>
        <v>#DIV/0!</v>
      </c>
      <c r="Z88" s="269" t="e">
        <f t="shared" si="23"/>
        <v>#DIV/0!</v>
      </c>
      <c r="AB88" s="236">
        <v>11</v>
      </c>
      <c r="AC88" s="267" t="s">
        <v>329</v>
      </c>
      <c r="AD88" s="242" t="e">
        <f t="shared" si="21"/>
        <v>#DIV/0!</v>
      </c>
      <c r="AE88" s="242"/>
      <c r="AF88" s="242" t="e">
        <f t="shared" si="22"/>
        <v>#DIV/0!</v>
      </c>
      <c r="AG88" s="269" t="e">
        <f t="shared" si="26"/>
        <v>#DIV/0!</v>
      </c>
    </row>
    <row r="89" spans="1:33" x14ac:dyDescent="0.5">
      <c r="A89" s="236">
        <v>12</v>
      </c>
      <c r="B89" s="267" t="s">
        <v>330</v>
      </c>
      <c r="C89" s="267" t="e">
        <f>C70*100/H70</f>
        <v>#DIV/0!</v>
      </c>
      <c r="D89" s="267" t="e">
        <f t="shared" si="11"/>
        <v>#DIV/0!</v>
      </c>
      <c r="E89" s="267" t="e">
        <f t="shared" si="12"/>
        <v>#DIV/0!</v>
      </c>
      <c r="F89" s="267" t="e">
        <f t="shared" si="13"/>
        <v>#DIV/0!</v>
      </c>
      <c r="G89" s="267" t="e">
        <f t="shared" si="14"/>
        <v>#DIV/0!</v>
      </c>
      <c r="H89" s="268" t="e">
        <f t="shared" si="27"/>
        <v>#DIV/0!</v>
      </c>
      <c r="I89" s="237"/>
      <c r="L89" s="236">
        <v>12</v>
      </c>
      <c r="M89" s="267" t="s">
        <v>330</v>
      </c>
      <c r="N89" s="242" t="e">
        <f t="shared" si="15"/>
        <v>#DIV/0!</v>
      </c>
      <c r="O89" s="242" t="e">
        <f t="shared" si="16"/>
        <v>#DIV/0!</v>
      </c>
      <c r="P89" s="242"/>
      <c r="Q89" s="242"/>
      <c r="R89" s="242"/>
      <c r="S89" s="242"/>
      <c r="T89" s="269" t="e">
        <f>N89+O89+P89+Q89+S89+#REF!</f>
        <v>#DIV/0!</v>
      </c>
      <c r="V89" s="236">
        <v>12</v>
      </c>
      <c r="W89" s="267" t="s">
        <v>330</v>
      </c>
      <c r="X89" s="242" t="e">
        <f t="shared" si="17"/>
        <v>#DIV/0!</v>
      </c>
      <c r="Y89" s="242" t="e">
        <f t="shared" si="18"/>
        <v>#DIV/0!</v>
      </c>
      <c r="Z89" s="269" t="e">
        <f t="shared" si="23"/>
        <v>#DIV/0!</v>
      </c>
      <c r="AB89" s="236">
        <v>12</v>
      </c>
      <c r="AC89" s="267" t="s">
        <v>330</v>
      </c>
      <c r="AD89" s="242" t="e">
        <f t="shared" si="21"/>
        <v>#DIV/0!</v>
      </c>
      <c r="AE89" s="242"/>
      <c r="AF89" s="242" t="e">
        <f t="shared" si="22"/>
        <v>#DIV/0!</v>
      </c>
      <c r="AG89" s="269" t="e">
        <f t="shared" si="26"/>
        <v>#DIV/0!</v>
      </c>
    </row>
    <row r="90" spans="1:33" ht="24" thickBot="1" x14ac:dyDescent="0.55000000000000004">
      <c r="A90" s="366" t="s">
        <v>397</v>
      </c>
      <c r="B90" s="367"/>
      <c r="C90" s="260" t="e">
        <f>SUM(C78:C89)</f>
        <v>#DIV/0!</v>
      </c>
      <c r="D90" s="260" t="e">
        <f>SUM(D78:D89)</f>
        <v>#DIV/0!</v>
      </c>
      <c r="E90" s="260" t="e">
        <f>SUM(E78:E89)</f>
        <v>#DIV/0!</v>
      </c>
      <c r="F90" s="261" t="e">
        <f>SUM(F78:F89)</f>
        <v>#DIV/0!</v>
      </c>
      <c r="G90" s="262" t="e">
        <f t="shared" ref="G90" si="28">SUM(G78:G89)</f>
        <v>#DIV/0!</v>
      </c>
      <c r="H90" s="260" t="e">
        <f>SUM(H78:H89)</f>
        <v>#DIV/0!</v>
      </c>
      <c r="I90" s="260"/>
      <c r="L90" s="247"/>
      <c r="M90" s="248" t="s">
        <v>397</v>
      </c>
      <c r="N90" s="251" t="e">
        <f>SUM(N78:N89)</f>
        <v>#DIV/0!</v>
      </c>
      <c r="O90" s="251" t="e">
        <f>SUM(O78:O89)</f>
        <v>#DIV/0!</v>
      </c>
      <c r="P90" s="251"/>
      <c r="Q90" s="251"/>
      <c r="R90" s="251"/>
      <c r="S90" s="251"/>
      <c r="T90" s="251" t="e">
        <f>SUM(T78:T89)</f>
        <v>#DIV/0!</v>
      </c>
      <c r="V90" s="247"/>
      <c r="W90" s="248" t="s">
        <v>397</v>
      </c>
      <c r="X90" s="251" t="e">
        <f>SUM(X78:X89)</f>
        <v>#DIV/0!</v>
      </c>
      <c r="Y90" s="251" t="e">
        <f>SUM(Y78:Y89)</f>
        <v>#DIV/0!</v>
      </c>
      <c r="Z90" s="251" t="e">
        <f>SUM(Z78:Z89)</f>
        <v>#DIV/0!</v>
      </c>
      <c r="AB90" s="247"/>
      <c r="AC90" s="248" t="s">
        <v>397</v>
      </c>
      <c r="AD90" s="251" t="e">
        <f>SUM(AD78:AD89)</f>
        <v>#DIV/0!</v>
      </c>
      <c r="AE90" s="250">
        <f>SUM(AE78:AE89)</f>
        <v>0</v>
      </c>
      <c r="AF90" s="251" t="e">
        <f>SUM(AF78:AF89)</f>
        <v>#DIV/0!</v>
      </c>
      <c r="AG90" s="251" t="e">
        <f>SUM(AG78:AG89)</f>
        <v>#DIV/0!</v>
      </c>
    </row>
    <row r="91" spans="1:33" ht="24" thickTop="1" x14ac:dyDescent="0.5">
      <c r="H91" s="270"/>
    </row>
  </sheetData>
  <mergeCells count="15">
    <mergeCell ref="A90:B90"/>
    <mergeCell ref="A1:I1"/>
    <mergeCell ref="L1:T1"/>
    <mergeCell ref="V1:Z1"/>
    <mergeCell ref="AB1:AG1"/>
    <mergeCell ref="A49:B49"/>
    <mergeCell ref="A57:I57"/>
    <mergeCell ref="L57:T57"/>
    <mergeCell ref="V57:Z57"/>
    <mergeCell ref="AB57:AG57"/>
    <mergeCell ref="A71:B71"/>
    <mergeCell ref="A76:I76"/>
    <mergeCell ref="L76:T76"/>
    <mergeCell ref="V76:Z76"/>
    <mergeCell ref="AB76:AG76"/>
  </mergeCells>
  <pageMargins left="0.38" right="0.2" top="0.61" bottom="0.56000000000000005" header="0.3" footer="0.3"/>
  <pageSetup paperSize="9" scale="2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ปกรายงาน</vt:lpstr>
      <vt:lpstr>กราฟยอดขาย 69</vt:lpstr>
      <vt:lpstr>มกราคม</vt:lpstr>
      <vt:lpstr>ยอดขายรวม มค.</vt:lpstr>
      <vt:lpstr>กุมภาพันธ์</vt:lpstr>
      <vt:lpstr>ยอดขายรวม กพ.</vt:lpstr>
      <vt:lpstr>ลำดับ</vt:lpstr>
      <vt:lpstr>มีนาคม</vt:lpstr>
      <vt:lpstr>ยอดขายรวม มีค.</vt:lpstr>
      <vt:lpstr>เมษายน</vt:lpstr>
      <vt:lpstr>ยอดขายรวม เมย.</vt:lpstr>
      <vt:lpstr>พฤษภาคม</vt:lpstr>
      <vt:lpstr>ยอดขายรวม พค.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Bwp13 Bestworld</dc:creator>
  <cp:lastModifiedBy>Bwp13 Bestworld</cp:lastModifiedBy>
  <cp:lastPrinted>2026-06-05T10:38:04Z</cp:lastPrinted>
  <dcterms:created xsi:type="dcterms:W3CDTF">2025-10-04T07:01:21Z</dcterms:created>
  <dcterms:modified xsi:type="dcterms:W3CDTF">2026-06-05T10:38:40Z</dcterms:modified>
</cp:coreProperties>
</file>